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DELL\Documents\Self Project 2\upload\"/>
    </mc:Choice>
  </mc:AlternateContent>
  <xr:revisionPtr revIDLastSave="0" documentId="13_ncr:1_{405C7694-6587-48B7-80E7-9372999F1134}" xr6:coauthVersionLast="47" xr6:coauthVersionMax="47" xr10:uidLastSave="{00000000-0000-0000-0000-000000000000}"/>
  <bookViews>
    <workbookView xWindow="-108" yWindow="-108" windowWidth="23256" windowHeight="12576" xr2:uid="{26BCEA0F-B5C4-43EA-AA1B-ADD1570720EC}"/>
  </bookViews>
  <sheets>
    <sheet name="Dashboard" sheetId="6" r:id="rId1"/>
    <sheet name="Dashboard_pivot _tables" sheetId="5" r:id="rId2"/>
    <sheet name="Exploratory_pivot_tables" sheetId="4" r:id="rId3"/>
    <sheet name="Lookup" sheetId="3" r:id="rId4"/>
    <sheet name="Prepared_data" sheetId="2" r:id="rId5"/>
    <sheet name="Raw_data" sheetId="1" r:id="rId6"/>
  </sheets>
  <definedNames>
    <definedName name="Slicer_season_label">#N/A</definedName>
    <definedName name="Slicer_yr_label">#N/A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6" l="1"/>
  <c r="F9" i="6"/>
  <c r="D9" i="6"/>
  <c r="B9" i="6"/>
  <c r="L10" i="5"/>
  <c r="L9" i="5"/>
  <c r="L8" i="5"/>
  <c r="L6" i="5"/>
  <c r="L5" i="5"/>
  <c r="L4" i="5"/>
  <c r="L2" i="5"/>
  <c r="L1" i="5"/>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2" i="2"/>
  <c r="U2"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3"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2" i="2"/>
</calcChain>
</file>

<file path=xl/sharedStrings.xml><?xml version="1.0" encoding="utf-8"?>
<sst xmlns="http://schemas.openxmlformats.org/spreadsheetml/2006/main" count="189" uniqueCount="96">
  <si>
    <t>instant</t>
  </si>
  <si>
    <t>dteday</t>
  </si>
  <si>
    <t>season</t>
  </si>
  <si>
    <t>yr</t>
  </si>
  <si>
    <t>mnth</t>
  </si>
  <si>
    <t>holiday</t>
  </si>
  <si>
    <t>weekday</t>
  </si>
  <si>
    <t>workingday</t>
  </si>
  <si>
    <t>weathersit</t>
  </si>
  <si>
    <t>temp</t>
  </si>
  <si>
    <t>atemp</t>
  </si>
  <si>
    <t>hum</t>
  </si>
  <si>
    <t>windspeed</t>
  </si>
  <si>
    <t>casual</t>
  </si>
  <si>
    <t>registered</t>
  </si>
  <si>
    <t>cnt</t>
  </si>
  <si>
    <t>temp_actual</t>
  </si>
  <si>
    <t>atemp_actual</t>
  </si>
  <si>
    <t>hum_actual</t>
  </si>
  <si>
    <t>windspeed_actual</t>
  </si>
  <si>
    <t>Season</t>
  </si>
  <si>
    <t>Code</t>
  </si>
  <si>
    <t>Labal</t>
  </si>
  <si>
    <t>Spring</t>
  </si>
  <si>
    <t>Summer</t>
  </si>
  <si>
    <t>Fall</t>
  </si>
  <si>
    <t>Winter</t>
  </si>
  <si>
    <t>Year</t>
  </si>
  <si>
    <t>Label</t>
  </si>
  <si>
    <t>Weather Situation</t>
  </si>
  <si>
    <t>Clear</t>
  </si>
  <si>
    <t>Misty/Cloudy</t>
  </si>
  <si>
    <t>Light Snow/Rain</t>
  </si>
  <si>
    <t>Heavy Rain/Snow</t>
  </si>
  <si>
    <t>Month</t>
  </si>
  <si>
    <t>January</t>
  </si>
  <si>
    <t>February</t>
  </si>
  <si>
    <t>March</t>
  </si>
  <si>
    <t>April</t>
  </si>
  <si>
    <t>May</t>
  </si>
  <si>
    <t>June</t>
  </si>
  <si>
    <t>July</t>
  </si>
  <si>
    <t>August</t>
  </si>
  <si>
    <t>September</t>
  </si>
  <si>
    <t>October</t>
  </si>
  <si>
    <t>November</t>
  </si>
  <si>
    <t>December</t>
  </si>
  <si>
    <t>Weekday</t>
  </si>
  <si>
    <t>Sunday</t>
  </si>
  <si>
    <t>Monday</t>
  </si>
  <si>
    <t>Tuesday</t>
  </si>
  <si>
    <t>Wednesday</t>
  </si>
  <si>
    <t>Thursday</t>
  </si>
  <si>
    <t>Friday</t>
  </si>
  <si>
    <t>Saturday</t>
  </si>
  <si>
    <t>season_label</t>
  </si>
  <si>
    <t>weathersit_label</t>
  </si>
  <si>
    <t>yr_label</t>
  </si>
  <si>
    <t>mnth_label</t>
  </si>
  <si>
    <t>weekday_label</t>
  </si>
  <si>
    <t>Grand Total</t>
  </si>
  <si>
    <t>Row Labels</t>
  </si>
  <si>
    <t>Average of cnt</t>
  </si>
  <si>
    <t>Average of casual</t>
  </si>
  <si>
    <t>Average of registered</t>
  </si>
  <si>
    <t>Column Labels</t>
  </si>
  <si>
    <t>2011</t>
  </si>
  <si>
    <t>2012</t>
  </si>
  <si>
    <t>Jan</t>
  </si>
  <si>
    <t>Feb</t>
  </si>
  <si>
    <t>Mar</t>
  </si>
  <si>
    <t>Apr</t>
  </si>
  <si>
    <t>Jun</t>
  </si>
  <si>
    <t>Jul</t>
  </si>
  <si>
    <t>Aug</t>
  </si>
  <si>
    <t>Sep</t>
  </si>
  <si>
    <t>Oct</t>
  </si>
  <si>
    <t>Nov</t>
  </si>
  <si>
    <t>Dec</t>
  </si>
  <si>
    <t>Years (dteday)</t>
  </si>
  <si>
    <t>Months (dteday)</t>
  </si>
  <si>
    <t>Total rides</t>
  </si>
  <si>
    <t>Average daily rides</t>
  </si>
  <si>
    <t>2011 Avg</t>
  </si>
  <si>
    <t>2012 Avg</t>
  </si>
  <si>
    <t>growth</t>
  </si>
  <si>
    <t>total casual riders</t>
  </si>
  <si>
    <t>total registered riders</t>
  </si>
  <si>
    <t>Casual vs. Registered split (%)</t>
  </si>
  <si>
    <t>Total Rides</t>
  </si>
  <si>
    <t>Average Daily Rides</t>
  </si>
  <si>
    <t>YoY Growth</t>
  </si>
  <si>
    <t>Casual Vs. Registered Split</t>
  </si>
  <si>
    <t>Bike Sharing Demand Dashboard - Capital Bikeshare 2011-2012</t>
  </si>
  <si>
    <t>Note: Season labels corrected to meteorological groupings.</t>
  </si>
  <si>
    <t>Data Source: UCI ML Repository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</si>
</sst>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6"/>
      <color theme="1"/>
      <name val="Aptos Narrow"/>
      <family val="2"/>
      <scheme val="minor"/>
    </font>
    <font>
      <sz val="12"/>
      <color theme="1"/>
      <name val="Aptos Narrow"/>
      <family val="2"/>
      <scheme val="minor"/>
    </font>
    <font>
      <b/>
      <sz val="24"/>
      <color theme="1"/>
      <name val="Aptos Narrow"/>
      <family val="2"/>
      <scheme val="minor"/>
    </font>
    <font>
      <b/>
      <i/>
      <sz val="11"/>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0" fontId="0" fillId="33" borderId="0" xfId="0" applyFill="1"/>
    <xf numFmtId="0" fontId="0" fillId="0" borderId="10" xfId="0" applyBorder="1"/>
    <xf numFmtId="0" fontId="0" fillId="0" borderId="10" xfId="0" applyBorder="1" applyAlignment="1">
      <alignment vertical="center" wrapText="1"/>
    </xf>
    <xf numFmtId="0" fontId="0" fillId="0" borderId="0" xfId="0" pivotButton="1"/>
    <xf numFmtId="0" fontId="0" fillId="0" borderId="0" xfId="0" applyAlignment="1">
      <alignment horizontal="left"/>
    </xf>
    <xf numFmtId="10" fontId="0" fillId="0" borderId="0" xfId="0" applyNumberFormat="1"/>
    <xf numFmtId="0" fontId="19" fillId="34" borderId="11" xfId="0" applyFont="1" applyFill="1" applyBorder="1" applyAlignment="1">
      <alignment horizontal="center"/>
    </xf>
    <xf numFmtId="1" fontId="0" fillId="0" borderId="0" xfId="0" applyNumberFormat="1"/>
    <xf numFmtId="0" fontId="18" fillId="34" borderId="12" xfId="0" applyFont="1" applyFill="1" applyBorder="1" applyAlignment="1">
      <alignment horizontal="center"/>
    </xf>
    <xf numFmtId="1" fontId="18" fillId="34" borderId="12" xfId="0" applyNumberFormat="1" applyFont="1" applyFill="1" applyBorder="1" applyAlignment="1">
      <alignment horizontal="center"/>
    </xf>
    <xf numFmtId="10" fontId="18" fillId="34" borderId="12" xfId="0" applyNumberFormat="1" applyFont="1" applyFill="1" applyBorder="1" applyAlignment="1">
      <alignment horizontal="center"/>
    </xf>
    <xf numFmtId="0" fontId="21" fillId="0" borderId="0" xfId="0" applyFont="1"/>
    <xf numFmtId="0" fontId="20" fillId="0" borderId="0" xfId="0" applyFont="1" applyAlignment="1">
      <alignment horizontal="center"/>
    </xf>
    <xf numFmtId="0" fontId="0" fillId="0" borderId="10" xfId="0"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[bike_sharing_dashboard.xlsx]Dashboard_pivot _tables!PivotTable6</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Monthly Ridership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'Dashboard_pivot _tables'!$C$1</c:f>
              <c:strCache>
                <c:ptCount val="1"/>
                <c:pt idx="0">
                  <c:v>Total</c:v>
                </c:pt>
              </c:strCache>
            </c:strRef>
          </c:tx>
          <c:spPr>
            <a:ln w="28575" cap="rnd">
              <a:solidFill>
                <a:schemeClr val="accent1"/>
              </a:solidFill>
              <a:round/>
            </a:ln>
            <a:effectLst/>
          </c:spPr>
          <c:marker>
            <c:symbol val="none"/>
          </c:marker>
          <c:cat>
            <c:multiLvlStrRef>
              <c:f>'Dashboard_pivot _tables'!$A$2:$B$26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2011</c:v>
                  </c:pt>
                  <c:pt idx="12">
                    <c:v>2012</c:v>
                  </c:pt>
                </c:lvl>
              </c:multiLvlStrCache>
            </c:multiLvlStrRef>
          </c:cat>
          <c:val>
            <c:numRef>
              <c:f>'Dashboard_pivot _tables'!$C$2:$C$26</c:f>
              <c:numCache>
                <c:formatCode>General</c:formatCode>
                <c:ptCount val="24"/>
                <c:pt idx="0">
                  <c:v>1231.9032258064517</c:v>
                </c:pt>
                <c:pt idx="1">
                  <c:v>1721.9642857142858</c:v>
                </c:pt>
                <c:pt idx="2">
                  <c:v>2065.9677419354839</c:v>
                </c:pt>
                <c:pt idx="3">
                  <c:v>3162.3333333333335</c:v>
                </c:pt>
                <c:pt idx="4">
                  <c:v>4381.322580645161</c:v>
                </c:pt>
                <c:pt idx="5">
                  <c:v>4783.7333333333336</c:v>
                </c:pt>
                <c:pt idx="6">
                  <c:v>4559.3870967741932</c:v>
                </c:pt>
                <c:pt idx="7">
                  <c:v>4409.3870967741932</c:v>
                </c:pt>
                <c:pt idx="8">
                  <c:v>4247.2666666666664</c:v>
                </c:pt>
                <c:pt idx="9">
                  <c:v>3984.2258064516127</c:v>
                </c:pt>
                <c:pt idx="10">
                  <c:v>3405.5666666666666</c:v>
                </c:pt>
                <c:pt idx="11">
                  <c:v>2816.8709677419356</c:v>
                </c:pt>
                <c:pt idx="12">
                  <c:v>3120.7741935483873</c:v>
                </c:pt>
                <c:pt idx="13">
                  <c:v>3556.4482758620688</c:v>
                </c:pt>
                <c:pt idx="14">
                  <c:v>5318.5483870967746</c:v>
                </c:pt>
                <c:pt idx="15">
                  <c:v>5807.4666666666662</c:v>
                </c:pt>
                <c:pt idx="16">
                  <c:v>6318.2258064516127</c:v>
                </c:pt>
                <c:pt idx="17">
                  <c:v>6761</c:v>
                </c:pt>
                <c:pt idx="18">
                  <c:v>6567.9677419354839</c:v>
                </c:pt>
                <c:pt idx="19">
                  <c:v>6919.4516129032254</c:v>
                </c:pt>
                <c:pt idx="20">
                  <c:v>7285.7666666666664</c:v>
                </c:pt>
                <c:pt idx="21">
                  <c:v>6414.2258064516127</c:v>
                </c:pt>
                <c:pt idx="22">
                  <c:v>5088.8</c:v>
                </c:pt>
                <c:pt idx="23">
                  <c:v>3990.7419354838707</c:v>
                </c:pt>
              </c:numCache>
            </c:numRef>
          </c:val>
          <c:smooth val="0"/>
          <c:extLst>
            <c:ext xmlns:c16="http://schemas.microsoft.com/office/drawing/2014/chart" uri="{C3380CC4-5D6E-409C-BE32-E72D297353CC}">
              <c16:uniqueId val="{00000000-4BD1-4CC6-94E9-4385FAAEE01E}"/>
            </c:ext>
          </c:extLst>
        </c:ser>
        <c:dLbls>
          <c:showLegendKey val="0"/>
          <c:showVal val="0"/>
          <c:showCatName val="0"/>
          <c:showSerName val="0"/>
          <c:showPercent val="0"/>
          <c:showBubbleSize val="0"/>
        </c:dLbls>
        <c:smooth val="0"/>
        <c:axId val="929629711"/>
        <c:axId val="634473375"/>
      </c:lineChart>
      <c:catAx>
        <c:axId val="92962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34473375"/>
        <c:crosses val="autoZero"/>
        <c:auto val="1"/>
        <c:lblAlgn val="ctr"/>
        <c:lblOffset val="100"/>
        <c:noMultiLvlLbl val="0"/>
      </c:catAx>
      <c:valAx>
        <c:axId val="63447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962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Temperature</a:t>
            </a:r>
            <a:r>
              <a:rPr lang="en-US" baseline="0"/>
              <a:t> Vs. Ridership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scatterChart>
        <c:scatterStyle val="lineMarker"/>
        <c:varyColors val="0"/>
        <c:ser>
          <c:idx val="0"/>
          <c:order val="0"/>
          <c:tx>
            <c:strRef>
              <c:f>Prepared_data!$Q$1</c:f>
              <c:strCache>
                <c:ptCount val="1"/>
                <c:pt idx="0">
                  <c:v>temp_actual</c:v>
                </c:pt>
              </c:strCache>
            </c:strRef>
          </c:tx>
          <c:spPr>
            <a:ln w="38100" cap="rnd">
              <a:noFill/>
              <a:round/>
            </a:ln>
            <a:effectLst/>
          </c:spPr>
          <c:marker>
            <c:symbol val="circle"/>
            <c:size val="5"/>
            <c:spPr>
              <a:solidFill>
                <a:schemeClr val="accent1"/>
              </a:solidFill>
              <a:ln w="9525">
                <a:solidFill>
                  <a:schemeClr val="accent1"/>
                </a:solidFill>
              </a:ln>
              <a:effectLst/>
            </c:spPr>
          </c:marker>
          <c:xVal>
            <c:numRef>
              <c:f>Prepared_data!$Q$2:$Q$732</c:f>
              <c:numCache>
                <c:formatCode>General</c:formatCode>
                <c:ptCount val="731"/>
                <c:pt idx="0">
                  <c:v>8.1758489999999995</c:v>
                </c:pt>
                <c:pt idx="1">
                  <c:v>9.0834660000000014</c:v>
                </c:pt>
                <c:pt idx="2">
                  <c:v>1.2291080000000001</c:v>
                </c:pt>
                <c:pt idx="3">
                  <c:v>1.4000000000000004</c:v>
                </c:pt>
                <c:pt idx="4">
                  <c:v>2.6669789999999995</c:v>
                </c:pt>
                <c:pt idx="5">
                  <c:v>1.6043559999999992</c:v>
                </c:pt>
                <c:pt idx="6">
                  <c:v>1.2365340000000007</c:v>
                </c:pt>
                <c:pt idx="7">
                  <c:v>-0.24499999999999922</c:v>
                </c:pt>
                <c:pt idx="8">
                  <c:v>-1.4983489999999993</c:v>
                </c:pt>
                <c:pt idx="9">
                  <c:v>-0.91084900000000069</c:v>
                </c:pt>
                <c:pt idx="10">
                  <c:v>-5.2723000000000297E-2</c:v>
                </c:pt>
                <c:pt idx="11">
                  <c:v>0.11816899999999997</c:v>
                </c:pt>
                <c:pt idx="12">
                  <c:v>-0.24499999999999922</c:v>
                </c:pt>
                <c:pt idx="13">
                  <c:v>-0.43910999999999945</c:v>
                </c:pt>
                <c:pt idx="14">
                  <c:v>2.9666510000000006</c:v>
                </c:pt>
                <c:pt idx="15">
                  <c:v>2.8883489999999998</c:v>
                </c:pt>
                <c:pt idx="16">
                  <c:v>0.26415100000000002</c:v>
                </c:pt>
                <c:pt idx="17">
                  <c:v>2.1833489999999998</c:v>
                </c:pt>
                <c:pt idx="18">
                  <c:v>5.7321779999999993</c:v>
                </c:pt>
                <c:pt idx="19">
                  <c:v>4.298349</c:v>
                </c:pt>
                <c:pt idx="20">
                  <c:v>0.34249999999999936</c:v>
                </c:pt>
                <c:pt idx="21">
                  <c:v>-5.2208711999999995</c:v>
                </c:pt>
                <c:pt idx="22">
                  <c:v>-3.4634801</c:v>
                </c:pt>
                <c:pt idx="23">
                  <c:v>-3.4226089000000002</c:v>
                </c:pt>
                <c:pt idx="24">
                  <c:v>2.5034660000000013</c:v>
                </c:pt>
                <c:pt idx="25">
                  <c:v>2.2225000000000001</c:v>
                </c:pt>
                <c:pt idx="26">
                  <c:v>1.1650000000000009</c:v>
                </c:pt>
                <c:pt idx="27">
                  <c:v>1.563466</c:v>
                </c:pt>
                <c:pt idx="28">
                  <c:v>1.2365340000000007</c:v>
                </c:pt>
                <c:pt idx="29">
                  <c:v>2.1765340000000002</c:v>
                </c:pt>
                <c:pt idx="30">
                  <c:v>0.49915099999999946</c:v>
                </c:pt>
                <c:pt idx="31">
                  <c:v>1.032178</c:v>
                </c:pt>
                <c:pt idx="32">
                  <c:v>4.2200000000000006</c:v>
                </c:pt>
                <c:pt idx="33">
                  <c:v>0.78697900000000054</c:v>
                </c:pt>
                <c:pt idx="34">
                  <c:v>1.9312880000000003</c:v>
                </c:pt>
                <c:pt idx="35">
                  <c:v>2.9666510000000006</c:v>
                </c:pt>
                <c:pt idx="36">
                  <c:v>5.434151</c:v>
                </c:pt>
                <c:pt idx="37">
                  <c:v>4.7683489999999988</c:v>
                </c:pt>
                <c:pt idx="38">
                  <c:v>2.3791510000000002</c:v>
                </c:pt>
                <c:pt idx="39">
                  <c:v>-1.6651990000000003</c:v>
                </c:pt>
                <c:pt idx="40">
                  <c:v>-1.2156440000000002</c:v>
                </c:pt>
                <c:pt idx="41">
                  <c:v>0.88727700000000098</c:v>
                </c:pt>
                <c:pt idx="42">
                  <c:v>2.4574999999999996</c:v>
                </c:pt>
                <c:pt idx="43">
                  <c:v>6.8765340000000013</c:v>
                </c:pt>
                <c:pt idx="44">
                  <c:v>11.504999999999999</c:v>
                </c:pt>
                <c:pt idx="45">
                  <c:v>4.5060890000000011</c:v>
                </c:pt>
                <c:pt idx="46">
                  <c:v>6.9582670000000011</c:v>
                </c:pt>
                <c:pt idx="47">
                  <c:v>12.484151000000001</c:v>
                </c:pt>
                <c:pt idx="48">
                  <c:v>16.518349000000001</c:v>
                </c:pt>
                <c:pt idx="49">
                  <c:v>10.760849</c:v>
                </c:pt>
                <c:pt idx="50">
                  <c:v>5.4051989999999996</c:v>
                </c:pt>
                <c:pt idx="51">
                  <c:v>6.2566510000000015</c:v>
                </c:pt>
                <c:pt idx="52">
                  <c:v>0.56443400000000032</c:v>
                </c:pt>
                <c:pt idx="53">
                  <c:v>2.4217329999999997</c:v>
                </c:pt>
                <c:pt idx="54">
                  <c:v>5.8956440000000008</c:v>
                </c:pt>
                <c:pt idx="55">
                  <c:v>9.1243559999999988</c:v>
                </c:pt>
                <c:pt idx="56">
                  <c:v>5.2774999999999981</c:v>
                </c:pt>
                <c:pt idx="57">
                  <c:v>8.1434660000000001</c:v>
                </c:pt>
                <c:pt idx="58">
                  <c:v>11.141831</c:v>
                </c:pt>
                <c:pt idx="59">
                  <c:v>4.5333489999999994</c:v>
                </c:pt>
                <c:pt idx="60">
                  <c:v>7.745000000000001</c:v>
                </c:pt>
                <c:pt idx="61">
                  <c:v>1.321651000000001</c:v>
                </c:pt>
                <c:pt idx="62">
                  <c:v>4.298349</c:v>
                </c:pt>
                <c:pt idx="63">
                  <c:v>10.055848999999998</c:v>
                </c:pt>
                <c:pt idx="64">
                  <c:v>9.6965339999999998</c:v>
                </c:pt>
                <c:pt idx="65">
                  <c:v>4.3017330000000005</c:v>
                </c:pt>
                <c:pt idx="66">
                  <c:v>5.7474999999999987</c:v>
                </c:pt>
                <c:pt idx="67">
                  <c:v>5.9041510000000006</c:v>
                </c:pt>
                <c:pt idx="68">
                  <c:v>10.287277</c:v>
                </c:pt>
                <c:pt idx="69">
                  <c:v>6.8765340000000013</c:v>
                </c:pt>
                <c:pt idx="70">
                  <c:v>7.4708489999999994</c:v>
                </c:pt>
                <c:pt idx="71">
                  <c:v>10.064356</c:v>
                </c:pt>
                <c:pt idx="72">
                  <c:v>7.2851989999999986</c:v>
                </c:pt>
                <c:pt idx="73">
                  <c:v>6.9173769999999983</c:v>
                </c:pt>
                <c:pt idx="74">
                  <c:v>9.1651990000000012</c:v>
                </c:pt>
                <c:pt idx="75">
                  <c:v>11.504999999999999</c:v>
                </c:pt>
                <c:pt idx="76">
                  <c:v>17.380000000000003</c:v>
                </c:pt>
                <c:pt idx="77">
                  <c:v>14.2075</c:v>
                </c:pt>
                <c:pt idx="78">
                  <c:v>7.6275000000000013</c:v>
                </c:pt>
                <c:pt idx="79">
                  <c:v>12.230445</c:v>
                </c:pt>
                <c:pt idx="80">
                  <c:v>12.758348999999999</c:v>
                </c:pt>
                <c:pt idx="81">
                  <c:v>8.3069790000000019</c:v>
                </c:pt>
                <c:pt idx="82">
                  <c:v>5.3949999999999996</c:v>
                </c:pt>
                <c:pt idx="83">
                  <c:v>4.4158489999999997</c:v>
                </c:pt>
                <c:pt idx="84">
                  <c:v>4.4941509999999987</c:v>
                </c:pt>
                <c:pt idx="85">
                  <c:v>3.893021000000001</c:v>
                </c:pt>
                <c:pt idx="86">
                  <c:v>4.4243560000000013</c:v>
                </c:pt>
                <c:pt idx="87">
                  <c:v>6.2174999999999994</c:v>
                </c:pt>
                <c:pt idx="88">
                  <c:v>6.1</c:v>
                </c:pt>
                <c:pt idx="89">
                  <c:v>4.6116510000000002</c:v>
                </c:pt>
                <c:pt idx="90">
                  <c:v>6.1</c:v>
                </c:pt>
                <c:pt idx="91">
                  <c:v>6.8049999999999997</c:v>
                </c:pt>
                <c:pt idx="92">
                  <c:v>9.7816510000000001</c:v>
                </c:pt>
                <c:pt idx="93">
                  <c:v>18.946650999999999</c:v>
                </c:pt>
                <c:pt idx="94">
                  <c:v>11.465848999999999</c:v>
                </c:pt>
                <c:pt idx="95">
                  <c:v>10.369150999999999</c:v>
                </c:pt>
                <c:pt idx="96">
                  <c:v>12.5625</c:v>
                </c:pt>
                <c:pt idx="97">
                  <c:v>7.7841509999999996</c:v>
                </c:pt>
                <c:pt idx="98">
                  <c:v>8.0975000000000001</c:v>
                </c:pt>
                <c:pt idx="99">
                  <c:v>12.053349000000001</c:v>
                </c:pt>
                <c:pt idx="100">
                  <c:v>19.995643999999999</c:v>
                </c:pt>
                <c:pt idx="101">
                  <c:v>15.617499999999996</c:v>
                </c:pt>
                <c:pt idx="102">
                  <c:v>11.387499999999999</c:v>
                </c:pt>
                <c:pt idx="103">
                  <c:v>13.9725</c:v>
                </c:pt>
                <c:pt idx="104">
                  <c:v>12.993348999999998</c:v>
                </c:pt>
                <c:pt idx="105">
                  <c:v>12.249151000000001</c:v>
                </c:pt>
                <c:pt idx="106">
                  <c:v>13.463349000000001</c:v>
                </c:pt>
                <c:pt idx="107">
                  <c:v>16.087499999999999</c:v>
                </c:pt>
                <c:pt idx="108">
                  <c:v>15.774151</c:v>
                </c:pt>
                <c:pt idx="109">
                  <c:v>19.965</c:v>
                </c:pt>
                <c:pt idx="110">
                  <c:v>13.580849000000001</c:v>
                </c:pt>
                <c:pt idx="111">
                  <c:v>7.8233490000000003</c:v>
                </c:pt>
                <c:pt idx="112">
                  <c:v>13.620000000000001</c:v>
                </c:pt>
                <c:pt idx="113">
                  <c:v>19.338349000000001</c:v>
                </c:pt>
                <c:pt idx="114">
                  <c:v>20.513348999999998</c:v>
                </c:pt>
                <c:pt idx="115">
                  <c:v>21.688348999999999</c:v>
                </c:pt>
                <c:pt idx="116">
                  <c:v>21.14</c:v>
                </c:pt>
                <c:pt idx="117">
                  <c:v>21.022500000000001</c:v>
                </c:pt>
                <c:pt idx="118">
                  <c:v>15.969999999999999</c:v>
                </c:pt>
                <c:pt idx="119">
                  <c:v>14.2075</c:v>
                </c:pt>
                <c:pt idx="120">
                  <c:v>13.228348999999998</c:v>
                </c:pt>
                <c:pt idx="121">
                  <c:v>17.810848999999997</c:v>
                </c:pt>
                <c:pt idx="122">
                  <c:v>20.983348999999997</c:v>
                </c:pt>
                <c:pt idx="123">
                  <c:v>11.465848999999999</c:v>
                </c:pt>
                <c:pt idx="124">
                  <c:v>13.580849000000001</c:v>
                </c:pt>
                <c:pt idx="125">
                  <c:v>14.520849000000002</c:v>
                </c:pt>
                <c:pt idx="126">
                  <c:v>16.440000000000001</c:v>
                </c:pt>
                <c:pt idx="127">
                  <c:v>16.831651000000001</c:v>
                </c:pt>
                <c:pt idx="128">
                  <c:v>17.0275</c:v>
                </c:pt>
                <c:pt idx="129">
                  <c:v>17.0275</c:v>
                </c:pt>
                <c:pt idx="130">
                  <c:v>17.497499999999999</c:v>
                </c:pt>
                <c:pt idx="131">
                  <c:v>17.145000000000003</c:v>
                </c:pt>
                <c:pt idx="132">
                  <c:v>16.087499999999999</c:v>
                </c:pt>
                <c:pt idx="133">
                  <c:v>16.479150999999998</c:v>
                </c:pt>
                <c:pt idx="134">
                  <c:v>18.4375</c:v>
                </c:pt>
                <c:pt idx="135">
                  <c:v>19.142500000000002</c:v>
                </c:pt>
                <c:pt idx="136">
                  <c:v>18.398349</c:v>
                </c:pt>
                <c:pt idx="137">
                  <c:v>17.850000000000001</c:v>
                </c:pt>
                <c:pt idx="138">
                  <c:v>16.949151000000001</c:v>
                </c:pt>
                <c:pt idx="139">
                  <c:v>17.223348999999999</c:v>
                </c:pt>
                <c:pt idx="140">
                  <c:v>20.317500000000003</c:v>
                </c:pt>
                <c:pt idx="141">
                  <c:v>20.395849000000002</c:v>
                </c:pt>
                <c:pt idx="142">
                  <c:v>21.688348999999999</c:v>
                </c:pt>
                <c:pt idx="143">
                  <c:v>23.020000000000003</c:v>
                </c:pt>
                <c:pt idx="144">
                  <c:v>23.059151</c:v>
                </c:pt>
                <c:pt idx="145">
                  <c:v>25.291651000000002</c:v>
                </c:pt>
                <c:pt idx="146">
                  <c:v>24.038349000000004</c:v>
                </c:pt>
                <c:pt idx="147">
                  <c:v>22.824151000000001</c:v>
                </c:pt>
                <c:pt idx="148">
                  <c:v>23.372499999999999</c:v>
                </c:pt>
                <c:pt idx="149">
                  <c:v>26.466650999999999</c:v>
                </c:pt>
                <c:pt idx="150">
                  <c:v>28.425000000000004</c:v>
                </c:pt>
                <c:pt idx="151">
                  <c:v>27.915849000000001</c:v>
                </c:pt>
                <c:pt idx="152">
                  <c:v>25.604999999999997</c:v>
                </c:pt>
                <c:pt idx="153">
                  <c:v>21.14</c:v>
                </c:pt>
                <c:pt idx="154">
                  <c:v>21.844999999999999</c:v>
                </c:pt>
                <c:pt idx="155">
                  <c:v>22.471651000000001</c:v>
                </c:pt>
                <c:pt idx="156">
                  <c:v>23.881650999999998</c:v>
                </c:pt>
                <c:pt idx="157">
                  <c:v>25.252499999999998</c:v>
                </c:pt>
                <c:pt idx="158">
                  <c:v>28.464151000000001</c:v>
                </c:pt>
                <c:pt idx="159">
                  <c:v>29.991650999999997</c:v>
                </c:pt>
                <c:pt idx="160">
                  <c:v>27.484999999999999</c:v>
                </c:pt>
                <c:pt idx="161">
                  <c:v>26.074999999999996</c:v>
                </c:pt>
                <c:pt idx="162">
                  <c:v>24.547499999999999</c:v>
                </c:pt>
                <c:pt idx="163">
                  <c:v>21.844999999999999</c:v>
                </c:pt>
                <c:pt idx="164">
                  <c:v>20.395849000000002</c:v>
                </c:pt>
                <c:pt idx="165">
                  <c:v>21.453348999999999</c:v>
                </c:pt>
                <c:pt idx="166">
                  <c:v>21.531651</c:v>
                </c:pt>
                <c:pt idx="167">
                  <c:v>22.510849000000004</c:v>
                </c:pt>
                <c:pt idx="168">
                  <c:v>24.743349000000002</c:v>
                </c:pt>
                <c:pt idx="169">
                  <c:v>24.860849000000002</c:v>
                </c:pt>
                <c:pt idx="170">
                  <c:v>21.844999999999999</c:v>
                </c:pt>
                <c:pt idx="171">
                  <c:v>23.999151000000001</c:v>
                </c:pt>
                <c:pt idx="172">
                  <c:v>26.466650999999999</c:v>
                </c:pt>
                <c:pt idx="173">
                  <c:v>26.231650999999999</c:v>
                </c:pt>
                <c:pt idx="174">
                  <c:v>26.035848999999999</c:v>
                </c:pt>
                <c:pt idx="175">
                  <c:v>24.664999999999999</c:v>
                </c:pt>
                <c:pt idx="176">
                  <c:v>23.96</c:v>
                </c:pt>
                <c:pt idx="177">
                  <c:v>24.077500000000001</c:v>
                </c:pt>
                <c:pt idx="178">
                  <c:v>26.975849000000004</c:v>
                </c:pt>
                <c:pt idx="179">
                  <c:v>26.231650999999999</c:v>
                </c:pt>
                <c:pt idx="180">
                  <c:v>24.743349000000002</c:v>
                </c:pt>
                <c:pt idx="181">
                  <c:v>25.957500000000003</c:v>
                </c:pt>
                <c:pt idx="182">
                  <c:v>26.701650999999998</c:v>
                </c:pt>
                <c:pt idx="183">
                  <c:v>25.683349</c:v>
                </c:pt>
                <c:pt idx="184">
                  <c:v>26.153348999999999</c:v>
                </c:pt>
                <c:pt idx="185">
                  <c:v>27.093348999999996</c:v>
                </c:pt>
                <c:pt idx="186">
                  <c:v>25.839999999999996</c:v>
                </c:pt>
                <c:pt idx="187">
                  <c:v>27.25</c:v>
                </c:pt>
                <c:pt idx="188">
                  <c:v>25.330849000000001</c:v>
                </c:pt>
                <c:pt idx="189">
                  <c:v>26.466650999999999</c:v>
                </c:pt>
                <c:pt idx="190">
                  <c:v>27.1325</c:v>
                </c:pt>
                <c:pt idx="191">
                  <c:v>27.837499999999999</c:v>
                </c:pt>
                <c:pt idx="192">
                  <c:v>29.325848999999998</c:v>
                </c:pt>
                <c:pt idx="193">
                  <c:v>27.093348999999996</c:v>
                </c:pt>
                <c:pt idx="194">
                  <c:v>23.999151000000001</c:v>
                </c:pt>
                <c:pt idx="195">
                  <c:v>23.176650999999996</c:v>
                </c:pt>
                <c:pt idx="196">
                  <c:v>24.273349000000003</c:v>
                </c:pt>
                <c:pt idx="197">
                  <c:v>25.800848999999999</c:v>
                </c:pt>
                <c:pt idx="198">
                  <c:v>27.093348999999996</c:v>
                </c:pt>
                <c:pt idx="199">
                  <c:v>28.503349</c:v>
                </c:pt>
                <c:pt idx="200">
                  <c:v>28.111651000000002</c:v>
                </c:pt>
                <c:pt idx="201">
                  <c:v>30.305</c:v>
                </c:pt>
                <c:pt idx="202">
                  <c:v>31.871651</c:v>
                </c:pt>
                <c:pt idx="203">
                  <c:v>31.910848999999999</c:v>
                </c:pt>
                <c:pt idx="204">
                  <c:v>31.009999999999998</c:v>
                </c:pt>
                <c:pt idx="205">
                  <c:v>26.936650999999998</c:v>
                </c:pt>
                <c:pt idx="206">
                  <c:v>28.268349000000001</c:v>
                </c:pt>
                <c:pt idx="207">
                  <c:v>28.425000000000004</c:v>
                </c:pt>
                <c:pt idx="208">
                  <c:v>28.620849</c:v>
                </c:pt>
                <c:pt idx="209">
                  <c:v>31.401651000000001</c:v>
                </c:pt>
                <c:pt idx="210">
                  <c:v>29.795848999999997</c:v>
                </c:pt>
                <c:pt idx="211">
                  <c:v>29.874150999999998</c:v>
                </c:pt>
                <c:pt idx="212">
                  <c:v>28.268349000000001</c:v>
                </c:pt>
                <c:pt idx="213">
                  <c:v>28.816651</c:v>
                </c:pt>
                <c:pt idx="214">
                  <c:v>26.388348999999998</c:v>
                </c:pt>
                <c:pt idx="215">
                  <c:v>25.369999999999997</c:v>
                </c:pt>
                <c:pt idx="216">
                  <c:v>25.409151000000001</c:v>
                </c:pt>
                <c:pt idx="217">
                  <c:v>25.683349</c:v>
                </c:pt>
                <c:pt idx="218">
                  <c:v>26.897500000000001</c:v>
                </c:pt>
                <c:pt idx="219">
                  <c:v>27.954999999999998</c:v>
                </c:pt>
                <c:pt idx="220">
                  <c:v>28.425000000000004</c:v>
                </c:pt>
                <c:pt idx="221">
                  <c:v>28.033349000000001</c:v>
                </c:pt>
                <c:pt idx="222">
                  <c:v>25.722500000000004</c:v>
                </c:pt>
                <c:pt idx="223">
                  <c:v>25.291651000000002</c:v>
                </c:pt>
                <c:pt idx="224">
                  <c:v>24.234151000000004</c:v>
                </c:pt>
                <c:pt idx="225">
                  <c:v>23.803349000000001</c:v>
                </c:pt>
                <c:pt idx="226">
                  <c:v>23.294150999999999</c:v>
                </c:pt>
                <c:pt idx="227">
                  <c:v>24.939151000000003</c:v>
                </c:pt>
                <c:pt idx="228">
                  <c:v>25.996651</c:v>
                </c:pt>
                <c:pt idx="229">
                  <c:v>25.448349</c:v>
                </c:pt>
                <c:pt idx="230">
                  <c:v>24.195</c:v>
                </c:pt>
                <c:pt idx="231">
                  <c:v>24.782499999999999</c:v>
                </c:pt>
                <c:pt idx="232">
                  <c:v>25.409151000000001</c:v>
                </c:pt>
                <c:pt idx="233">
                  <c:v>24.508349000000003</c:v>
                </c:pt>
                <c:pt idx="234">
                  <c:v>22.119150999999999</c:v>
                </c:pt>
                <c:pt idx="235">
                  <c:v>23.646650999999999</c:v>
                </c:pt>
                <c:pt idx="236">
                  <c:v>24.155848999999996</c:v>
                </c:pt>
                <c:pt idx="237">
                  <c:v>24.9</c:v>
                </c:pt>
                <c:pt idx="238">
                  <c:v>23.96</c:v>
                </c:pt>
                <c:pt idx="239">
                  <c:v>25.231772999999997</c:v>
                </c:pt>
                <c:pt idx="240">
                  <c:v>21.923348999999998</c:v>
                </c:pt>
                <c:pt idx="241">
                  <c:v>22.040849000000001</c:v>
                </c:pt>
                <c:pt idx="242">
                  <c:v>22.863348999999999</c:v>
                </c:pt>
                <c:pt idx="243">
                  <c:v>22.785</c:v>
                </c:pt>
                <c:pt idx="244">
                  <c:v>22.236651000000002</c:v>
                </c:pt>
                <c:pt idx="245">
                  <c:v>23.450848999999998</c:v>
                </c:pt>
                <c:pt idx="246">
                  <c:v>25.330849000000001</c:v>
                </c:pt>
                <c:pt idx="247">
                  <c:v>23.646650999999999</c:v>
                </c:pt>
                <c:pt idx="248">
                  <c:v>17.380000000000003</c:v>
                </c:pt>
                <c:pt idx="249">
                  <c:v>20.160848999999999</c:v>
                </c:pt>
                <c:pt idx="250">
                  <c:v>21.793910999999998</c:v>
                </c:pt>
                <c:pt idx="251">
                  <c:v>22.55</c:v>
                </c:pt>
                <c:pt idx="252">
                  <c:v>23.020000000000003</c:v>
                </c:pt>
                <c:pt idx="253">
                  <c:v>22.706651000000001</c:v>
                </c:pt>
                <c:pt idx="254">
                  <c:v>22.284356000000002</c:v>
                </c:pt>
                <c:pt idx="255">
                  <c:v>22.589151000000001</c:v>
                </c:pt>
                <c:pt idx="256">
                  <c:v>23.646650999999999</c:v>
                </c:pt>
                <c:pt idx="257">
                  <c:v>19.142500000000002</c:v>
                </c:pt>
                <c:pt idx="258">
                  <c:v>14.050848999999999</c:v>
                </c:pt>
                <c:pt idx="259">
                  <c:v>15.108349</c:v>
                </c:pt>
                <c:pt idx="260">
                  <c:v>15.852499999999999</c:v>
                </c:pt>
                <c:pt idx="261">
                  <c:v>17.810848999999997</c:v>
                </c:pt>
                <c:pt idx="262">
                  <c:v>18.398349</c:v>
                </c:pt>
                <c:pt idx="263">
                  <c:v>19.965</c:v>
                </c:pt>
                <c:pt idx="264">
                  <c:v>21.531651</c:v>
                </c:pt>
                <c:pt idx="265">
                  <c:v>20.630849000000001</c:v>
                </c:pt>
                <c:pt idx="266">
                  <c:v>20.513348999999998</c:v>
                </c:pt>
                <c:pt idx="267">
                  <c:v>21.805849000000002</c:v>
                </c:pt>
                <c:pt idx="268">
                  <c:v>22.510849000000004</c:v>
                </c:pt>
                <c:pt idx="269">
                  <c:v>21.923348999999998</c:v>
                </c:pt>
                <c:pt idx="270">
                  <c:v>21.844999999999999</c:v>
                </c:pt>
                <c:pt idx="271">
                  <c:v>20.983348999999997</c:v>
                </c:pt>
                <c:pt idx="272">
                  <c:v>18.515848999999999</c:v>
                </c:pt>
                <c:pt idx="273">
                  <c:v>11.27</c:v>
                </c:pt>
                <c:pt idx="274">
                  <c:v>8.7633490000000016</c:v>
                </c:pt>
                <c:pt idx="275">
                  <c:v>10.055848999999998</c:v>
                </c:pt>
                <c:pt idx="276">
                  <c:v>14.755849000000001</c:v>
                </c:pt>
                <c:pt idx="277">
                  <c:v>17.301650999999996</c:v>
                </c:pt>
                <c:pt idx="278">
                  <c:v>15.225849</c:v>
                </c:pt>
                <c:pt idx="279">
                  <c:v>16.009150999999999</c:v>
                </c:pt>
                <c:pt idx="280">
                  <c:v>16.518349000000001</c:v>
                </c:pt>
                <c:pt idx="281">
                  <c:v>17.419150999999999</c:v>
                </c:pt>
                <c:pt idx="282">
                  <c:v>18.829151000000003</c:v>
                </c:pt>
                <c:pt idx="283">
                  <c:v>18.633349000000003</c:v>
                </c:pt>
                <c:pt idx="284">
                  <c:v>17.536650999999999</c:v>
                </c:pt>
                <c:pt idx="285">
                  <c:v>19.690849</c:v>
                </c:pt>
                <c:pt idx="286">
                  <c:v>17.889151000000002</c:v>
                </c:pt>
                <c:pt idx="287">
                  <c:v>15.813348999999999</c:v>
                </c:pt>
                <c:pt idx="288">
                  <c:v>16.048348999999998</c:v>
                </c:pt>
                <c:pt idx="289">
                  <c:v>17.105848999999999</c:v>
                </c:pt>
                <c:pt idx="290">
                  <c:v>17.0275</c:v>
                </c:pt>
                <c:pt idx="291">
                  <c:v>17.461732999999999</c:v>
                </c:pt>
                <c:pt idx="292">
                  <c:v>14.364151</c:v>
                </c:pt>
                <c:pt idx="293">
                  <c:v>12.092500000000001</c:v>
                </c:pt>
                <c:pt idx="294">
                  <c:v>11.857499999999998</c:v>
                </c:pt>
                <c:pt idx="295">
                  <c:v>11.818349000000001</c:v>
                </c:pt>
                <c:pt idx="296">
                  <c:v>13.776651000000001</c:v>
                </c:pt>
                <c:pt idx="297">
                  <c:v>14.168348999999999</c:v>
                </c:pt>
                <c:pt idx="298">
                  <c:v>14.755849000000001</c:v>
                </c:pt>
                <c:pt idx="299">
                  <c:v>14.09</c:v>
                </c:pt>
                <c:pt idx="300">
                  <c:v>7.5491510000000002</c:v>
                </c:pt>
                <c:pt idx="301">
                  <c:v>3.9458489999999991</c:v>
                </c:pt>
                <c:pt idx="302">
                  <c:v>7.0008489999999988</c:v>
                </c:pt>
                <c:pt idx="303">
                  <c:v>7.98</c:v>
                </c:pt>
                <c:pt idx="304">
                  <c:v>10.839151000000001</c:v>
                </c:pt>
                <c:pt idx="305">
                  <c:v>9.7424999999999997</c:v>
                </c:pt>
                <c:pt idx="306">
                  <c:v>11.191651</c:v>
                </c:pt>
                <c:pt idx="307">
                  <c:v>10.956651000000001</c:v>
                </c:pt>
                <c:pt idx="308">
                  <c:v>7.3533489999999997</c:v>
                </c:pt>
                <c:pt idx="309">
                  <c:v>8.371651</c:v>
                </c:pt>
                <c:pt idx="310">
                  <c:v>10.565000000000001</c:v>
                </c:pt>
                <c:pt idx="311">
                  <c:v>11.191651</c:v>
                </c:pt>
                <c:pt idx="312">
                  <c:v>10.8</c:v>
                </c:pt>
                <c:pt idx="313">
                  <c:v>9.86</c:v>
                </c:pt>
                <c:pt idx="314">
                  <c:v>7.235849</c:v>
                </c:pt>
                <c:pt idx="315">
                  <c:v>8.7633490000000016</c:v>
                </c:pt>
                <c:pt idx="316">
                  <c:v>12.719151</c:v>
                </c:pt>
                <c:pt idx="317">
                  <c:v>16.91</c:v>
                </c:pt>
                <c:pt idx="318">
                  <c:v>16.91</c:v>
                </c:pt>
                <c:pt idx="319">
                  <c:v>13.463349000000001</c:v>
                </c:pt>
                <c:pt idx="320">
                  <c:v>8.0583489999999998</c:v>
                </c:pt>
                <c:pt idx="321">
                  <c:v>4.8858490000000003</c:v>
                </c:pt>
                <c:pt idx="322">
                  <c:v>7.4708489999999994</c:v>
                </c:pt>
                <c:pt idx="323">
                  <c:v>13.776651000000001</c:v>
                </c:pt>
                <c:pt idx="324">
                  <c:v>13.032499999999999</c:v>
                </c:pt>
                <c:pt idx="325">
                  <c:v>11.583349000000002</c:v>
                </c:pt>
                <c:pt idx="326">
                  <c:v>12.719151</c:v>
                </c:pt>
                <c:pt idx="327">
                  <c:v>9.5466510000000007</c:v>
                </c:pt>
                <c:pt idx="328">
                  <c:v>9.625</c:v>
                </c:pt>
                <c:pt idx="329">
                  <c:v>9.6641510000000004</c:v>
                </c:pt>
                <c:pt idx="330">
                  <c:v>13.580849000000001</c:v>
                </c:pt>
                <c:pt idx="331">
                  <c:v>15.663466</c:v>
                </c:pt>
                <c:pt idx="332">
                  <c:v>13.541650999999998</c:v>
                </c:pt>
                <c:pt idx="333">
                  <c:v>7.2750000000000004</c:v>
                </c:pt>
                <c:pt idx="334">
                  <c:v>6.6875</c:v>
                </c:pt>
                <c:pt idx="335">
                  <c:v>6.7658489999999993</c:v>
                </c:pt>
                <c:pt idx="336">
                  <c:v>6.060849000000001</c:v>
                </c:pt>
                <c:pt idx="337">
                  <c:v>7.5491510000000002</c:v>
                </c:pt>
                <c:pt idx="338">
                  <c:v>10.134150999999999</c:v>
                </c:pt>
                <c:pt idx="339">
                  <c:v>13.737500000000001</c:v>
                </c:pt>
                <c:pt idx="340">
                  <c:v>11.27</c:v>
                </c:pt>
                <c:pt idx="341">
                  <c:v>4.4941509999999987</c:v>
                </c:pt>
                <c:pt idx="342">
                  <c:v>5.6691510000000012</c:v>
                </c:pt>
                <c:pt idx="343">
                  <c:v>4.9250000000000007</c:v>
                </c:pt>
                <c:pt idx="344">
                  <c:v>2.3791510000000002</c:v>
                </c:pt>
                <c:pt idx="345">
                  <c:v>3.201651</c:v>
                </c:pt>
                <c:pt idx="346">
                  <c:v>5.2774999999999981</c:v>
                </c:pt>
                <c:pt idx="347">
                  <c:v>6.9224999999999994</c:v>
                </c:pt>
                <c:pt idx="348">
                  <c:v>11.857499999999998</c:v>
                </c:pt>
                <c:pt idx="349">
                  <c:v>9.625</c:v>
                </c:pt>
                <c:pt idx="350">
                  <c:v>4.1416509999999995</c:v>
                </c:pt>
                <c:pt idx="351">
                  <c:v>3.201651</c:v>
                </c:pt>
                <c:pt idx="352">
                  <c:v>5.003349</c:v>
                </c:pt>
                <c:pt idx="353">
                  <c:v>10.134150999999999</c:v>
                </c:pt>
                <c:pt idx="354">
                  <c:v>12.131651000000002</c:v>
                </c:pt>
                <c:pt idx="355">
                  <c:v>11.896651000000002</c:v>
                </c:pt>
                <c:pt idx="356">
                  <c:v>9.5466510000000007</c:v>
                </c:pt>
                <c:pt idx="357">
                  <c:v>6.2174999999999994</c:v>
                </c:pt>
                <c:pt idx="358">
                  <c:v>4.9148010000000006</c:v>
                </c:pt>
                <c:pt idx="359">
                  <c:v>7.121732999999999</c:v>
                </c:pt>
                <c:pt idx="360">
                  <c:v>7.2750000000000004</c:v>
                </c:pt>
                <c:pt idx="361">
                  <c:v>6.0591100000000004</c:v>
                </c:pt>
                <c:pt idx="362">
                  <c:v>3.6716510000000007</c:v>
                </c:pt>
                <c:pt idx="363">
                  <c:v>6.6483490000000014</c:v>
                </c:pt>
                <c:pt idx="364">
                  <c:v>11.27</c:v>
                </c:pt>
                <c:pt idx="365">
                  <c:v>9.39</c:v>
                </c:pt>
                <c:pt idx="366">
                  <c:v>4.8330209999999987</c:v>
                </c:pt>
                <c:pt idx="367">
                  <c:v>-0.95000000000000018</c:v>
                </c:pt>
                <c:pt idx="368">
                  <c:v>-2.9474999999999998</c:v>
                </c:pt>
                <c:pt idx="369">
                  <c:v>4.4941509999999987</c:v>
                </c:pt>
                <c:pt idx="370">
                  <c:v>7.7058489999999988</c:v>
                </c:pt>
                <c:pt idx="371">
                  <c:v>10.486650999999998</c:v>
                </c:pt>
                <c:pt idx="372">
                  <c:v>7.8625000000000007</c:v>
                </c:pt>
                <c:pt idx="373">
                  <c:v>2.5358490000000007</c:v>
                </c:pt>
                <c:pt idx="374">
                  <c:v>6.5087120000000009</c:v>
                </c:pt>
                <c:pt idx="375">
                  <c:v>4.8858490000000003</c:v>
                </c:pt>
                <c:pt idx="376">
                  <c:v>9.9774999999999991</c:v>
                </c:pt>
                <c:pt idx="377">
                  <c:v>4.8858490000000003</c:v>
                </c:pt>
                <c:pt idx="378">
                  <c:v>0.45999999999999908</c:v>
                </c:pt>
                <c:pt idx="379">
                  <c:v>-0.16665099999999988</c:v>
                </c:pt>
                <c:pt idx="380">
                  <c:v>0.92999999999999972</c:v>
                </c:pt>
                <c:pt idx="381">
                  <c:v>9.5330210000000015</c:v>
                </c:pt>
                <c:pt idx="382">
                  <c:v>6.2566510000000015</c:v>
                </c:pt>
                <c:pt idx="383">
                  <c:v>0.92999999999999972</c:v>
                </c:pt>
                <c:pt idx="384">
                  <c:v>2.2225000000000001</c:v>
                </c:pt>
                <c:pt idx="385">
                  <c:v>0.14665099999999853</c:v>
                </c:pt>
                <c:pt idx="386">
                  <c:v>-0.36249999999999982</c:v>
                </c:pt>
                <c:pt idx="387">
                  <c:v>2.2616510000000005</c:v>
                </c:pt>
                <c:pt idx="388">
                  <c:v>8.0975000000000001</c:v>
                </c:pt>
                <c:pt idx="389">
                  <c:v>5.8258489999999998</c:v>
                </c:pt>
                <c:pt idx="390">
                  <c:v>8.0583489999999998</c:v>
                </c:pt>
                <c:pt idx="391">
                  <c:v>11.974999999999998</c:v>
                </c:pt>
                <c:pt idx="392">
                  <c:v>6.8441509999999983</c:v>
                </c:pt>
                <c:pt idx="393">
                  <c:v>5.2774999999999981</c:v>
                </c:pt>
                <c:pt idx="394">
                  <c:v>4.6508489999999991</c:v>
                </c:pt>
                <c:pt idx="395">
                  <c:v>10.330000000000002</c:v>
                </c:pt>
                <c:pt idx="396">
                  <c:v>14.050848999999999</c:v>
                </c:pt>
                <c:pt idx="397">
                  <c:v>10.760849</c:v>
                </c:pt>
                <c:pt idx="398">
                  <c:v>6.7266509999999986</c:v>
                </c:pt>
                <c:pt idx="399">
                  <c:v>4.4158489999999997</c:v>
                </c:pt>
                <c:pt idx="400">
                  <c:v>4.4941509999999987</c:v>
                </c:pt>
                <c:pt idx="401">
                  <c:v>5.2826229999999992</c:v>
                </c:pt>
                <c:pt idx="402">
                  <c:v>8.6458490000000019</c:v>
                </c:pt>
                <c:pt idx="403">
                  <c:v>4.0633489999999988</c:v>
                </c:pt>
                <c:pt idx="404">
                  <c:v>4.4550000000000001</c:v>
                </c:pt>
                <c:pt idx="405">
                  <c:v>5.1991510000000005</c:v>
                </c:pt>
                <c:pt idx="406">
                  <c:v>2.5358490000000007</c:v>
                </c:pt>
                <c:pt idx="407">
                  <c:v>-2.0075000000000003</c:v>
                </c:pt>
                <c:pt idx="408">
                  <c:v>2.4574999999999996</c:v>
                </c:pt>
                <c:pt idx="409">
                  <c:v>7.0008489999999988</c:v>
                </c:pt>
                <c:pt idx="410">
                  <c:v>8.371651</c:v>
                </c:pt>
                <c:pt idx="411">
                  <c:v>6.8833489999999991</c:v>
                </c:pt>
                <c:pt idx="412">
                  <c:v>8.1366510000000005</c:v>
                </c:pt>
                <c:pt idx="413">
                  <c:v>8.2933489999999992</c:v>
                </c:pt>
                <c:pt idx="414">
                  <c:v>5.1600000000000019</c:v>
                </c:pt>
                <c:pt idx="415">
                  <c:v>5.1600000000000019</c:v>
                </c:pt>
                <c:pt idx="416">
                  <c:v>5.5278220000000005</c:v>
                </c:pt>
                <c:pt idx="417">
                  <c:v>10.604150999999998</c:v>
                </c:pt>
                <c:pt idx="418">
                  <c:v>13.345849000000001</c:v>
                </c:pt>
                <c:pt idx="419">
                  <c:v>11.1525</c:v>
                </c:pt>
                <c:pt idx="420">
                  <c:v>5.6691510000000012</c:v>
                </c:pt>
                <c:pt idx="421">
                  <c:v>5.1208489999999998</c:v>
                </c:pt>
                <c:pt idx="422">
                  <c:v>9.2333490000000005</c:v>
                </c:pt>
                <c:pt idx="423">
                  <c:v>8.8808490000000013</c:v>
                </c:pt>
                <c:pt idx="424">
                  <c:v>8.1843560000000011</c:v>
                </c:pt>
                <c:pt idx="425">
                  <c:v>14.834151000000002</c:v>
                </c:pt>
                <c:pt idx="426">
                  <c:v>8.6066509999999994</c:v>
                </c:pt>
                <c:pt idx="427">
                  <c:v>11.465848999999999</c:v>
                </c:pt>
                <c:pt idx="428">
                  <c:v>7.314150999999999</c:v>
                </c:pt>
                <c:pt idx="429">
                  <c:v>3.4366509999999995</c:v>
                </c:pt>
                <c:pt idx="430">
                  <c:v>4.1416509999999995</c:v>
                </c:pt>
                <c:pt idx="431">
                  <c:v>10.995849</c:v>
                </c:pt>
                <c:pt idx="432">
                  <c:v>16.792499999999997</c:v>
                </c:pt>
                <c:pt idx="433">
                  <c:v>11.309151</c:v>
                </c:pt>
                <c:pt idx="434">
                  <c:v>5.5124999999999993</c:v>
                </c:pt>
                <c:pt idx="435">
                  <c:v>9.001732999999998</c:v>
                </c:pt>
                <c:pt idx="436">
                  <c:v>13.933349</c:v>
                </c:pt>
                <c:pt idx="437">
                  <c:v>18.554999999999996</c:v>
                </c:pt>
                <c:pt idx="438">
                  <c:v>18.907499999999999</c:v>
                </c:pt>
                <c:pt idx="439">
                  <c:v>18.202500000000001</c:v>
                </c:pt>
                <c:pt idx="440">
                  <c:v>12.484151000000001</c:v>
                </c:pt>
                <c:pt idx="441">
                  <c:v>16.165849000000001</c:v>
                </c:pt>
                <c:pt idx="442">
                  <c:v>14.2075</c:v>
                </c:pt>
                <c:pt idx="443">
                  <c:v>17.615000000000002</c:v>
                </c:pt>
                <c:pt idx="444">
                  <c:v>18.359151000000001</c:v>
                </c:pt>
                <c:pt idx="445">
                  <c:v>16.988348999999999</c:v>
                </c:pt>
                <c:pt idx="446">
                  <c:v>18.045848999999997</c:v>
                </c:pt>
                <c:pt idx="447">
                  <c:v>20.278348999999999</c:v>
                </c:pt>
                <c:pt idx="448">
                  <c:v>15.617499999999996</c:v>
                </c:pt>
                <c:pt idx="449">
                  <c:v>12.5625</c:v>
                </c:pt>
                <c:pt idx="450">
                  <c:v>12.954151</c:v>
                </c:pt>
                <c:pt idx="451">
                  <c:v>7.1966509999999992</c:v>
                </c:pt>
                <c:pt idx="452">
                  <c:v>14.755849000000001</c:v>
                </c:pt>
                <c:pt idx="453">
                  <c:v>15.225849</c:v>
                </c:pt>
                <c:pt idx="454">
                  <c:v>9.39</c:v>
                </c:pt>
                <c:pt idx="455">
                  <c:v>11.935849000000001</c:v>
                </c:pt>
                <c:pt idx="456">
                  <c:v>12.014151000000002</c:v>
                </c:pt>
                <c:pt idx="457">
                  <c:v>12.393910999999999</c:v>
                </c:pt>
                <c:pt idx="458">
                  <c:v>13.933349</c:v>
                </c:pt>
                <c:pt idx="459">
                  <c:v>17.458349000000002</c:v>
                </c:pt>
                <c:pt idx="460">
                  <c:v>12.445</c:v>
                </c:pt>
                <c:pt idx="461">
                  <c:v>10.956651000000001</c:v>
                </c:pt>
                <c:pt idx="462">
                  <c:v>12.5625</c:v>
                </c:pt>
                <c:pt idx="463">
                  <c:v>15.5</c:v>
                </c:pt>
                <c:pt idx="464">
                  <c:v>14.990849000000001</c:v>
                </c:pt>
                <c:pt idx="465">
                  <c:v>12.993348999999998</c:v>
                </c:pt>
                <c:pt idx="466">
                  <c:v>8.3887120000000017</c:v>
                </c:pt>
                <c:pt idx="467">
                  <c:v>10.682500000000001</c:v>
                </c:pt>
                <c:pt idx="468">
                  <c:v>12.797499999999999</c:v>
                </c:pt>
                <c:pt idx="469">
                  <c:v>15.265000000000001</c:v>
                </c:pt>
                <c:pt idx="470">
                  <c:v>20.513348999999998</c:v>
                </c:pt>
                <c:pt idx="471">
                  <c:v>23.215848999999999</c:v>
                </c:pt>
                <c:pt idx="472">
                  <c:v>20.591650999999999</c:v>
                </c:pt>
                <c:pt idx="473">
                  <c:v>13.776651000000001</c:v>
                </c:pt>
                <c:pt idx="474">
                  <c:v>15.421651000000001</c:v>
                </c:pt>
                <c:pt idx="475">
                  <c:v>16.753349</c:v>
                </c:pt>
                <c:pt idx="476">
                  <c:v>18.79</c:v>
                </c:pt>
                <c:pt idx="477">
                  <c:v>10.643349000000001</c:v>
                </c:pt>
                <c:pt idx="478">
                  <c:v>7.1183489999999985</c:v>
                </c:pt>
                <c:pt idx="479">
                  <c:v>11.426651</c:v>
                </c:pt>
                <c:pt idx="480">
                  <c:v>14.403348999999999</c:v>
                </c:pt>
                <c:pt idx="481">
                  <c:v>15.421651000000001</c:v>
                </c:pt>
                <c:pt idx="482">
                  <c:v>13.502500000000001</c:v>
                </c:pt>
                <c:pt idx="483">
                  <c:v>9.7033489999999993</c:v>
                </c:pt>
                <c:pt idx="484">
                  <c:v>13.541650999999998</c:v>
                </c:pt>
                <c:pt idx="485">
                  <c:v>13.815849</c:v>
                </c:pt>
                <c:pt idx="486">
                  <c:v>20.826651000000002</c:v>
                </c:pt>
                <c:pt idx="487">
                  <c:v>18.515848999999999</c:v>
                </c:pt>
                <c:pt idx="488">
                  <c:v>18.320000000000004</c:v>
                </c:pt>
                <c:pt idx="489">
                  <c:v>21.492499999999996</c:v>
                </c:pt>
                <c:pt idx="490">
                  <c:v>21.218349</c:v>
                </c:pt>
                <c:pt idx="491">
                  <c:v>18.4375</c:v>
                </c:pt>
                <c:pt idx="492">
                  <c:v>17.262499999999999</c:v>
                </c:pt>
                <c:pt idx="493">
                  <c:v>19.338349000000001</c:v>
                </c:pt>
                <c:pt idx="494">
                  <c:v>19.024999999999999</c:v>
                </c:pt>
                <c:pt idx="495">
                  <c:v>15.774151</c:v>
                </c:pt>
                <c:pt idx="496">
                  <c:v>17.066650999999997</c:v>
                </c:pt>
                <c:pt idx="497">
                  <c:v>18.515848999999999</c:v>
                </c:pt>
                <c:pt idx="498">
                  <c:v>20.787500000000001</c:v>
                </c:pt>
                <c:pt idx="499">
                  <c:v>18.946650999999999</c:v>
                </c:pt>
                <c:pt idx="500">
                  <c:v>20.748348999999997</c:v>
                </c:pt>
                <c:pt idx="501">
                  <c:v>21.923348999999998</c:v>
                </c:pt>
                <c:pt idx="502">
                  <c:v>19.886651000000001</c:v>
                </c:pt>
                <c:pt idx="503">
                  <c:v>18.515848999999999</c:v>
                </c:pt>
                <c:pt idx="504">
                  <c:v>20.2</c:v>
                </c:pt>
                <c:pt idx="505">
                  <c:v>21.179150999999997</c:v>
                </c:pt>
                <c:pt idx="506">
                  <c:v>20.121651</c:v>
                </c:pt>
                <c:pt idx="507">
                  <c:v>20.905000000000001</c:v>
                </c:pt>
                <c:pt idx="508">
                  <c:v>21.218349</c:v>
                </c:pt>
                <c:pt idx="509">
                  <c:v>22.785</c:v>
                </c:pt>
                <c:pt idx="510">
                  <c:v>23.96</c:v>
                </c:pt>
                <c:pt idx="511">
                  <c:v>24.547499999999999</c:v>
                </c:pt>
                <c:pt idx="512">
                  <c:v>24.43</c:v>
                </c:pt>
                <c:pt idx="513">
                  <c:v>25.487500000000004</c:v>
                </c:pt>
                <c:pt idx="514">
                  <c:v>25.957500000000003</c:v>
                </c:pt>
                <c:pt idx="515">
                  <c:v>22.863348999999999</c:v>
                </c:pt>
                <c:pt idx="516">
                  <c:v>23.96</c:v>
                </c:pt>
                <c:pt idx="517">
                  <c:v>22.745849000000003</c:v>
                </c:pt>
                <c:pt idx="518">
                  <c:v>19.416650999999998</c:v>
                </c:pt>
                <c:pt idx="519">
                  <c:v>20.317500000000003</c:v>
                </c:pt>
                <c:pt idx="520">
                  <c:v>20.082500000000003</c:v>
                </c:pt>
                <c:pt idx="521">
                  <c:v>17.419150999999999</c:v>
                </c:pt>
                <c:pt idx="522">
                  <c:v>18.045848999999997</c:v>
                </c:pt>
                <c:pt idx="523">
                  <c:v>20.317500000000003</c:v>
                </c:pt>
                <c:pt idx="524">
                  <c:v>22.510849000000004</c:v>
                </c:pt>
                <c:pt idx="525">
                  <c:v>25.409151000000001</c:v>
                </c:pt>
                <c:pt idx="526">
                  <c:v>26.153348999999999</c:v>
                </c:pt>
                <c:pt idx="527">
                  <c:v>25.879151</c:v>
                </c:pt>
                <c:pt idx="528">
                  <c:v>22.706651000000001</c:v>
                </c:pt>
                <c:pt idx="529">
                  <c:v>22.824151000000001</c:v>
                </c:pt>
                <c:pt idx="530">
                  <c:v>22.471651000000001</c:v>
                </c:pt>
                <c:pt idx="531">
                  <c:v>22.040849000000001</c:v>
                </c:pt>
                <c:pt idx="532">
                  <c:v>21.688348999999999</c:v>
                </c:pt>
                <c:pt idx="533">
                  <c:v>19.8475</c:v>
                </c:pt>
                <c:pt idx="534">
                  <c:v>18.711651</c:v>
                </c:pt>
                <c:pt idx="535">
                  <c:v>24.351650999999997</c:v>
                </c:pt>
                <c:pt idx="536">
                  <c:v>28.777499999999996</c:v>
                </c:pt>
                <c:pt idx="537">
                  <c:v>29.874150999999998</c:v>
                </c:pt>
                <c:pt idx="538">
                  <c:v>28.542499999999997</c:v>
                </c:pt>
                <c:pt idx="539">
                  <c:v>26.388348999999998</c:v>
                </c:pt>
                <c:pt idx="540">
                  <c:v>26.936650999999998</c:v>
                </c:pt>
                <c:pt idx="541">
                  <c:v>25.644151000000001</c:v>
                </c:pt>
                <c:pt idx="542">
                  <c:v>21.649151</c:v>
                </c:pt>
                <c:pt idx="543">
                  <c:v>24.782499999999999</c:v>
                </c:pt>
                <c:pt idx="544">
                  <c:v>27.210849000000003</c:v>
                </c:pt>
                <c:pt idx="545">
                  <c:v>31.205849000000001</c:v>
                </c:pt>
                <c:pt idx="546">
                  <c:v>27.954999999999998</c:v>
                </c:pt>
                <c:pt idx="547">
                  <c:v>30.344151000000004</c:v>
                </c:pt>
                <c:pt idx="548">
                  <c:v>28.738348999999999</c:v>
                </c:pt>
                <c:pt idx="549">
                  <c:v>28.699151000000001</c:v>
                </c:pt>
                <c:pt idx="550">
                  <c:v>29.090848999999999</c:v>
                </c:pt>
                <c:pt idx="551">
                  <c:v>30.892499999999998</c:v>
                </c:pt>
                <c:pt idx="552">
                  <c:v>30.931651000000002</c:v>
                </c:pt>
                <c:pt idx="553">
                  <c:v>32.498348999999997</c:v>
                </c:pt>
                <c:pt idx="554">
                  <c:v>30.657499999999999</c:v>
                </c:pt>
                <c:pt idx="555">
                  <c:v>25.409151000000001</c:v>
                </c:pt>
                <c:pt idx="556">
                  <c:v>25.879151</c:v>
                </c:pt>
                <c:pt idx="557">
                  <c:v>25.683349</c:v>
                </c:pt>
                <c:pt idx="558">
                  <c:v>25.644151000000001</c:v>
                </c:pt>
                <c:pt idx="559">
                  <c:v>26.388348999999998</c:v>
                </c:pt>
                <c:pt idx="560">
                  <c:v>25.056651000000002</c:v>
                </c:pt>
                <c:pt idx="561">
                  <c:v>27.054150999999997</c:v>
                </c:pt>
                <c:pt idx="562">
                  <c:v>27.876651000000003</c:v>
                </c:pt>
                <c:pt idx="563">
                  <c:v>30.461650999999996</c:v>
                </c:pt>
                <c:pt idx="564">
                  <c:v>29.286650999999999</c:v>
                </c:pt>
                <c:pt idx="565">
                  <c:v>28.189999999999998</c:v>
                </c:pt>
                <c:pt idx="566">
                  <c:v>23.294150999999999</c:v>
                </c:pt>
                <c:pt idx="567">
                  <c:v>20.004150999999997</c:v>
                </c:pt>
                <c:pt idx="568">
                  <c:v>23.372499999999999</c:v>
                </c:pt>
                <c:pt idx="569">
                  <c:v>26.858348999999997</c:v>
                </c:pt>
                <c:pt idx="570">
                  <c:v>27.289150999999997</c:v>
                </c:pt>
                <c:pt idx="571">
                  <c:v>26.035848999999999</c:v>
                </c:pt>
                <c:pt idx="572">
                  <c:v>28.503349</c:v>
                </c:pt>
                <c:pt idx="573">
                  <c:v>28.738348999999999</c:v>
                </c:pt>
                <c:pt idx="574">
                  <c:v>27.524150999999996</c:v>
                </c:pt>
                <c:pt idx="575">
                  <c:v>25.918348999999999</c:v>
                </c:pt>
                <c:pt idx="576">
                  <c:v>26.349150999999999</c:v>
                </c:pt>
                <c:pt idx="577">
                  <c:v>25.526651000000001</c:v>
                </c:pt>
                <c:pt idx="578">
                  <c:v>25.722500000000004</c:v>
                </c:pt>
                <c:pt idx="579">
                  <c:v>27.3675</c:v>
                </c:pt>
                <c:pt idx="580">
                  <c:v>27.994151000000002</c:v>
                </c:pt>
                <c:pt idx="581">
                  <c:v>29.286650999999999</c:v>
                </c:pt>
                <c:pt idx="582">
                  <c:v>28.150849000000001</c:v>
                </c:pt>
                <c:pt idx="583">
                  <c:v>27.3675</c:v>
                </c:pt>
                <c:pt idx="584">
                  <c:v>26.584150999999999</c:v>
                </c:pt>
                <c:pt idx="585">
                  <c:v>27.25</c:v>
                </c:pt>
                <c:pt idx="586">
                  <c:v>27.524150999999996</c:v>
                </c:pt>
                <c:pt idx="587">
                  <c:v>25.644151000000001</c:v>
                </c:pt>
                <c:pt idx="588">
                  <c:v>24.547499999999999</c:v>
                </c:pt>
                <c:pt idx="589">
                  <c:v>24.939151000000003</c:v>
                </c:pt>
                <c:pt idx="590">
                  <c:v>25.879151</c:v>
                </c:pt>
                <c:pt idx="591">
                  <c:v>26.153348999999999</c:v>
                </c:pt>
                <c:pt idx="592">
                  <c:v>25.213349000000001</c:v>
                </c:pt>
                <c:pt idx="593">
                  <c:v>25.800848999999999</c:v>
                </c:pt>
                <c:pt idx="594">
                  <c:v>25.996651</c:v>
                </c:pt>
                <c:pt idx="595">
                  <c:v>23.881650999999998</c:v>
                </c:pt>
                <c:pt idx="596">
                  <c:v>21.884150999999999</c:v>
                </c:pt>
                <c:pt idx="597">
                  <c:v>21.884150999999999</c:v>
                </c:pt>
                <c:pt idx="598">
                  <c:v>22.510849000000004</c:v>
                </c:pt>
                <c:pt idx="599">
                  <c:v>23.372499999999999</c:v>
                </c:pt>
                <c:pt idx="600">
                  <c:v>24.704151000000003</c:v>
                </c:pt>
                <c:pt idx="601">
                  <c:v>25.017499999999998</c:v>
                </c:pt>
                <c:pt idx="602">
                  <c:v>23.098348999999999</c:v>
                </c:pt>
                <c:pt idx="603">
                  <c:v>22.706651000000001</c:v>
                </c:pt>
                <c:pt idx="604">
                  <c:v>25.056651000000002</c:v>
                </c:pt>
                <c:pt idx="605">
                  <c:v>26.231650999999999</c:v>
                </c:pt>
                <c:pt idx="606">
                  <c:v>24.195</c:v>
                </c:pt>
                <c:pt idx="607">
                  <c:v>25.213349000000001</c:v>
                </c:pt>
                <c:pt idx="608">
                  <c:v>27.915849000000001</c:v>
                </c:pt>
                <c:pt idx="609">
                  <c:v>27.406651000000004</c:v>
                </c:pt>
                <c:pt idx="610">
                  <c:v>24.743349000000002</c:v>
                </c:pt>
                <c:pt idx="611">
                  <c:v>25.252499999999998</c:v>
                </c:pt>
                <c:pt idx="612">
                  <c:v>26.114151</c:v>
                </c:pt>
                <c:pt idx="613">
                  <c:v>26.623348999999997</c:v>
                </c:pt>
                <c:pt idx="614">
                  <c:v>24.743349000000002</c:v>
                </c:pt>
                <c:pt idx="615">
                  <c:v>25.056651000000002</c:v>
                </c:pt>
                <c:pt idx="616">
                  <c:v>22.980848999999999</c:v>
                </c:pt>
                <c:pt idx="617">
                  <c:v>20.669999999999998</c:v>
                </c:pt>
                <c:pt idx="618">
                  <c:v>19.416650999999998</c:v>
                </c:pt>
                <c:pt idx="619">
                  <c:v>19.142500000000002</c:v>
                </c:pt>
                <c:pt idx="620">
                  <c:v>20.160848999999999</c:v>
                </c:pt>
                <c:pt idx="621">
                  <c:v>20.787500000000001</c:v>
                </c:pt>
                <c:pt idx="622">
                  <c:v>21.766651000000003</c:v>
                </c:pt>
                <c:pt idx="623">
                  <c:v>20.591650999999999</c:v>
                </c:pt>
                <c:pt idx="624">
                  <c:v>19.259999999999998</c:v>
                </c:pt>
                <c:pt idx="625">
                  <c:v>19.299151000000002</c:v>
                </c:pt>
                <c:pt idx="626">
                  <c:v>21.296651000000001</c:v>
                </c:pt>
                <c:pt idx="627">
                  <c:v>17.967500000000001</c:v>
                </c:pt>
                <c:pt idx="628">
                  <c:v>17.693349000000001</c:v>
                </c:pt>
                <c:pt idx="629">
                  <c:v>20.160848999999999</c:v>
                </c:pt>
                <c:pt idx="630">
                  <c:v>22.55</c:v>
                </c:pt>
                <c:pt idx="631">
                  <c:v>16.870849000000003</c:v>
                </c:pt>
                <c:pt idx="632">
                  <c:v>16.165849000000001</c:v>
                </c:pt>
                <c:pt idx="633">
                  <c:v>17.850000000000001</c:v>
                </c:pt>
                <c:pt idx="634">
                  <c:v>21.844999999999999</c:v>
                </c:pt>
                <c:pt idx="635">
                  <c:v>22.55</c:v>
                </c:pt>
                <c:pt idx="636">
                  <c:v>21.100849</c:v>
                </c:pt>
                <c:pt idx="637">
                  <c:v>17.497499999999999</c:v>
                </c:pt>
                <c:pt idx="638">
                  <c:v>16.753349</c:v>
                </c:pt>
                <c:pt idx="639">
                  <c:v>16.479150999999998</c:v>
                </c:pt>
                <c:pt idx="640">
                  <c:v>19.769151000000001</c:v>
                </c:pt>
                <c:pt idx="641">
                  <c:v>22.9025</c:v>
                </c:pt>
                <c:pt idx="642">
                  <c:v>22.9025</c:v>
                </c:pt>
                <c:pt idx="643">
                  <c:v>20.905000000000001</c:v>
                </c:pt>
                <c:pt idx="644">
                  <c:v>18.045848999999997</c:v>
                </c:pt>
                <c:pt idx="645">
                  <c:v>11.544150999999999</c:v>
                </c:pt>
                <c:pt idx="646">
                  <c:v>10.016651</c:v>
                </c:pt>
                <c:pt idx="647">
                  <c:v>12.993348999999998</c:v>
                </c:pt>
                <c:pt idx="648">
                  <c:v>16.165849000000001</c:v>
                </c:pt>
                <c:pt idx="649">
                  <c:v>12.445</c:v>
                </c:pt>
                <c:pt idx="650">
                  <c:v>12.5625</c:v>
                </c:pt>
                <c:pt idx="651">
                  <c:v>10.486650999999998</c:v>
                </c:pt>
                <c:pt idx="652">
                  <c:v>16.518349000000001</c:v>
                </c:pt>
                <c:pt idx="653">
                  <c:v>18.398349</c:v>
                </c:pt>
                <c:pt idx="654">
                  <c:v>14.011651000000001</c:v>
                </c:pt>
                <c:pt idx="655">
                  <c:v>13.424150999999998</c:v>
                </c:pt>
                <c:pt idx="656">
                  <c:v>16.557499999999997</c:v>
                </c:pt>
                <c:pt idx="657">
                  <c:v>18.476651</c:v>
                </c:pt>
                <c:pt idx="658">
                  <c:v>14.755849000000001</c:v>
                </c:pt>
                <c:pt idx="659">
                  <c:v>13.815849</c:v>
                </c:pt>
                <c:pt idx="660">
                  <c:v>14.912499999999998</c:v>
                </c:pt>
                <c:pt idx="661">
                  <c:v>17.575848999999998</c:v>
                </c:pt>
                <c:pt idx="662">
                  <c:v>19.612500000000001</c:v>
                </c:pt>
                <c:pt idx="663">
                  <c:v>17.850000000000001</c:v>
                </c:pt>
                <c:pt idx="664">
                  <c:v>17.654150999999999</c:v>
                </c:pt>
                <c:pt idx="665">
                  <c:v>16.91</c:v>
                </c:pt>
                <c:pt idx="666">
                  <c:v>14.442499999999999</c:v>
                </c:pt>
                <c:pt idx="667">
                  <c:v>12.68</c:v>
                </c:pt>
                <c:pt idx="668">
                  <c:v>6.9545540000000017</c:v>
                </c:pt>
                <c:pt idx="669">
                  <c:v>8.8024999999999984</c:v>
                </c:pt>
                <c:pt idx="670">
                  <c:v>9.1941510000000015</c:v>
                </c:pt>
                <c:pt idx="671">
                  <c:v>8.6849999999999987</c:v>
                </c:pt>
                <c:pt idx="672">
                  <c:v>8.1366510000000005</c:v>
                </c:pt>
                <c:pt idx="673">
                  <c:v>7.314150999999999</c:v>
                </c:pt>
                <c:pt idx="674">
                  <c:v>7.0008489999999988</c:v>
                </c:pt>
                <c:pt idx="675">
                  <c:v>5.1991510000000005</c:v>
                </c:pt>
                <c:pt idx="676">
                  <c:v>5.9041510000000006</c:v>
                </c:pt>
                <c:pt idx="677">
                  <c:v>8.5521779999999978</c:v>
                </c:pt>
                <c:pt idx="678">
                  <c:v>8.998349000000001</c:v>
                </c:pt>
                <c:pt idx="679">
                  <c:v>10.290848999999998</c:v>
                </c:pt>
                <c:pt idx="680">
                  <c:v>11.779150999999999</c:v>
                </c:pt>
                <c:pt idx="681">
                  <c:v>14.794999999999998</c:v>
                </c:pt>
                <c:pt idx="682">
                  <c:v>8.1366510000000005</c:v>
                </c:pt>
                <c:pt idx="683">
                  <c:v>5.5908490000000004</c:v>
                </c:pt>
                <c:pt idx="684">
                  <c:v>7.1183489999999985</c:v>
                </c:pt>
                <c:pt idx="685">
                  <c:v>8.2149999999999999</c:v>
                </c:pt>
                <c:pt idx="686">
                  <c:v>7.2750000000000004</c:v>
                </c:pt>
                <c:pt idx="687">
                  <c:v>8.0975000000000001</c:v>
                </c:pt>
                <c:pt idx="688">
                  <c:v>9.8991509999999998</c:v>
                </c:pt>
                <c:pt idx="689">
                  <c:v>9.5858489999999996</c:v>
                </c:pt>
                <c:pt idx="690">
                  <c:v>8.6066509999999994</c:v>
                </c:pt>
                <c:pt idx="691">
                  <c:v>7.98</c:v>
                </c:pt>
                <c:pt idx="692">
                  <c:v>9.3116510000000012</c:v>
                </c:pt>
                <c:pt idx="693">
                  <c:v>5.081650999999999</c:v>
                </c:pt>
                <c:pt idx="694">
                  <c:v>3.5541509999999992</c:v>
                </c:pt>
                <c:pt idx="695">
                  <c:v>6.7266509999999986</c:v>
                </c:pt>
                <c:pt idx="696">
                  <c:v>5.7083490000000001</c:v>
                </c:pt>
                <c:pt idx="697">
                  <c:v>5.9433490000000013</c:v>
                </c:pt>
                <c:pt idx="698">
                  <c:v>5.2008900000000011</c:v>
                </c:pt>
                <c:pt idx="699">
                  <c:v>6.0216510000000003</c:v>
                </c:pt>
                <c:pt idx="700">
                  <c:v>6.0216510000000003</c:v>
                </c:pt>
                <c:pt idx="701">
                  <c:v>8.3324999999999996</c:v>
                </c:pt>
                <c:pt idx="702">
                  <c:v>13.267500000000002</c:v>
                </c:pt>
                <c:pt idx="703">
                  <c:v>14.364151</c:v>
                </c:pt>
                <c:pt idx="704">
                  <c:v>12.601651</c:v>
                </c:pt>
                <c:pt idx="705">
                  <c:v>4.0241509999999998</c:v>
                </c:pt>
                <c:pt idx="706">
                  <c:v>7.0791509999999995</c:v>
                </c:pt>
                <c:pt idx="707">
                  <c:v>9.9383489999999988</c:v>
                </c:pt>
                <c:pt idx="708">
                  <c:v>10.055848999999998</c:v>
                </c:pt>
                <c:pt idx="709">
                  <c:v>12.484151000000001</c:v>
                </c:pt>
                <c:pt idx="710">
                  <c:v>8.6066509999999994</c:v>
                </c:pt>
                <c:pt idx="711">
                  <c:v>5.9824999999999999</c:v>
                </c:pt>
                <c:pt idx="712">
                  <c:v>5.9041510000000006</c:v>
                </c:pt>
                <c:pt idx="713">
                  <c:v>5.2383489999999995</c:v>
                </c:pt>
                <c:pt idx="714">
                  <c:v>7.235849</c:v>
                </c:pt>
                <c:pt idx="715">
                  <c:v>9.0374999999999979</c:v>
                </c:pt>
                <c:pt idx="716">
                  <c:v>10.486650999999998</c:v>
                </c:pt>
                <c:pt idx="717">
                  <c:v>11.309151</c:v>
                </c:pt>
                <c:pt idx="718">
                  <c:v>7.6275000000000013</c:v>
                </c:pt>
                <c:pt idx="719">
                  <c:v>7.5100000000000016</c:v>
                </c:pt>
                <c:pt idx="720">
                  <c:v>7.3533489999999997</c:v>
                </c:pt>
                <c:pt idx="721">
                  <c:v>4.4941509999999987</c:v>
                </c:pt>
                <c:pt idx="722">
                  <c:v>3.5541509999999992</c:v>
                </c:pt>
                <c:pt idx="723">
                  <c:v>2.8712879999999998</c:v>
                </c:pt>
                <c:pt idx="724">
                  <c:v>5.6912880000000001</c:v>
                </c:pt>
                <c:pt idx="725">
                  <c:v>3.4366509999999995</c:v>
                </c:pt>
                <c:pt idx="726">
                  <c:v>3.9458489999999991</c:v>
                </c:pt>
                <c:pt idx="727">
                  <c:v>3.9066509999999983</c:v>
                </c:pt>
                <c:pt idx="728">
                  <c:v>3.9066509999999983</c:v>
                </c:pt>
                <c:pt idx="729">
                  <c:v>4.0241509999999998</c:v>
                </c:pt>
                <c:pt idx="730">
                  <c:v>2.144150999999999</c:v>
                </c:pt>
              </c:numCache>
            </c:numRef>
          </c:xVal>
          <c:yVal>
            <c:numRef>
              <c:f>Prepared_data!$P$2:$P$732</c:f>
              <c:numCache>
                <c:formatCode>General</c:formatCode>
                <c:ptCount val="731"/>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1913</c:v>
                </c:pt>
                <c:pt idx="45">
                  <c:v>1815</c:v>
                </c:pt>
                <c:pt idx="46">
                  <c:v>2115</c:v>
                </c:pt>
                <c:pt idx="47">
                  <c:v>2475</c:v>
                </c:pt>
                <c:pt idx="48">
                  <c:v>2927</c:v>
                </c:pt>
                <c:pt idx="49">
                  <c:v>1635</c:v>
                </c:pt>
                <c:pt idx="50">
                  <c:v>1812</c:v>
                </c:pt>
                <c:pt idx="51">
                  <c:v>1107</c:v>
                </c:pt>
                <c:pt idx="52">
                  <c:v>1450</c:v>
                </c:pt>
                <c:pt idx="53">
                  <c:v>1917</c:v>
                </c:pt>
                <c:pt idx="54">
                  <c:v>1807</c:v>
                </c:pt>
                <c:pt idx="55">
                  <c:v>1461</c:v>
                </c:pt>
                <c:pt idx="56">
                  <c:v>1969</c:v>
                </c:pt>
                <c:pt idx="57">
                  <c:v>2402</c:v>
                </c:pt>
                <c:pt idx="58">
                  <c:v>1446</c:v>
                </c:pt>
                <c:pt idx="59">
                  <c:v>1851</c:v>
                </c:pt>
                <c:pt idx="60">
                  <c:v>2134</c:v>
                </c:pt>
                <c:pt idx="61">
                  <c:v>1685</c:v>
                </c:pt>
                <c:pt idx="62">
                  <c:v>1944</c:v>
                </c:pt>
                <c:pt idx="63">
                  <c:v>2077</c:v>
                </c:pt>
                <c:pt idx="64">
                  <c:v>605</c:v>
                </c:pt>
                <c:pt idx="65">
                  <c:v>1872</c:v>
                </c:pt>
                <c:pt idx="66">
                  <c:v>2133</c:v>
                </c:pt>
                <c:pt idx="67">
                  <c:v>1891</c:v>
                </c:pt>
                <c:pt idx="68">
                  <c:v>623</c:v>
                </c:pt>
                <c:pt idx="69">
                  <c:v>1977</c:v>
                </c:pt>
                <c:pt idx="70">
                  <c:v>2132</c:v>
                </c:pt>
                <c:pt idx="71">
                  <c:v>2417</c:v>
                </c:pt>
                <c:pt idx="72">
                  <c:v>2046</c:v>
                </c:pt>
                <c:pt idx="73">
                  <c:v>2056</c:v>
                </c:pt>
                <c:pt idx="74">
                  <c:v>2192</c:v>
                </c:pt>
                <c:pt idx="75">
                  <c:v>2744</c:v>
                </c:pt>
                <c:pt idx="76">
                  <c:v>3239</c:v>
                </c:pt>
                <c:pt idx="77">
                  <c:v>3117</c:v>
                </c:pt>
                <c:pt idx="78">
                  <c:v>2471</c:v>
                </c:pt>
                <c:pt idx="79">
                  <c:v>2077</c:v>
                </c:pt>
                <c:pt idx="80">
                  <c:v>2703</c:v>
                </c:pt>
                <c:pt idx="81">
                  <c:v>2121</c:v>
                </c:pt>
                <c:pt idx="82">
                  <c:v>1865</c:v>
                </c:pt>
                <c:pt idx="83">
                  <c:v>2210</c:v>
                </c:pt>
                <c:pt idx="84">
                  <c:v>2496</c:v>
                </c:pt>
                <c:pt idx="85">
                  <c:v>1693</c:v>
                </c:pt>
                <c:pt idx="86">
                  <c:v>2028</c:v>
                </c:pt>
                <c:pt idx="87">
                  <c:v>2425</c:v>
                </c:pt>
                <c:pt idx="88">
                  <c:v>1536</c:v>
                </c:pt>
                <c:pt idx="89">
                  <c:v>1685</c:v>
                </c:pt>
                <c:pt idx="90">
                  <c:v>2227</c:v>
                </c:pt>
                <c:pt idx="91">
                  <c:v>2252</c:v>
                </c:pt>
                <c:pt idx="92">
                  <c:v>3249</c:v>
                </c:pt>
                <c:pt idx="93">
                  <c:v>3115</c:v>
                </c:pt>
                <c:pt idx="94">
                  <c:v>1795</c:v>
                </c:pt>
                <c:pt idx="95">
                  <c:v>2808</c:v>
                </c:pt>
                <c:pt idx="96">
                  <c:v>3141</c:v>
                </c:pt>
                <c:pt idx="97">
                  <c:v>1471</c:v>
                </c:pt>
                <c:pt idx="98">
                  <c:v>2455</c:v>
                </c:pt>
                <c:pt idx="99">
                  <c:v>2895</c:v>
                </c:pt>
                <c:pt idx="100">
                  <c:v>3348</c:v>
                </c:pt>
                <c:pt idx="101">
                  <c:v>2034</c:v>
                </c:pt>
                <c:pt idx="102">
                  <c:v>2162</c:v>
                </c:pt>
                <c:pt idx="103">
                  <c:v>3267</c:v>
                </c:pt>
                <c:pt idx="104">
                  <c:v>3126</c:v>
                </c:pt>
                <c:pt idx="105">
                  <c:v>795</c:v>
                </c:pt>
                <c:pt idx="106">
                  <c:v>3744</c:v>
                </c:pt>
                <c:pt idx="107">
                  <c:v>3429</c:v>
                </c:pt>
                <c:pt idx="108">
                  <c:v>3204</c:v>
                </c:pt>
                <c:pt idx="109">
                  <c:v>3944</c:v>
                </c:pt>
                <c:pt idx="110">
                  <c:v>4189</c:v>
                </c:pt>
                <c:pt idx="111">
                  <c:v>1683</c:v>
                </c:pt>
                <c:pt idx="112">
                  <c:v>4036</c:v>
                </c:pt>
                <c:pt idx="113">
                  <c:v>4191</c:v>
                </c:pt>
                <c:pt idx="114">
                  <c:v>4073</c:v>
                </c:pt>
                <c:pt idx="115">
                  <c:v>4400</c:v>
                </c:pt>
                <c:pt idx="116">
                  <c:v>3872</c:v>
                </c:pt>
                <c:pt idx="117">
                  <c:v>4058</c:v>
                </c:pt>
                <c:pt idx="118">
                  <c:v>4595</c:v>
                </c:pt>
                <c:pt idx="119">
                  <c:v>5312</c:v>
                </c:pt>
                <c:pt idx="120">
                  <c:v>3351</c:v>
                </c:pt>
                <c:pt idx="121">
                  <c:v>4401</c:v>
                </c:pt>
                <c:pt idx="122">
                  <c:v>4451</c:v>
                </c:pt>
                <c:pt idx="123">
                  <c:v>2633</c:v>
                </c:pt>
                <c:pt idx="124">
                  <c:v>4433</c:v>
                </c:pt>
                <c:pt idx="125">
                  <c:v>4608</c:v>
                </c:pt>
                <c:pt idx="126">
                  <c:v>4714</c:v>
                </c:pt>
                <c:pt idx="127">
                  <c:v>4333</c:v>
                </c:pt>
                <c:pt idx="128">
                  <c:v>4362</c:v>
                </c:pt>
                <c:pt idx="129">
                  <c:v>4803</c:v>
                </c:pt>
                <c:pt idx="130">
                  <c:v>4182</c:v>
                </c:pt>
                <c:pt idx="131">
                  <c:v>4864</c:v>
                </c:pt>
                <c:pt idx="132">
                  <c:v>4105</c:v>
                </c:pt>
                <c:pt idx="133">
                  <c:v>3409</c:v>
                </c:pt>
                <c:pt idx="134">
                  <c:v>4553</c:v>
                </c:pt>
                <c:pt idx="135">
                  <c:v>3958</c:v>
                </c:pt>
                <c:pt idx="136">
                  <c:v>4123</c:v>
                </c:pt>
                <c:pt idx="137">
                  <c:v>3855</c:v>
                </c:pt>
                <c:pt idx="138">
                  <c:v>4575</c:v>
                </c:pt>
                <c:pt idx="139">
                  <c:v>4917</c:v>
                </c:pt>
                <c:pt idx="140">
                  <c:v>5805</c:v>
                </c:pt>
                <c:pt idx="141">
                  <c:v>4660</c:v>
                </c:pt>
                <c:pt idx="142">
                  <c:v>4274</c:v>
                </c:pt>
                <c:pt idx="143">
                  <c:v>4492</c:v>
                </c:pt>
                <c:pt idx="144">
                  <c:v>4978</c:v>
                </c:pt>
                <c:pt idx="145">
                  <c:v>4677</c:v>
                </c:pt>
                <c:pt idx="146">
                  <c:v>4679</c:v>
                </c:pt>
                <c:pt idx="147">
                  <c:v>4758</c:v>
                </c:pt>
                <c:pt idx="148">
                  <c:v>4788</c:v>
                </c:pt>
                <c:pt idx="149">
                  <c:v>4098</c:v>
                </c:pt>
                <c:pt idx="150">
                  <c:v>3982</c:v>
                </c:pt>
                <c:pt idx="151">
                  <c:v>3974</c:v>
                </c:pt>
                <c:pt idx="152">
                  <c:v>4968</c:v>
                </c:pt>
                <c:pt idx="153">
                  <c:v>5312</c:v>
                </c:pt>
                <c:pt idx="154">
                  <c:v>5342</c:v>
                </c:pt>
                <c:pt idx="155">
                  <c:v>4906</c:v>
                </c:pt>
                <c:pt idx="156">
                  <c:v>4548</c:v>
                </c:pt>
                <c:pt idx="157">
                  <c:v>4833</c:v>
                </c:pt>
                <c:pt idx="158">
                  <c:v>4401</c:v>
                </c:pt>
                <c:pt idx="159">
                  <c:v>3915</c:v>
                </c:pt>
                <c:pt idx="160">
                  <c:v>4586</c:v>
                </c:pt>
                <c:pt idx="161">
                  <c:v>4966</c:v>
                </c:pt>
                <c:pt idx="162">
                  <c:v>4460</c:v>
                </c:pt>
                <c:pt idx="163">
                  <c:v>5020</c:v>
                </c:pt>
                <c:pt idx="164">
                  <c:v>4891</c:v>
                </c:pt>
                <c:pt idx="165">
                  <c:v>5180</c:v>
                </c:pt>
                <c:pt idx="166">
                  <c:v>3767</c:v>
                </c:pt>
                <c:pt idx="167">
                  <c:v>4844</c:v>
                </c:pt>
                <c:pt idx="168">
                  <c:v>5119</c:v>
                </c:pt>
                <c:pt idx="169">
                  <c:v>4744</c:v>
                </c:pt>
                <c:pt idx="170">
                  <c:v>4010</c:v>
                </c:pt>
                <c:pt idx="171">
                  <c:v>4835</c:v>
                </c:pt>
                <c:pt idx="172">
                  <c:v>4507</c:v>
                </c:pt>
                <c:pt idx="173">
                  <c:v>4790</c:v>
                </c:pt>
                <c:pt idx="174">
                  <c:v>4991</c:v>
                </c:pt>
                <c:pt idx="175">
                  <c:v>5202</c:v>
                </c:pt>
                <c:pt idx="176">
                  <c:v>5305</c:v>
                </c:pt>
                <c:pt idx="177">
                  <c:v>4708</c:v>
                </c:pt>
                <c:pt idx="178">
                  <c:v>4648</c:v>
                </c:pt>
                <c:pt idx="179">
                  <c:v>5225</c:v>
                </c:pt>
                <c:pt idx="180">
                  <c:v>5515</c:v>
                </c:pt>
                <c:pt idx="181">
                  <c:v>5362</c:v>
                </c:pt>
                <c:pt idx="182">
                  <c:v>5119</c:v>
                </c:pt>
                <c:pt idx="183">
                  <c:v>4649</c:v>
                </c:pt>
                <c:pt idx="184">
                  <c:v>6043</c:v>
                </c:pt>
                <c:pt idx="185">
                  <c:v>4665</c:v>
                </c:pt>
                <c:pt idx="186">
                  <c:v>4629</c:v>
                </c:pt>
                <c:pt idx="187">
                  <c:v>4592</c:v>
                </c:pt>
                <c:pt idx="188">
                  <c:v>4040</c:v>
                </c:pt>
                <c:pt idx="189">
                  <c:v>5336</c:v>
                </c:pt>
                <c:pt idx="190">
                  <c:v>4881</c:v>
                </c:pt>
                <c:pt idx="191">
                  <c:v>4086</c:v>
                </c:pt>
                <c:pt idx="192">
                  <c:v>4258</c:v>
                </c:pt>
                <c:pt idx="193">
                  <c:v>4342</c:v>
                </c:pt>
                <c:pt idx="194">
                  <c:v>5084</c:v>
                </c:pt>
                <c:pt idx="195">
                  <c:v>5538</c:v>
                </c:pt>
                <c:pt idx="196">
                  <c:v>5923</c:v>
                </c:pt>
                <c:pt idx="197">
                  <c:v>5302</c:v>
                </c:pt>
                <c:pt idx="198">
                  <c:v>4458</c:v>
                </c:pt>
                <c:pt idx="199">
                  <c:v>4541</c:v>
                </c:pt>
                <c:pt idx="200">
                  <c:v>4332</c:v>
                </c:pt>
                <c:pt idx="201">
                  <c:v>3784</c:v>
                </c:pt>
                <c:pt idx="202">
                  <c:v>3387</c:v>
                </c:pt>
                <c:pt idx="203">
                  <c:v>3285</c:v>
                </c:pt>
                <c:pt idx="204">
                  <c:v>3606</c:v>
                </c:pt>
                <c:pt idx="205">
                  <c:v>3840</c:v>
                </c:pt>
                <c:pt idx="206">
                  <c:v>4590</c:v>
                </c:pt>
                <c:pt idx="207">
                  <c:v>4656</c:v>
                </c:pt>
                <c:pt idx="208">
                  <c:v>4390</c:v>
                </c:pt>
                <c:pt idx="209">
                  <c:v>3846</c:v>
                </c:pt>
                <c:pt idx="210">
                  <c:v>4475</c:v>
                </c:pt>
                <c:pt idx="211">
                  <c:v>4302</c:v>
                </c:pt>
                <c:pt idx="212">
                  <c:v>4266</c:v>
                </c:pt>
                <c:pt idx="213">
                  <c:v>4845</c:v>
                </c:pt>
                <c:pt idx="214">
                  <c:v>3574</c:v>
                </c:pt>
                <c:pt idx="215">
                  <c:v>4576</c:v>
                </c:pt>
                <c:pt idx="216">
                  <c:v>4866</c:v>
                </c:pt>
                <c:pt idx="217">
                  <c:v>4294</c:v>
                </c:pt>
                <c:pt idx="218">
                  <c:v>3785</c:v>
                </c:pt>
                <c:pt idx="219">
                  <c:v>4326</c:v>
                </c:pt>
                <c:pt idx="220">
                  <c:v>4602</c:v>
                </c:pt>
                <c:pt idx="221">
                  <c:v>4780</c:v>
                </c:pt>
                <c:pt idx="222">
                  <c:v>4792</c:v>
                </c:pt>
                <c:pt idx="223">
                  <c:v>4905</c:v>
                </c:pt>
                <c:pt idx="224">
                  <c:v>4150</c:v>
                </c:pt>
                <c:pt idx="225">
                  <c:v>3820</c:v>
                </c:pt>
                <c:pt idx="226">
                  <c:v>4338</c:v>
                </c:pt>
                <c:pt idx="227">
                  <c:v>4725</c:v>
                </c:pt>
                <c:pt idx="228">
                  <c:v>4694</c:v>
                </c:pt>
                <c:pt idx="229">
                  <c:v>3805</c:v>
                </c:pt>
                <c:pt idx="230">
                  <c:v>4153</c:v>
                </c:pt>
                <c:pt idx="231">
                  <c:v>5191</c:v>
                </c:pt>
                <c:pt idx="232">
                  <c:v>3873</c:v>
                </c:pt>
                <c:pt idx="233">
                  <c:v>4758</c:v>
                </c:pt>
                <c:pt idx="234">
                  <c:v>5895</c:v>
                </c:pt>
                <c:pt idx="235">
                  <c:v>5130</c:v>
                </c:pt>
                <c:pt idx="236">
                  <c:v>3542</c:v>
                </c:pt>
                <c:pt idx="237">
                  <c:v>4661</c:v>
                </c:pt>
                <c:pt idx="238">
                  <c:v>1115</c:v>
                </c:pt>
                <c:pt idx="239">
                  <c:v>4334</c:v>
                </c:pt>
                <c:pt idx="240">
                  <c:v>4634</c:v>
                </c:pt>
                <c:pt idx="241">
                  <c:v>5204</c:v>
                </c:pt>
                <c:pt idx="242">
                  <c:v>5058</c:v>
                </c:pt>
                <c:pt idx="243">
                  <c:v>5115</c:v>
                </c:pt>
                <c:pt idx="244">
                  <c:v>4727</c:v>
                </c:pt>
                <c:pt idx="245">
                  <c:v>4484</c:v>
                </c:pt>
                <c:pt idx="246">
                  <c:v>4940</c:v>
                </c:pt>
                <c:pt idx="247">
                  <c:v>3351</c:v>
                </c:pt>
                <c:pt idx="248">
                  <c:v>2710</c:v>
                </c:pt>
                <c:pt idx="249">
                  <c:v>1996</c:v>
                </c:pt>
                <c:pt idx="250">
                  <c:v>1842</c:v>
                </c:pt>
                <c:pt idx="251">
                  <c:v>3544</c:v>
                </c:pt>
                <c:pt idx="252">
                  <c:v>5345</c:v>
                </c:pt>
                <c:pt idx="253">
                  <c:v>5046</c:v>
                </c:pt>
                <c:pt idx="254">
                  <c:v>4713</c:v>
                </c:pt>
                <c:pt idx="255">
                  <c:v>4763</c:v>
                </c:pt>
                <c:pt idx="256">
                  <c:v>4785</c:v>
                </c:pt>
                <c:pt idx="257">
                  <c:v>3659</c:v>
                </c:pt>
                <c:pt idx="258">
                  <c:v>4760</c:v>
                </c:pt>
                <c:pt idx="259">
                  <c:v>4511</c:v>
                </c:pt>
                <c:pt idx="260">
                  <c:v>4274</c:v>
                </c:pt>
                <c:pt idx="261">
                  <c:v>4539</c:v>
                </c:pt>
                <c:pt idx="262">
                  <c:v>3641</c:v>
                </c:pt>
                <c:pt idx="263">
                  <c:v>4352</c:v>
                </c:pt>
                <c:pt idx="264">
                  <c:v>4795</c:v>
                </c:pt>
                <c:pt idx="265">
                  <c:v>2395</c:v>
                </c:pt>
                <c:pt idx="266">
                  <c:v>5423</c:v>
                </c:pt>
                <c:pt idx="267">
                  <c:v>5010</c:v>
                </c:pt>
                <c:pt idx="268">
                  <c:v>4630</c:v>
                </c:pt>
                <c:pt idx="269">
                  <c:v>4120</c:v>
                </c:pt>
                <c:pt idx="270">
                  <c:v>3907</c:v>
                </c:pt>
                <c:pt idx="271">
                  <c:v>4839</c:v>
                </c:pt>
                <c:pt idx="272">
                  <c:v>5202</c:v>
                </c:pt>
                <c:pt idx="273">
                  <c:v>2429</c:v>
                </c:pt>
                <c:pt idx="274">
                  <c:v>2918</c:v>
                </c:pt>
                <c:pt idx="275">
                  <c:v>3570</c:v>
                </c:pt>
                <c:pt idx="276">
                  <c:v>4456</c:v>
                </c:pt>
                <c:pt idx="277">
                  <c:v>4826</c:v>
                </c:pt>
                <c:pt idx="278">
                  <c:v>4765</c:v>
                </c:pt>
                <c:pt idx="279">
                  <c:v>4985</c:v>
                </c:pt>
                <c:pt idx="280">
                  <c:v>5409</c:v>
                </c:pt>
                <c:pt idx="281">
                  <c:v>5511</c:v>
                </c:pt>
                <c:pt idx="282">
                  <c:v>5117</c:v>
                </c:pt>
                <c:pt idx="283">
                  <c:v>4563</c:v>
                </c:pt>
                <c:pt idx="284">
                  <c:v>2416</c:v>
                </c:pt>
                <c:pt idx="285">
                  <c:v>2913</c:v>
                </c:pt>
                <c:pt idx="286">
                  <c:v>3644</c:v>
                </c:pt>
                <c:pt idx="287">
                  <c:v>5217</c:v>
                </c:pt>
                <c:pt idx="288">
                  <c:v>5041</c:v>
                </c:pt>
                <c:pt idx="289">
                  <c:v>4570</c:v>
                </c:pt>
                <c:pt idx="290">
                  <c:v>4748</c:v>
                </c:pt>
                <c:pt idx="291">
                  <c:v>2424</c:v>
                </c:pt>
                <c:pt idx="292">
                  <c:v>4195</c:v>
                </c:pt>
                <c:pt idx="293">
                  <c:v>4304</c:v>
                </c:pt>
                <c:pt idx="294">
                  <c:v>4308</c:v>
                </c:pt>
                <c:pt idx="295">
                  <c:v>4381</c:v>
                </c:pt>
                <c:pt idx="296">
                  <c:v>4187</c:v>
                </c:pt>
                <c:pt idx="297">
                  <c:v>4687</c:v>
                </c:pt>
                <c:pt idx="298">
                  <c:v>3894</c:v>
                </c:pt>
                <c:pt idx="299">
                  <c:v>2659</c:v>
                </c:pt>
                <c:pt idx="300">
                  <c:v>3747</c:v>
                </c:pt>
                <c:pt idx="301">
                  <c:v>627</c:v>
                </c:pt>
                <c:pt idx="302">
                  <c:v>3331</c:v>
                </c:pt>
                <c:pt idx="303">
                  <c:v>3669</c:v>
                </c:pt>
                <c:pt idx="304">
                  <c:v>4068</c:v>
                </c:pt>
                <c:pt idx="305">
                  <c:v>4186</c:v>
                </c:pt>
                <c:pt idx="306">
                  <c:v>3974</c:v>
                </c:pt>
                <c:pt idx="307">
                  <c:v>4046</c:v>
                </c:pt>
                <c:pt idx="308">
                  <c:v>3926</c:v>
                </c:pt>
                <c:pt idx="309">
                  <c:v>3649</c:v>
                </c:pt>
                <c:pt idx="310">
                  <c:v>4035</c:v>
                </c:pt>
                <c:pt idx="311">
                  <c:v>4205</c:v>
                </c:pt>
                <c:pt idx="312">
                  <c:v>4109</c:v>
                </c:pt>
                <c:pt idx="313">
                  <c:v>2933</c:v>
                </c:pt>
                <c:pt idx="314">
                  <c:v>3368</c:v>
                </c:pt>
                <c:pt idx="315">
                  <c:v>4067</c:v>
                </c:pt>
                <c:pt idx="316">
                  <c:v>3717</c:v>
                </c:pt>
                <c:pt idx="317">
                  <c:v>4486</c:v>
                </c:pt>
                <c:pt idx="318">
                  <c:v>4195</c:v>
                </c:pt>
                <c:pt idx="319">
                  <c:v>1817</c:v>
                </c:pt>
                <c:pt idx="320">
                  <c:v>3053</c:v>
                </c:pt>
                <c:pt idx="321">
                  <c:v>3392</c:v>
                </c:pt>
                <c:pt idx="322">
                  <c:v>3663</c:v>
                </c:pt>
                <c:pt idx="323">
                  <c:v>3520</c:v>
                </c:pt>
                <c:pt idx="324">
                  <c:v>2765</c:v>
                </c:pt>
                <c:pt idx="325">
                  <c:v>1607</c:v>
                </c:pt>
                <c:pt idx="326">
                  <c:v>2566</c:v>
                </c:pt>
                <c:pt idx="327">
                  <c:v>1495</c:v>
                </c:pt>
                <c:pt idx="328">
                  <c:v>2792</c:v>
                </c:pt>
                <c:pt idx="329">
                  <c:v>3068</c:v>
                </c:pt>
                <c:pt idx="330">
                  <c:v>3071</c:v>
                </c:pt>
                <c:pt idx="331">
                  <c:v>3867</c:v>
                </c:pt>
                <c:pt idx="332">
                  <c:v>2914</c:v>
                </c:pt>
                <c:pt idx="333">
                  <c:v>3613</c:v>
                </c:pt>
                <c:pt idx="334">
                  <c:v>3727</c:v>
                </c:pt>
                <c:pt idx="335">
                  <c:v>3940</c:v>
                </c:pt>
                <c:pt idx="336">
                  <c:v>3614</c:v>
                </c:pt>
                <c:pt idx="337">
                  <c:v>3485</c:v>
                </c:pt>
                <c:pt idx="338">
                  <c:v>3811</c:v>
                </c:pt>
                <c:pt idx="339">
                  <c:v>2594</c:v>
                </c:pt>
                <c:pt idx="340">
                  <c:v>705</c:v>
                </c:pt>
                <c:pt idx="341">
                  <c:v>3322</c:v>
                </c:pt>
                <c:pt idx="342">
                  <c:v>3620</c:v>
                </c:pt>
                <c:pt idx="343">
                  <c:v>3190</c:v>
                </c:pt>
                <c:pt idx="344">
                  <c:v>2743</c:v>
                </c:pt>
                <c:pt idx="345">
                  <c:v>3310</c:v>
                </c:pt>
                <c:pt idx="346">
                  <c:v>3523</c:v>
                </c:pt>
                <c:pt idx="347">
                  <c:v>3740</c:v>
                </c:pt>
                <c:pt idx="348">
                  <c:v>3709</c:v>
                </c:pt>
                <c:pt idx="349">
                  <c:v>3577</c:v>
                </c:pt>
                <c:pt idx="350">
                  <c:v>2739</c:v>
                </c:pt>
                <c:pt idx="351">
                  <c:v>2431</c:v>
                </c:pt>
                <c:pt idx="352">
                  <c:v>3403</c:v>
                </c:pt>
                <c:pt idx="353">
                  <c:v>3750</c:v>
                </c:pt>
                <c:pt idx="354">
                  <c:v>2660</c:v>
                </c:pt>
                <c:pt idx="355">
                  <c:v>3068</c:v>
                </c:pt>
                <c:pt idx="356">
                  <c:v>2209</c:v>
                </c:pt>
                <c:pt idx="357">
                  <c:v>1011</c:v>
                </c:pt>
                <c:pt idx="358">
                  <c:v>754</c:v>
                </c:pt>
                <c:pt idx="359">
                  <c:v>1317</c:v>
                </c:pt>
                <c:pt idx="360">
                  <c:v>1162</c:v>
                </c:pt>
                <c:pt idx="361">
                  <c:v>2302</c:v>
                </c:pt>
                <c:pt idx="362">
                  <c:v>2423</c:v>
                </c:pt>
                <c:pt idx="363">
                  <c:v>2999</c:v>
                </c:pt>
                <c:pt idx="364">
                  <c:v>2485</c:v>
                </c:pt>
                <c:pt idx="365">
                  <c:v>2294</c:v>
                </c:pt>
                <c:pt idx="366">
                  <c:v>1951</c:v>
                </c:pt>
                <c:pt idx="367">
                  <c:v>2236</c:v>
                </c:pt>
                <c:pt idx="368">
                  <c:v>2368</c:v>
                </c:pt>
                <c:pt idx="369">
                  <c:v>3272</c:v>
                </c:pt>
                <c:pt idx="370">
                  <c:v>4098</c:v>
                </c:pt>
                <c:pt idx="371">
                  <c:v>4521</c:v>
                </c:pt>
                <c:pt idx="372">
                  <c:v>3425</c:v>
                </c:pt>
                <c:pt idx="373">
                  <c:v>2376</c:v>
                </c:pt>
                <c:pt idx="374">
                  <c:v>3598</c:v>
                </c:pt>
                <c:pt idx="375">
                  <c:v>2177</c:v>
                </c:pt>
                <c:pt idx="376">
                  <c:v>4097</c:v>
                </c:pt>
                <c:pt idx="377">
                  <c:v>3214</c:v>
                </c:pt>
                <c:pt idx="378">
                  <c:v>2493</c:v>
                </c:pt>
                <c:pt idx="379">
                  <c:v>2311</c:v>
                </c:pt>
                <c:pt idx="380">
                  <c:v>2298</c:v>
                </c:pt>
                <c:pt idx="381">
                  <c:v>2935</c:v>
                </c:pt>
                <c:pt idx="382">
                  <c:v>3376</c:v>
                </c:pt>
                <c:pt idx="383">
                  <c:v>3292</c:v>
                </c:pt>
                <c:pt idx="384">
                  <c:v>3163</c:v>
                </c:pt>
                <c:pt idx="385">
                  <c:v>1301</c:v>
                </c:pt>
                <c:pt idx="386">
                  <c:v>1977</c:v>
                </c:pt>
                <c:pt idx="387">
                  <c:v>2432</c:v>
                </c:pt>
                <c:pt idx="388">
                  <c:v>4339</c:v>
                </c:pt>
                <c:pt idx="389">
                  <c:v>4270</c:v>
                </c:pt>
                <c:pt idx="390">
                  <c:v>4075</c:v>
                </c:pt>
                <c:pt idx="391">
                  <c:v>3456</c:v>
                </c:pt>
                <c:pt idx="392">
                  <c:v>4023</c:v>
                </c:pt>
                <c:pt idx="393">
                  <c:v>3243</c:v>
                </c:pt>
                <c:pt idx="394">
                  <c:v>3624</c:v>
                </c:pt>
                <c:pt idx="395">
                  <c:v>4509</c:v>
                </c:pt>
                <c:pt idx="396">
                  <c:v>4579</c:v>
                </c:pt>
                <c:pt idx="397">
                  <c:v>3761</c:v>
                </c:pt>
                <c:pt idx="398">
                  <c:v>4151</c:v>
                </c:pt>
                <c:pt idx="399">
                  <c:v>2832</c:v>
                </c:pt>
                <c:pt idx="400">
                  <c:v>2947</c:v>
                </c:pt>
                <c:pt idx="401">
                  <c:v>3784</c:v>
                </c:pt>
                <c:pt idx="402">
                  <c:v>4375</c:v>
                </c:pt>
                <c:pt idx="403">
                  <c:v>2802</c:v>
                </c:pt>
                <c:pt idx="404">
                  <c:v>3830</c:v>
                </c:pt>
                <c:pt idx="405">
                  <c:v>3831</c:v>
                </c:pt>
                <c:pt idx="406">
                  <c:v>2169</c:v>
                </c:pt>
                <c:pt idx="407">
                  <c:v>1529</c:v>
                </c:pt>
                <c:pt idx="408">
                  <c:v>3422</c:v>
                </c:pt>
                <c:pt idx="409">
                  <c:v>3922</c:v>
                </c:pt>
                <c:pt idx="410">
                  <c:v>4169</c:v>
                </c:pt>
                <c:pt idx="411">
                  <c:v>3005</c:v>
                </c:pt>
                <c:pt idx="412">
                  <c:v>4154</c:v>
                </c:pt>
                <c:pt idx="413">
                  <c:v>4318</c:v>
                </c:pt>
                <c:pt idx="414">
                  <c:v>2689</c:v>
                </c:pt>
                <c:pt idx="415">
                  <c:v>3129</c:v>
                </c:pt>
                <c:pt idx="416">
                  <c:v>3777</c:v>
                </c:pt>
                <c:pt idx="417">
                  <c:v>4773</c:v>
                </c:pt>
                <c:pt idx="418">
                  <c:v>5062</c:v>
                </c:pt>
                <c:pt idx="419">
                  <c:v>3487</c:v>
                </c:pt>
                <c:pt idx="420">
                  <c:v>2732</c:v>
                </c:pt>
                <c:pt idx="421">
                  <c:v>3389</c:v>
                </c:pt>
                <c:pt idx="422">
                  <c:v>4322</c:v>
                </c:pt>
                <c:pt idx="423">
                  <c:v>4363</c:v>
                </c:pt>
                <c:pt idx="424">
                  <c:v>1834</c:v>
                </c:pt>
                <c:pt idx="425">
                  <c:v>4990</c:v>
                </c:pt>
                <c:pt idx="426">
                  <c:v>3194</c:v>
                </c:pt>
                <c:pt idx="427">
                  <c:v>4066</c:v>
                </c:pt>
                <c:pt idx="428">
                  <c:v>3423</c:v>
                </c:pt>
                <c:pt idx="429">
                  <c:v>3333</c:v>
                </c:pt>
                <c:pt idx="430">
                  <c:v>3956</c:v>
                </c:pt>
                <c:pt idx="431">
                  <c:v>4916</c:v>
                </c:pt>
                <c:pt idx="432">
                  <c:v>5382</c:v>
                </c:pt>
                <c:pt idx="433">
                  <c:v>4569</c:v>
                </c:pt>
                <c:pt idx="434">
                  <c:v>4118</c:v>
                </c:pt>
                <c:pt idx="435">
                  <c:v>4911</c:v>
                </c:pt>
                <c:pt idx="436">
                  <c:v>5298</c:v>
                </c:pt>
                <c:pt idx="437">
                  <c:v>5847</c:v>
                </c:pt>
                <c:pt idx="438">
                  <c:v>6312</c:v>
                </c:pt>
                <c:pt idx="439">
                  <c:v>6192</c:v>
                </c:pt>
                <c:pt idx="440">
                  <c:v>4378</c:v>
                </c:pt>
                <c:pt idx="441">
                  <c:v>7836</c:v>
                </c:pt>
                <c:pt idx="442">
                  <c:v>5892</c:v>
                </c:pt>
                <c:pt idx="443">
                  <c:v>6153</c:v>
                </c:pt>
                <c:pt idx="444">
                  <c:v>6093</c:v>
                </c:pt>
                <c:pt idx="445">
                  <c:v>6230</c:v>
                </c:pt>
                <c:pt idx="446">
                  <c:v>6871</c:v>
                </c:pt>
                <c:pt idx="447">
                  <c:v>8362</c:v>
                </c:pt>
                <c:pt idx="448">
                  <c:v>3372</c:v>
                </c:pt>
                <c:pt idx="449">
                  <c:v>4996</c:v>
                </c:pt>
                <c:pt idx="450">
                  <c:v>5558</c:v>
                </c:pt>
                <c:pt idx="451">
                  <c:v>5102</c:v>
                </c:pt>
                <c:pt idx="452">
                  <c:v>5698</c:v>
                </c:pt>
                <c:pt idx="453">
                  <c:v>6133</c:v>
                </c:pt>
                <c:pt idx="454">
                  <c:v>5459</c:v>
                </c:pt>
                <c:pt idx="455">
                  <c:v>6235</c:v>
                </c:pt>
                <c:pt idx="456">
                  <c:v>6041</c:v>
                </c:pt>
                <c:pt idx="457">
                  <c:v>5936</c:v>
                </c:pt>
                <c:pt idx="458">
                  <c:v>6772</c:v>
                </c:pt>
                <c:pt idx="459">
                  <c:v>6436</c:v>
                </c:pt>
                <c:pt idx="460">
                  <c:v>6457</c:v>
                </c:pt>
                <c:pt idx="461">
                  <c:v>6460</c:v>
                </c:pt>
                <c:pt idx="462">
                  <c:v>6857</c:v>
                </c:pt>
                <c:pt idx="463">
                  <c:v>5169</c:v>
                </c:pt>
                <c:pt idx="464">
                  <c:v>5585</c:v>
                </c:pt>
                <c:pt idx="465">
                  <c:v>5918</c:v>
                </c:pt>
                <c:pt idx="466">
                  <c:v>4862</c:v>
                </c:pt>
                <c:pt idx="467">
                  <c:v>5409</c:v>
                </c:pt>
                <c:pt idx="468">
                  <c:v>6398</c:v>
                </c:pt>
                <c:pt idx="469">
                  <c:v>7460</c:v>
                </c:pt>
                <c:pt idx="470">
                  <c:v>7132</c:v>
                </c:pt>
                <c:pt idx="471">
                  <c:v>6370</c:v>
                </c:pt>
                <c:pt idx="472">
                  <c:v>6691</c:v>
                </c:pt>
                <c:pt idx="473">
                  <c:v>4367</c:v>
                </c:pt>
                <c:pt idx="474">
                  <c:v>6565</c:v>
                </c:pt>
                <c:pt idx="475">
                  <c:v>7290</c:v>
                </c:pt>
                <c:pt idx="476">
                  <c:v>6624</c:v>
                </c:pt>
                <c:pt idx="477">
                  <c:v>1027</c:v>
                </c:pt>
                <c:pt idx="478">
                  <c:v>3214</c:v>
                </c:pt>
                <c:pt idx="479">
                  <c:v>5633</c:v>
                </c:pt>
                <c:pt idx="480">
                  <c:v>6196</c:v>
                </c:pt>
                <c:pt idx="481">
                  <c:v>5026</c:v>
                </c:pt>
                <c:pt idx="482">
                  <c:v>6233</c:v>
                </c:pt>
                <c:pt idx="483">
                  <c:v>4220</c:v>
                </c:pt>
                <c:pt idx="484">
                  <c:v>6304</c:v>
                </c:pt>
                <c:pt idx="485">
                  <c:v>5572</c:v>
                </c:pt>
                <c:pt idx="486">
                  <c:v>5740</c:v>
                </c:pt>
                <c:pt idx="487">
                  <c:v>6169</c:v>
                </c:pt>
                <c:pt idx="488">
                  <c:v>6421</c:v>
                </c:pt>
                <c:pt idx="489">
                  <c:v>6296</c:v>
                </c:pt>
                <c:pt idx="490">
                  <c:v>6883</c:v>
                </c:pt>
                <c:pt idx="491">
                  <c:v>6359</c:v>
                </c:pt>
                <c:pt idx="492">
                  <c:v>6273</c:v>
                </c:pt>
                <c:pt idx="493">
                  <c:v>5728</c:v>
                </c:pt>
                <c:pt idx="494">
                  <c:v>4717</c:v>
                </c:pt>
                <c:pt idx="495">
                  <c:v>6572</c:v>
                </c:pt>
                <c:pt idx="496">
                  <c:v>7030</c:v>
                </c:pt>
                <c:pt idx="497">
                  <c:v>7429</c:v>
                </c:pt>
                <c:pt idx="498">
                  <c:v>6118</c:v>
                </c:pt>
                <c:pt idx="499">
                  <c:v>2843</c:v>
                </c:pt>
                <c:pt idx="500">
                  <c:v>5115</c:v>
                </c:pt>
                <c:pt idx="501">
                  <c:v>7424</c:v>
                </c:pt>
                <c:pt idx="502">
                  <c:v>7384</c:v>
                </c:pt>
                <c:pt idx="503">
                  <c:v>7639</c:v>
                </c:pt>
                <c:pt idx="504">
                  <c:v>8294</c:v>
                </c:pt>
                <c:pt idx="505">
                  <c:v>7129</c:v>
                </c:pt>
                <c:pt idx="506">
                  <c:v>4359</c:v>
                </c:pt>
                <c:pt idx="507">
                  <c:v>6073</c:v>
                </c:pt>
                <c:pt idx="508">
                  <c:v>5260</c:v>
                </c:pt>
                <c:pt idx="509">
                  <c:v>6770</c:v>
                </c:pt>
                <c:pt idx="510">
                  <c:v>6734</c:v>
                </c:pt>
                <c:pt idx="511">
                  <c:v>6536</c:v>
                </c:pt>
                <c:pt idx="512">
                  <c:v>6591</c:v>
                </c:pt>
                <c:pt idx="513">
                  <c:v>6043</c:v>
                </c:pt>
                <c:pt idx="514">
                  <c:v>5743</c:v>
                </c:pt>
                <c:pt idx="515">
                  <c:v>6855</c:v>
                </c:pt>
                <c:pt idx="516">
                  <c:v>7338</c:v>
                </c:pt>
                <c:pt idx="517">
                  <c:v>4127</c:v>
                </c:pt>
                <c:pt idx="518">
                  <c:v>8120</c:v>
                </c:pt>
                <c:pt idx="519">
                  <c:v>7641</c:v>
                </c:pt>
                <c:pt idx="520">
                  <c:v>6998</c:v>
                </c:pt>
                <c:pt idx="521">
                  <c:v>7001</c:v>
                </c:pt>
                <c:pt idx="522">
                  <c:v>7055</c:v>
                </c:pt>
                <c:pt idx="523">
                  <c:v>7494</c:v>
                </c:pt>
                <c:pt idx="524">
                  <c:v>7736</c:v>
                </c:pt>
                <c:pt idx="525">
                  <c:v>7498</c:v>
                </c:pt>
                <c:pt idx="526">
                  <c:v>6598</c:v>
                </c:pt>
                <c:pt idx="527">
                  <c:v>6664</c:v>
                </c:pt>
                <c:pt idx="528">
                  <c:v>4972</c:v>
                </c:pt>
                <c:pt idx="529">
                  <c:v>7421</c:v>
                </c:pt>
                <c:pt idx="530">
                  <c:v>7363</c:v>
                </c:pt>
                <c:pt idx="531">
                  <c:v>7665</c:v>
                </c:pt>
                <c:pt idx="532">
                  <c:v>7702</c:v>
                </c:pt>
                <c:pt idx="533">
                  <c:v>6978</c:v>
                </c:pt>
                <c:pt idx="534">
                  <c:v>5099</c:v>
                </c:pt>
                <c:pt idx="535">
                  <c:v>6825</c:v>
                </c:pt>
                <c:pt idx="536">
                  <c:v>6211</c:v>
                </c:pt>
                <c:pt idx="537">
                  <c:v>5905</c:v>
                </c:pt>
                <c:pt idx="538">
                  <c:v>5823</c:v>
                </c:pt>
                <c:pt idx="539">
                  <c:v>7458</c:v>
                </c:pt>
                <c:pt idx="540">
                  <c:v>6891</c:v>
                </c:pt>
                <c:pt idx="541">
                  <c:v>6779</c:v>
                </c:pt>
                <c:pt idx="542">
                  <c:v>7442</c:v>
                </c:pt>
                <c:pt idx="543">
                  <c:v>7335</c:v>
                </c:pt>
                <c:pt idx="544">
                  <c:v>6879</c:v>
                </c:pt>
                <c:pt idx="545">
                  <c:v>5463</c:v>
                </c:pt>
                <c:pt idx="546">
                  <c:v>5687</c:v>
                </c:pt>
                <c:pt idx="547">
                  <c:v>5531</c:v>
                </c:pt>
                <c:pt idx="548">
                  <c:v>6227</c:v>
                </c:pt>
                <c:pt idx="549">
                  <c:v>6660</c:v>
                </c:pt>
                <c:pt idx="550">
                  <c:v>7403</c:v>
                </c:pt>
                <c:pt idx="551">
                  <c:v>6241</c:v>
                </c:pt>
                <c:pt idx="552">
                  <c:v>6207</c:v>
                </c:pt>
                <c:pt idx="553">
                  <c:v>4840</c:v>
                </c:pt>
                <c:pt idx="554">
                  <c:v>4672</c:v>
                </c:pt>
                <c:pt idx="555">
                  <c:v>6569</c:v>
                </c:pt>
                <c:pt idx="556">
                  <c:v>6290</c:v>
                </c:pt>
                <c:pt idx="557">
                  <c:v>7264</c:v>
                </c:pt>
                <c:pt idx="558">
                  <c:v>7446</c:v>
                </c:pt>
                <c:pt idx="559">
                  <c:v>7499</c:v>
                </c:pt>
                <c:pt idx="560">
                  <c:v>6969</c:v>
                </c:pt>
                <c:pt idx="561">
                  <c:v>6031</c:v>
                </c:pt>
                <c:pt idx="562">
                  <c:v>6830</c:v>
                </c:pt>
                <c:pt idx="563">
                  <c:v>6786</c:v>
                </c:pt>
                <c:pt idx="564">
                  <c:v>5713</c:v>
                </c:pt>
                <c:pt idx="565">
                  <c:v>6591</c:v>
                </c:pt>
                <c:pt idx="566">
                  <c:v>5870</c:v>
                </c:pt>
                <c:pt idx="567">
                  <c:v>4459</c:v>
                </c:pt>
                <c:pt idx="568">
                  <c:v>7410</c:v>
                </c:pt>
                <c:pt idx="569">
                  <c:v>6966</c:v>
                </c:pt>
                <c:pt idx="570">
                  <c:v>7592</c:v>
                </c:pt>
                <c:pt idx="571">
                  <c:v>8173</c:v>
                </c:pt>
                <c:pt idx="572">
                  <c:v>6861</c:v>
                </c:pt>
                <c:pt idx="573">
                  <c:v>6904</c:v>
                </c:pt>
                <c:pt idx="574">
                  <c:v>6685</c:v>
                </c:pt>
                <c:pt idx="575">
                  <c:v>6597</c:v>
                </c:pt>
                <c:pt idx="576">
                  <c:v>7105</c:v>
                </c:pt>
                <c:pt idx="577">
                  <c:v>7216</c:v>
                </c:pt>
                <c:pt idx="578">
                  <c:v>7580</c:v>
                </c:pt>
                <c:pt idx="579">
                  <c:v>7261</c:v>
                </c:pt>
                <c:pt idx="580">
                  <c:v>7175</c:v>
                </c:pt>
                <c:pt idx="581">
                  <c:v>6824</c:v>
                </c:pt>
                <c:pt idx="582">
                  <c:v>5464</c:v>
                </c:pt>
                <c:pt idx="583">
                  <c:v>7013</c:v>
                </c:pt>
                <c:pt idx="584">
                  <c:v>7273</c:v>
                </c:pt>
                <c:pt idx="585">
                  <c:v>7534</c:v>
                </c:pt>
                <c:pt idx="586">
                  <c:v>7286</c:v>
                </c:pt>
                <c:pt idx="587">
                  <c:v>5786</c:v>
                </c:pt>
                <c:pt idx="588">
                  <c:v>6299</c:v>
                </c:pt>
                <c:pt idx="589">
                  <c:v>6544</c:v>
                </c:pt>
                <c:pt idx="590">
                  <c:v>6883</c:v>
                </c:pt>
                <c:pt idx="591">
                  <c:v>6784</c:v>
                </c:pt>
                <c:pt idx="592">
                  <c:v>7347</c:v>
                </c:pt>
                <c:pt idx="593">
                  <c:v>7605</c:v>
                </c:pt>
                <c:pt idx="594">
                  <c:v>7148</c:v>
                </c:pt>
                <c:pt idx="595">
                  <c:v>7865</c:v>
                </c:pt>
                <c:pt idx="596">
                  <c:v>4549</c:v>
                </c:pt>
                <c:pt idx="597">
                  <c:v>6530</c:v>
                </c:pt>
                <c:pt idx="598">
                  <c:v>7006</c:v>
                </c:pt>
                <c:pt idx="599">
                  <c:v>7375</c:v>
                </c:pt>
                <c:pt idx="600">
                  <c:v>7765</c:v>
                </c:pt>
                <c:pt idx="601">
                  <c:v>7582</c:v>
                </c:pt>
                <c:pt idx="602">
                  <c:v>6053</c:v>
                </c:pt>
                <c:pt idx="603">
                  <c:v>5255</c:v>
                </c:pt>
                <c:pt idx="604">
                  <c:v>6917</c:v>
                </c:pt>
                <c:pt idx="605">
                  <c:v>7040</c:v>
                </c:pt>
                <c:pt idx="606">
                  <c:v>7697</c:v>
                </c:pt>
                <c:pt idx="607">
                  <c:v>7713</c:v>
                </c:pt>
                <c:pt idx="608">
                  <c:v>7350</c:v>
                </c:pt>
                <c:pt idx="609">
                  <c:v>6140</c:v>
                </c:pt>
                <c:pt idx="610">
                  <c:v>5810</c:v>
                </c:pt>
                <c:pt idx="611">
                  <c:v>6034</c:v>
                </c:pt>
                <c:pt idx="612">
                  <c:v>6864</c:v>
                </c:pt>
                <c:pt idx="613">
                  <c:v>7112</c:v>
                </c:pt>
                <c:pt idx="614">
                  <c:v>6203</c:v>
                </c:pt>
                <c:pt idx="615">
                  <c:v>7504</c:v>
                </c:pt>
                <c:pt idx="616">
                  <c:v>5976</c:v>
                </c:pt>
                <c:pt idx="617">
                  <c:v>8227</c:v>
                </c:pt>
                <c:pt idx="618">
                  <c:v>7525</c:v>
                </c:pt>
                <c:pt idx="619">
                  <c:v>7767</c:v>
                </c:pt>
                <c:pt idx="620">
                  <c:v>7870</c:v>
                </c:pt>
                <c:pt idx="621">
                  <c:v>7804</c:v>
                </c:pt>
                <c:pt idx="622">
                  <c:v>8009</c:v>
                </c:pt>
                <c:pt idx="623">
                  <c:v>8714</c:v>
                </c:pt>
                <c:pt idx="624">
                  <c:v>7333</c:v>
                </c:pt>
                <c:pt idx="625">
                  <c:v>6869</c:v>
                </c:pt>
                <c:pt idx="626">
                  <c:v>4073</c:v>
                </c:pt>
                <c:pt idx="627">
                  <c:v>7591</c:v>
                </c:pt>
                <c:pt idx="628">
                  <c:v>7720</c:v>
                </c:pt>
                <c:pt idx="629">
                  <c:v>8167</c:v>
                </c:pt>
                <c:pt idx="630">
                  <c:v>8395</c:v>
                </c:pt>
                <c:pt idx="631">
                  <c:v>7907</c:v>
                </c:pt>
                <c:pt idx="632">
                  <c:v>7436</c:v>
                </c:pt>
                <c:pt idx="633">
                  <c:v>7538</c:v>
                </c:pt>
                <c:pt idx="634">
                  <c:v>7733</c:v>
                </c:pt>
                <c:pt idx="635">
                  <c:v>7393</c:v>
                </c:pt>
                <c:pt idx="636">
                  <c:v>7415</c:v>
                </c:pt>
                <c:pt idx="637">
                  <c:v>8555</c:v>
                </c:pt>
                <c:pt idx="638">
                  <c:v>6889</c:v>
                </c:pt>
                <c:pt idx="639">
                  <c:v>6778</c:v>
                </c:pt>
                <c:pt idx="640">
                  <c:v>4639</c:v>
                </c:pt>
                <c:pt idx="641">
                  <c:v>7572</c:v>
                </c:pt>
                <c:pt idx="642">
                  <c:v>7328</c:v>
                </c:pt>
                <c:pt idx="643">
                  <c:v>8156</c:v>
                </c:pt>
                <c:pt idx="644">
                  <c:v>7965</c:v>
                </c:pt>
                <c:pt idx="645">
                  <c:v>3510</c:v>
                </c:pt>
                <c:pt idx="646">
                  <c:v>5478</c:v>
                </c:pt>
                <c:pt idx="647">
                  <c:v>6392</c:v>
                </c:pt>
                <c:pt idx="648">
                  <c:v>7691</c:v>
                </c:pt>
                <c:pt idx="649">
                  <c:v>7570</c:v>
                </c:pt>
                <c:pt idx="650">
                  <c:v>7282</c:v>
                </c:pt>
                <c:pt idx="651">
                  <c:v>7109</c:v>
                </c:pt>
                <c:pt idx="652">
                  <c:v>6639</c:v>
                </c:pt>
                <c:pt idx="653">
                  <c:v>5875</c:v>
                </c:pt>
                <c:pt idx="654">
                  <c:v>7534</c:v>
                </c:pt>
                <c:pt idx="655">
                  <c:v>7461</c:v>
                </c:pt>
                <c:pt idx="656">
                  <c:v>7509</c:v>
                </c:pt>
                <c:pt idx="657">
                  <c:v>5424</c:v>
                </c:pt>
                <c:pt idx="658">
                  <c:v>8090</c:v>
                </c:pt>
                <c:pt idx="659">
                  <c:v>6824</c:v>
                </c:pt>
                <c:pt idx="660">
                  <c:v>7058</c:v>
                </c:pt>
                <c:pt idx="661">
                  <c:v>7466</c:v>
                </c:pt>
                <c:pt idx="662">
                  <c:v>7693</c:v>
                </c:pt>
                <c:pt idx="663">
                  <c:v>7359</c:v>
                </c:pt>
                <c:pt idx="664">
                  <c:v>7444</c:v>
                </c:pt>
                <c:pt idx="665">
                  <c:v>7852</c:v>
                </c:pt>
                <c:pt idx="666">
                  <c:v>4459</c:v>
                </c:pt>
                <c:pt idx="667">
                  <c:v>22</c:v>
                </c:pt>
                <c:pt idx="668">
                  <c:v>1096</c:v>
                </c:pt>
                <c:pt idx="669">
                  <c:v>5566</c:v>
                </c:pt>
                <c:pt idx="670">
                  <c:v>5986</c:v>
                </c:pt>
                <c:pt idx="671">
                  <c:v>5847</c:v>
                </c:pt>
                <c:pt idx="672">
                  <c:v>5138</c:v>
                </c:pt>
                <c:pt idx="673">
                  <c:v>5107</c:v>
                </c:pt>
                <c:pt idx="674">
                  <c:v>5259</c:v>
                </c:pt>
                <c:pt idx="675">
                  <c:v>5686</c:v>
                </c:pt>
                <c:pt idx="676">
                  <c:v>5035</c:v>
                </c:pt>
                <c:pt idx="677">
                  <c:v>5315</c:v>
                </c:pt>
                <c:pt idx="678">
                  <c:v>5992</c:v>
                </c:pt>
                <c:pt idx="679">
                  <c:v>6536</c:v>
                </c:pt>
                <c:pt idx="680">
                  <c:v>6852</c:v>
                </c:pt>
                <c:pt idx="681">
                  <c:v>6269</c:v>
                </c:pt>
                <c:pt idx="682">
                  <c:v>4094</c:v>
                </c:pt>
                <c:pt idx="683">
                  <c:v>5495</c:v>
                </c:pt>
                <c:pt idx="684">
                  <c:v>5445</c:v>
                </c:pt>
                <c:pt idx="685">
                  <c:v>5698</c:v>
                </c:pt>
                <c:pt idx="686">
                  <c:v>5629</c:v>
                </c:pt>
                <c:pt idx="687">
                  <c:v>4669</c:v>
                </c:pt>
                <c:pt idx="688">
                  <c:v>5499</c:v>
                </c:pt>
                <c:pt idx="689">
                  <c:v>5634</c:v>
                </c:pt>
                <c:pt idx="690">
                  <c:v>5146</c:v>
                </c:pt>
                <c:pt idx="691">
                  <c:v>2425</c:v>
                </c:pt>
                <c:pt idx="692">
                  <c:v>3910</c:v>
                </c:pt>
                <c:pt idx="693">
                  <c:v>2277</c:v>
                </c:pt>
                <c:pt idx="694">
                  <c:v>2424</c:v>
                </c:pt>
                <c:pt idx="695">
                  <c:v>5087</c:v>
                </c:pt>
                <c:pt idx="696">
                  <c:v>3959</c:v>
                </c:pt>
                <c:pt idx="697">
                  <c:v>5260</c:v>
                </c:pt>
                <c:pt idx="698">
                  <c:v>5323</c:v>
                </c:pt>
                <c:pt idx="699">
                  <c:v>5668</c:v>
                </c:pt>
                <c:pt idx="700">
                  <c:v>5191</c:v>
                </c:pt>
                <c:pt idx="701">
                  <c:v>4649</c:v>
                </c:pt>
                <c:pt idx="702">
                  <c:v>6234</c:v>
                </c:pt>
                <c:pt idx="703">
                  <c:v>6606</c:v>
                </c:pt>
                <c:pt idx="704">
                  <c:v>5729</c:v>
                </c:pt>
                <c:pt idx="705">
                  <c:v>5375</c:v>
                </c:pt>
                <c:pt idx="706">
                  <c:v>5008</c:v>
                </c:pt>
                <c:pt idx="707">
                  <c:v>5582</c:v>
                </c:pt>
                <c:pt idx="708">
                  <c:v>3228</c:v>
                </c:pt>
                <c:pt idx="709">
                  <c:v>5170</c:v>
                </c:pt>
                <c:pt idx="710">
                  <c:v>5501</c:v>
                </c:pt>
                <c:pt idx="711">
                  <c:v>5319</c:v>
                </c:pt>
                <c:pt idx="712">
                  <c:v>5532</c:v>
                </c:pt>
                <c:pt idx="713">
                  <c:v>5611</c:v>
                </c:pt>
                <c:pt idx="714">
                  <c:v>5047</c:v>
                </c:pt>
                <c:pt idx="715">
                  <c:v>3786</c:v>
                </c:pt>
                <c:pt idx="716">
                  <c:v>4585</c:v>
                </c:pt>
                <c:pt idx="717">
                  <c:v>5557</c:v>
                </c:pt>
                <c:pt idx="718">
                  <c:v>5267</c:v>
                </c:pt>
                <c:pt idx="719">
                  <c:v>4128</c:v>
                </c:pt>
                <c:pt idx="720">
                  <c:v>3623</c:v>
                </c:pt>
                <c:pt idx="721">
                  <c:v>1749</c:v>
                </c:pt>
                <c:pt idx="722">
                  <c:v>1787</c:v>
                </c:pt>
                <c:pt idx="723">
                  <c:v>920</c:v>
                </c:pt>
                <c:pt idx="724">
                  <c:v>1013</c:v>
                </c:pt>
                <c:pt idx="725">
                  <c:v>441</c:v>
                </c:pt>
                <c:pt idx="726">
                  <c:v>2114</c:v>
                </c:pt>
                <c:pt idx="727">
                  <c:v>3095</c:v>
                </c:pt>
                <c:pt idx="728">
                  <c:v>1341</c:v>
                </c:pt>
                <c:pt idx="729">
                  <c:v>1796</c:v>
                </c:pt>
                <c:pt idx="730">
                  <c:v>2729</c:v>
                </c:pt>
              </c:numCache>
            </c:numRef>
          </c:yVal>
          <c:smooth val="0"/>
          <c:extLst>
            <c:ext xmlns:c16="http://schemas.microsoft.com/office/drawing/2014/chart" uri="{C3380CC4-5D6E-409C-BE32-E72D297353CC}">
              <c16:uniqueId val="{00000000-72D5-48B4-8BA2-FD268E08A9FF}"/>
            </c:ext>
          </c:extLst>
        </c:ser>
        <c:dLbls>
          <c:showLegendKey val="0"/>
          <c:showVal val="0"/>
          <c:showCatName val="0"/>
          <c:showSerName val="0"/>
          <c:showPercent val="0"/>
          <c:showBubbleSize val="0"/>
        </c:dLbls>
        <c:axId val="976812399"/>
        <c:axId val="634462815"/>
      </c:scatterChart>
      <c:valAx>
        <c:axId val="976812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34462815"/>
        <c:crosses val="autoZero"/>
        <c:crossBetween val="midCat"/>
      </c:valAx>
      <c:valAx>
        <c:axId val="634462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768123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[bike_sharing_dashboard.xlsx]Dashboard_pivot _tables!PivotTable7</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Average Ridership by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'Dashboard_pivot _tables'!$B$29</c:f>
              <c:strCache>
                <c:ptCount val="1"/>
                <c:pt idx="0">
                  <c:v>Total</c:v>
                </c:pt>
              </c:strCache>
            </c:strRef>
          </c:tx>
          <c:spPr>
            <a:solidFill>
              <a:schemeClr val="accent1"/>
            </a:solidFill>
            <a:ln>
              <a:noFill/>
            </a:ln>
            <a:effectLst/>
          </c:spPr>
          <c:invertIfNegative val="0"/>
          <c:cat>
            <c:strRef>
              <c:f>'Dashboard_pivot _tables'!$A$30:$A$34</c:f>
              <c:strCache>
                <c:ptCount val="4"/>
                <c:pt idx="0">
                  <c:v>Fall</c:v>
                </c:pt>
                <c:pt idx="1">
                  <c:v>Spring</c:v>
                </c:pt>
                <c:pt idx="2">
                  <c:v>Summer</c:v>
                </c:pt>
                <c:pt idx="3">
                  <c:v>Winter</c:v>
                </c:pt>
              </c:strCache>
            </c:strRef>
          </c:cat>
          <c:val>
            <c:numRef>
              <c:f>'Dashboard_pivot _tables'!$B$30:$B$34</c:f>
              <c:numCache>
                <c:formatCode>General</c:formatCode>
                <c:ptCount val="4"/>
                <c:pt idx="0">
                  <c:v>4728.1629213483147</c:v>
                </c:pt>
                <c:pt idx="1">
                  <c:v>4992.33152173913</c:v>
                </c:pt>
                <c:pt idx="2">
                  <c:v>5644.3031914893618</c:v>
                </c:pt>
                <c:pt idx="3">
                  <c:v>2604.1325966850827</c:v>
                </c:pt>
              </c:numCache>
            </c:numRef>
          </c:val>
          <c:extLst>
            <c:ext xmlns:c16="http://schemas.microsoft.com/office/drawing/2014/chart" uri="{C3380CC4-5D6E-409C-BE32-E72D297353CC}">
              <c16:uniqueId val="{00000000-5989-4B66-ABE0-00B6BEB30AF4}"/>
            </c:ext>
          </c:extLst>
        </c:ser>
        <c:dLbls>
          <c:showLegendKey val="0"/>
          <c:showVal val="0"/>
          <c:showCatName val="0"/>
          <c:showSerName val="0"/>
          <c:showPercent val="0"/>
          <c:showBubbleSize val="0"/>
        </c:dLbls>
        <c:gapWidth val="219"/>
        <c:overlap val="-27"/>
        <c:axId val="1352458480"/>
        <c:axId val="1244374496"/>
      </c:barChart>
      <c:catAx>
        <c:axId val="135245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44374496"/>
        <c:crosses val="autoZero"/>
        <c:auto val="1"/>
        <c:lblAlgn val="ctr"/>
        <c:lblOffset val="100"/>
        <c:noMultiLvlLbl val="0"/>
      </c:catAx>
      <c:valAx>
        <c:axId val="124437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5245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15240</xdr:colOff>
      <xdr:row>10</xdr:row>
      <xdr:rowOff>68580</xdr:rowOff>
    </xdr:from>
    <xdr:to>
      <xdr:col>8</xdr:col>
      <xdr:colOff>0</xdr:colOff>
      <xdr:row>25</xdr:row>
      <xdr:rowOff>68580</xdr:rowOff>
    </xdr:to>
    <xdr:graphicFrame macro="">
      <xdr:nvGraphicFramePr>
        <xdr:cNvPr id="2" name="Chart 1">
          <a:extLst>
            <a:ext uri="{FF2B5EF4-FFF2-40B4-BE49-F238E27FC236}">
              <a16:creationId xmlns:a16="http://schemas.microsoft.com/office/drawing/2014/main" id="{99F10A93-7BE2-4577-8BA1-6C8A9C999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26</xdr:row>
      <xdr:rowOff>7620</xdr:rowOff>
    </xdr:from>
    <xdr:to>
      <xdr:col>8</xdr:col>
      <xdr:colOff>0</xdr:colOff>
      <xdr:row>41</xdr:row>
      <xdr:rowOff>15240</xdr:rowOff>
    </xdr:to>
    <xdr:graphicFrame macro="">
      <xdr:nvGraphicFramePr>
        <xdr:cNvPr id="4" name="Chart 3">
          <a:extLst>
            <a:ext uri="{FF2B5EF4-FFF2-40B4-BE49-F238E27FC236}">
              <a16:creationId xmlns:a16="http://schemas.microsoft.com/office/drawing/2014/main" id="{4ED9879A-A585-4EBB-A77D-C47C995A3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7620</xdr:colOff>
      <xdr:row>2</xdr:row>
      <xdr:rowOff>7621</xdr:rowOff>
    </xdr:from>
    <xdr:to>
      <xdr:col>3</xdr:col>
      <xdr:colOff>1737360</xdr:colOff>
      <xdr:row>5</xdr:row>
      <xdr:rowOff>144780</xdr:rowOff>
    </xdr:to>
    <mc:AlternateContent xmlns:mc="http://schemas.openxmlformats.org/markup-compatibility/2006" xmlns:a14="http://schemas.microsoft.com/office/drawing/2010/main">
      <mc:Choice Requires="a14">
        <xdr:graphicFrame macro="">
          <xdr:nvGraphicFramePr>
            <xdr:cNvPr id="5" name="season_label">
              <a:extLst>
                <a:ext uri="{FF2B5EF4-FFF2-40B4-BE49-F238E27FC236}">
                  <a16:creationId xmlns:a16="http://schemas.microsoft.com/office/drawing/2014/main" id="{29B787E0-66FC-4987-A3BE-1A2D586D48D9}"/>
                </a:ext>
              </a:extLst>
            </xdr:cNvPr>
            <xdr:cNvGraphicFramePr/>
          </xdr:nvGraphicFramePr>
          <xdr:xfrm>
            <a:off x="0" y="0"/>
            <a:ext cx="0" cy="0"/>
          </xdr:xfrm>
          <a:graphic>
            <a:graphicData uri="http://schemas.microsoft.com/office/drawing/2010/slicer">
              <sle:slicer xmlns:sle="http://schemas.microsoft.com/office/drawing/2010/slicer" name="season_label"/>
            </a:graphicData>
          </a:graphic>
        </xdr:graphicFrame>
      </mc:Choice>
      <mc:Fallback xmlns="">
        <xdr:sp macro="" textlink="">
          <xdr:nvSpPr>
            <xdr:cNvPr id="0" name=""/>
            <xdr:cNvSpPr>
              <a:spLocks noTextEdit="1"/>
            </xdr:cNvSpPr>
          </xdr:nvSpPr>
          <xdr:spPr>
            <a:xfrm>
              <a:off x="617220" y="586741"/>
              <a:ext cx="4107180"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53340</xdr:colOff>
      <xdr:row>2</xdr:row>
      <xdr:rowOff>0</xdr:rowOff>
    </xdr:from>
    <xdr:to>
      <xdr:col>8</xdr:col>
      <xdr:colOff>0</xdr:colOff>
      <xdr:row>5</xdr:row>
      <xdr:rowOff>152400</xdr:rowOff>
    </xdr:to>
    <mc:AlternateContent xmlns:mc="http://schemas.openxmlformats.org/markup-compatibility/2006" xmlns:a14="http://schemas.microsoft.com/office/drawing/2010/main">
      <mc:Choice Requires="a14">
        <xdr:graphicFrame macro="">
          <xdr:nvGraphicFramePr>
            <xdr:cNvPr id="6" name="yr_label">
              <a:extLst>
                <a:ext uri="{FF2B5EF4-FFF2-40B4-BE49-F238E27FC236}">
                  <a16:creationId xmlns:a16="http://schemas.microsoft.com/office/drawing/2014/main" id="{75B0B6D1-635C-4CFD-8E3C-56C0FCBAF1FB}"/>
                </a:ext>
              </a:extLst>
            </xdr:cNvPr>
            <xdr:cNvGraphicFramePr/>
          </xdr:nvGraphicFramePr>
          <xdr:xfrm>
            <a:off x="0" y="0"/>
            <a:ext cx="0" cy="0"/>
          </xdr:xfrm>
          <a:graphic>
            <a:graphicData uri="http://schemas.microsoft.com/office/drawing/2010/slicer">
              <sle:slicer xmlns:sle="http://schemas.microsoft.com/office/drawing/2010/slicer" name="yr_label"/>
            </a:graphicData>
          </a:graphic>
        </xdr:graphicFrame>
      </mc:Choice>
      <mc:Fallback xmlns="">
        <xdr:sp macro="" textlink="">
          <xdr:nvSpPr>
            <xdr:cNvPr id="0" name=""/>
            <xdr:cNvSpPr>
              <a:spLocks noTextEdit="1"/>
            </xdr:cNvSpPr>
          </xdr:nvSpPr>
          <xdr:spPr>
            <a:xfrm>
              <a:off x="5417820" y="579120"/>
              <a:ext cx="4091940" cy="701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7620</xdr:colOff>
      <xdr:row>26</xdr:row>
      <xdr:rowOff>22860</xdr:rowOff>
    </xdr:from>
    <xdr:to>
      <xdr:col>4</xdr:col>
      <xdr:colOff>7620</xdr:colOff>
      <xdr:row>41</xdr:row>
      <xdr:rowOff>22860</xdr:rowOff>
    </xdr:to>
    <xdr:graphicFrame macro="">
      <xdr:nvGraphicFramePr>
        <xdr:cNvPr id="7" name="Chart 6">
          <a:extLst>
            <a:ext uri="{FF2B5EF4-FFF2-40B4-BE49-F238E27FC236}">
              <a16:creationId xmlns:a16="http://schemas.microsoft.com/office/drawing/2014/main" id="{5C5464F1-142D-4785-99D6-5E3FB162D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0.440486805557" createdVersion="8" refreshedVersion="8" minRefreshableVersion="3" recordCount="731" xr:uid="{B8CF72A1-A085-406E-A8EF-D12FE66B4682}">
  <cacheSource type="worksheet">
    <worksheetSource ref="A1:Y732" sheet="Prepared_data"/>
  </cacheSource>
  <cacheFields count="28">
    <cacheField name="instant" numFmtId="0">
      <sharedItems containsSemiMixedTypes="0" containsString="0" containsNumber="1" containsInteger="1" minValue="1" maxValue="731"/>
    </cacheField>
    <cacheField name="dteday" numFmtId="14">
      <sharedItems containsSemiMixedTypes="0" containsNonDate="0" containsDate="1" containsString="0" minDate="2011-01-01T00:00:00" maxDate="2013-01-01T00:00:00" count="731">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2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3-29T00:00:00"/>
        <d v="2011-03-30T00:00:00"/>
        <d v="2011-03-31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4-29T00:00:00"/>
        <d v="2011-04-30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19T00:00:00"/>
        <d v="2011-05-20T00:00:00"/>
        <d v="2011-05-21T00:00:00"/>
        <d v="2011-05-22T00:00:00"/>
        <d v="2011-05-23T00:00:00"/>
        <d v="2011-05-24T00:00:00"/>
        <d v="2011-05-25T00:00:00"/>
        <d v="2011-05-26T00:00:00"/>
        <d v="2011-05-27T00:00:00"/>
        <d v="2011-05-28T00:00:00"/>
        <d v="2011-05-29T00:00:00"/>
        <d v="2011-05-30T00:00:00"/>
        <d v="2011-05-31T00:00:00"/>
        <d v="2011-06-01T00:00:00"/>
        <d v="2011-06-02T00:00:00"/>
        <d v="2011-06-03T00:00:00"/>
        <d v="2011-06-04T00:00:00"/>
        <d v="2011-06-05T00:00:00"/>
        <d v="2011-06-06T00:00:00"/>
        <d v="2011-06-07T00:00:00"/>
        <d v="2011-06-08T00:00:00"/>
        <d v="2011-06-09T00:00:00"/>
        <d v="2011-06-10T00:00:00"/>
        <d v="2011-06-11T00:00:00"/>
        <d v="2011-06-12T00:00:00"/>
        <d v="2011-06-13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6-29T00:00:00"/>
        <d v="2011-06-30T00:00:00"/>
        <d v="2011-07-01T00:00:00"/>
        <d v="2011-07-02T00:00:00"/>
        <d v="2011-07-03T00:00:00"/>
        <d v="2011-07-04T00:00:00"/>
        <d v="2011-07-05T00:00:00"/>
        <d v="2011-07-06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2T00:00:00"/>
        <d v="2011-07-23T00:00:00"/>
        <d v="2011-07-24T00:00:00"/>
        <d v="2011-07-25T00:00:00"/>
        <d v="2011-07-26T00:00:00"/>
        <d v="2011-07-27T00:00:00"/>
        <d v="2011-07-28T00:00:00"/>
        <d v="2011-07-29T00:00:00"/>
        <d v="2011-07-30T00:00:00"/>
        <d v="2011-07-31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8-29T00:00:00"/>
        <d v="2011-08-30T00:00:00"/>
        <d v="2011-08-31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09-29T00:00:00"/>
        <d v="2011-09-30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4T00:00:00"/>
        <d v="2011-10-25T00:00:00"/>
        <d v="2011-10-26T00:00:00"/>
        <d v="2011-10-27T00:00:00"/>
        <d v="2011-10-28T00:00:00"/>
        <d v="2011-10-29T00:00:00"/>
        <d v="2011-10-30T00:00:00"/>
        <d v="2011-10-31T00:00:00"/>
        <d v="2011-11-01T00:00:00"/>
        <d v="2011-11-02T00:00:00"/>
        <d v="2011-11-03T00:00:00"/>
        <d v="2011-11-04T00:00:00"/>
        <d v="2011-11-05T00:00:00"/>
        <d v="2011-11-06T00:00:00"/>
        <d v="2011-11-07T00:00:00"/>
        <d v="2011-11-08T00:00:00"/>
        <d v="2011-11-09T00:00:00"/>
        <d v="2011-11-10T00:00:00"/>
        <d v="2011-11-11T00:00:00"/>
        <d v="2011-11-12T00:00:00"/>
        <d v="2011-11-13T00:00:00"/>
        <d v="2011-11-14T00:00:00"/>
        <d v="2011-11-15T00:00:00"/>
        <d v="2011-11-16T00:00:00"/>
        <d v="2011-11-17T00:00:00"/>
        <d v="2011-11-18T00:00:00"/>
        <d v="2011-11-19T00:00:00"/>
        <d v="2011-11-20T00:00:00"/>
        <d v="2011-11-21T00:00:00"/>
        <d v="2011-11-22T00:00:00"/>
        <d v="2011-11-23T00:00:00"/>
        <d v="2011-11-24T00:00:00"/>
        <d v="2011-11-25T00:00:00"/>
        <d v="2011-11-26T00:00:00"/>
        <d v="2011-11-27T00:00:00"/>
        <d v="2011-11-28T00:00:00"/>
        <d v="2011-11-29T00:00:00"/>
        <d v="2011-11-30T00:00:00"/>
        <d v="2011-12-01T00:00:00"/>
        <d v="2011-12-02T00:00:00"/>
        <d v="2011-12-03T00:00:00"/>
        <d v="2011-12-04T00:00:00"/>
        <d v="2011-12-05T00:00:00"/>
        <d v="2011-12-06T00:00:00"/>
        <d v="2011-12-07T00:00:00"/>
        <d v="2011-12-08T00:00:00"/>
        <d v="2011-12-09T00:00:00"/>
        <d v="2011-12-10T00:00:00"/>
        <d v="2011-12-11T00:00:00"/>
        <d v="2011-12-12T00:00:00"/>
        <d v="2011-12-13T00:00:00"/>
        <d v="2011-12-14T00:00:00"/>
        <d v="2011-12-15T00:00:00"/>
        <d v="2011-12-16T00:00:00"/>
        <d v="2011-12-17T00:00:00"/>
        <d v="2011-12-18T00:00:00"/>
        <d v="2011-12-19T00:00:00"/>
        <d v="2011-12-20T00:00:00"/>
        <d v="2011-12-21T00:00:00"/>
        <d v="2011-12-22T00:00:00"/>
        <d v="2011-12-23T00:00:00"/>
        <d v="2011-12-24T00:00:00"/>
        <d v="2011-12-25T00:00:00"/>
        <d v="2011-12-26T00:00:00"/>
        <d v="2011-12-27T00:00:00"/>
        <d v="2011-12-28T00:00:00"/>
        <d v="2011-12-29T00:00:00"/>
        <d v="2011-12-30T00:00:00"/>
        <d v="2011-12-31T00:00:00"/>
        <d v="2012-01-01T00:00:00"/>
        <d v="2012-01-02T00:00:00"/>
        <d v="2012-01-03T00:00:00"/>
        <d v="2012-01-04T00:00:00"/>
        <d v="2012-01-05T00:00:00"/>
        <d v="2012-01-06T00:00:00"/>
        <d v="2012-01-07T00:00:00"/>
        <d v="2012-01-08T00:00:00"/>
        <d v="2012-01-09T00:00:00"/>
        <d v="2012-01-10T00:00:00"/>
        <d v="2012-01-11T00:00:00"/>
        <d v="2012-01-12T00:00:00"/>
        <d v="2012-01-13T00:00:00"/>
        <d v="2012-01-14T00:00:00"/>
        <d v="2012-01-15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4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2T00:00:00"/>
        <d v="2012-02-23T00:00:00"/>
        <d v="2012-02-24T00:00:00"/>
        <d v="2012-02-25T00:00:00"/>
        <d v="2012-02-26T00:00:00"/>
        <d v="2012-02-27T00:00:00"/>
        <d v="2012-02-28T00:00:00"/>
        <d v="2012-02-29T00:00:00"/>
        <d v="2012-03-01T00:00:00"/>
        <d v="2012-03-02T00:00:00"/>
        <d v="2012-03-03T00:00:00"/>
        <d v="2012-03-04T00:00:00"/>
        <d v="2012-03-05T00:00:00"/>
        <d v="2012-03-06T00:00:00"/>
        <d v="2012-03-07T00:00:00"/>
        <d v="2012-03-08T00:00:00"/>
        <d v="2012-03-09T00:00:00"/>
        <d v="2012-03-10T00:00:00"/>
        <d v="2012-03-11T00:00:00"/>
        <d v="2012-03-12T00:00:00"/>
        <d v="2012-03-13T00:00:00"/>
        <d v="2012-03-14T00:00:00"/>
        <d v="2012-03-15T00:00:00"/>
        <d v="2012-03-16T00:00:00"/>
        <d v="2012-03-17T00:00:00"/>
        <d v="2012-03-18T00:00:00"/>
        <d v="2012-03-19T00:00:00"/>
        <d v="2012-03-20T00:00:00"/>
        <d v="2012-03-21T00:00:00"/>
        <d v="2012-03-22T00:00:00"/>
        <d v="2012-03-23T00:00:00"/>
        <d v="2012-03-24T00:00:00"/>
        <d v="2012-03-25T00:00:00"/>
        <d v="2012-03-26T00:00:00"/>
        <d v="2012-03-27T00:00:00"/>
        <d v="2012-03-28T00:00:00"/>
        <d v="2012-03-29T00:00:00"/>
        <d v="2012-03-30T00:00:00"/>
        <d v="2012-03-31T00:00:00"/>
        <d v="2012-04-01T00:00:00"/>
        <d v="2012-04-02T00:00:00"/>
        <d v="2012-04-03T00:00:00"/>
        <d v="2012-04-04T00:00:00"/>
        <d v="2012-04-05T00:00:00"/>
        <d v="2012-04-06T00:00:00"/>
        <d v="2012-04-07T00:00:00"/>
        <d v="2012-04-08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6T00:00:00"/>
        <d v="2012-05-17T00:00:00"/>
        <d v="2012-05-18T00:00:00"/>
        <d v="2012-05-19T00:00:00"/>
        <d v="2012-05-20T00:00:00"/>
        <d v="2012-05-21T00:00:00"/>
        <d v="2012-05-22T00:00:00"/>
        <d v="2012-05-23T00:00:00"/>
        <d v="2012-05-24T00:00:00"/>
        <d v="2012-05-25T00:00:00"/>
        <d v="2012-05-26T00:00:00"/>
        <d v="2012-05-27T00:00:00"/>
        <d v="2012-05-28T00:00:00"/>
        <d v="2012-05-29T00:00:00"/>
        <d v="2012-05-30T00:00:00"/>
        <d v="2012-05-31T00:00:00"/>
        <d v="2012-06-01T00:00:00"/>
        <d v="2012-06-02T00:00:00"/>
        <d v="2012-06-03T00:00:00"/>
        <d v="2012-06-04T00:00:00"/>
        <d v="2012-06-05T00:00:00"/>
        <d v="2012-06-06T00:00:00"/>
        <d v="2012-06-07T00:00:00"/>
        <d v="2012-06-08T00:00:00"/>
        <d v="2012-06-09T00:00:00"/>
        <d v="2012-06-10T00:00:00"/>
        <d v="2012-06-11T00:00:00"/>
        <d v="2012-06-12T00:00:00"/>
        <d v="2012-06-13T00:00:00"/>
        <d v="2012-06-14T00:00:00"/>
        <d v="2012-06-15T00:00:00"/>
        <d v="2012-06-16T00:00:00"/>
        <d v="2012-06-17T00:00:00"/>
        <d v="2012-06-18T00:00:00"/>
        <d v="2012-06-19T00:00:00"/>
        <d v="2012-06-20T00:00:00"/>
        <d v="2012-06-21T00:00:00"/>
        <d v="2012-06-22T00:00:00"/>
        <d v="2012-06-23T00:00:00"/>
        <d v="2012-06-24T00:00:00"/>
        <d v="2012-06-25T00:00:00"/>
        <d v="2012-06-26T00:00:00"/>
        <d v="2012-06-27T00:00:00"/>
        <d v="2012-06-28T00:00:00"/>
        <d v="2012-06-29T00:00:00"/>
        <d v="2012-06-30T00:00:00"/>
        <d v="2012-07-01T00:00:00"/>
        <d v="2012-07-02T00:00:00"/>
        <d v="2012-07-03T00:00:00"/>
        <d v="2012-07-04T00:00:00"/>
        <d v="2012-07-05T00:00:00"/>
        <d v="2012-07-06T00:00:00"/>
        <d v="2012-07-07T00:00:00"/>
        <d v="2012-07-08T00:00:00"/>
        <d v="2012-07-09T00:00:00"/>
        <d v="2012-07-10T00:00:00"/>
        <d v="2012-07-11T00:00:00"/>
        <d v="2012-07-12T00:00:00"/>
        <d v="2012-07-13T00:00:00"/>
        <d v="2012-07-14T00:00:00"/>
        <d v="2012-07-15T00:00:00"/>
        <d v="2012-07-16T00:00:00"/>
        <d v="2012-07-17T00:00:00"/>
        <d v="2012-07-18T00:00:00"/>
        <d v="2012-07-19T00:00:00"/>
        <d v="2012-07-20T00:00:00"/>
        <d v="2012-07-21T00:00:00"/>
        <d v="2012-07-22T00:00:00"/>
        <d v="2012-07-23T00:00:00"/>
        <d v="2012-07-24T00:00:00"/>
        <d v="2012-07-25T00:00:00"/>
        <d v="2012-07-26T00:00:00"/>
        <d v="2012-07-27T00:00:00"/>
        <d v="2012-07-28T00:00:00"/>
        <d v="2012-07-29T00:00:00"/>
        <d v="2012-07-30T00:00:00"/>
        <d v="2012-07-31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19T00:00:00"/>
        <d v="2012-08-20T00:00:00"/>
        <d v="2012-08-21T00:00:00"/>
        <d v="2012-08-22T00:00:00"/>
        <d v="2012-08-23T00:00:00"/>
        <d v="2012-08-24T00:00:00"/>
        <d v="2012-08-25T00:00:00"/>
        <d v="2012-08-26T00:00:00"/>
        <d v="2012-08-27T00:00:00"/>
        <d v="2012-08-28T00:00:00"/>
        <d v="2012-08-29T00:00:00"/>
        <d v="2012-08-30T00:00:00"/>
        <d v="2012-08-31T00:00:00"/>
        <d v="2012-09-01T00:00:00"/>
        <d v="2012-09-02T00:00:00"/>
        <d v="2012-09-03T00:00:00"/>
        <d v="2012-09-04T00:00:00"/>
        <d v="2012-09-05T00:00:00"/>
        <d v="2012-09-06T00:00:00"/>
        <d v="2012-09-07T00:00:00"/>
        <d v="2012-09-08T00:00:00"/>
        <d v="2012-09-09T00:00:00"/>
        <d v="2012-09-10T00:00:00"/>
        <d v="2012-09-11T00:00:00"/>
        <d v="2012-09-12T00:00:00"/>
        <d v="2012-09-13T00:00:00"/>
        <d v="2012-09-14T00:00:00"/>
        <d v="2012-09-15T00:00:00"/>
        <d v="2012-09-16T00:00:00"/>
        <d v="2012-09-17T00:00:00"/>
        <d v="2012-09-18T00:00:00"/>
        <d v="2012-09-19T00:00:00"/>
        <d v="2012-09-20T00:00:00"/>
        <d v="2012-09-21T00:00:00"/>
        <d v="2012-09-22T00:00:00"/>
        <d v="2012-09-23T00:00:00"/>
        <d v="2012-09-24T00:00:00"/>
        <d v="2012-09-25T00:00:00"/>
        <d v="2012-09-26T00:00:00"/>
        <d v="2012-09-27T00:00:00"/>
        <d v="2012-09-28T00:00:00"/>
        <d v="2012-09-29T00:00:00"/>
        <d v="2012-09-30T00:00:00"/>
        <d v="2012-10-01T00:00:00"/>
        <d v="2012-10-02T00:00:00"/>
        <d v="2012-10-03T00:00:00"/>
        <d v="2012-10-04T00:00:00"/>
        <d v="2012-10-05T00:00:00"/>
        <d v="2012-10-06T00:00:00"/>
        <d v="2012-10-07T00:00:00"/>
        <d v="2012-10-08T00:00:00"/>
        <d v="2012-10-09T00:00:00"/>
        <d v="2012-10-10T00:00:00"/>
        <d v="2012-10-11T00:00:00"/>
        <d v="2012-10-12T00:00:00"/>
        <d v="2012-10-13T00:00:00"/>
        <d v="2012-10-14T00:00:00"/>
        <d v="2012-10-15T00:00:00"/>
        <d v="2012-10-16T00:00:00"/>
        <d v="2012-10-17T00:00:00"/>
        <d v="2012-10-18T00:00:00"/>
        <d v="2012-10-19T00:00:00"/>
        <d v="2012-10-20T00:00:00"/>
        <d v="2012-10-21T00:00:00"/>
        <d v="2012-10-22T00:00:00"/>
        <d v="2012-10-23T00:00:00"/>
        <d v="2012-10-24T00:00:00"/>
        <d v="2012-10-25T00:00:00"/>
        <d v="2012-10-26T00:00:00"/>
        <d v="2012-10-27T00:00:00"/>
        <d v="2012-10-28T00:00:00"/>
        <d v="2012-10-29T00:00:00"/>
        <d v="2012-10-30T00:00:00"/>
        <d v="2012-10-31T00:00:00"/>
        <d v="2012-11-01T00:00:00"/>
        <d v="2012-11-02T00:00:00"/>
        <d v="2012-11-03T00:00:00"/>
        <d v="2012-11-04T00:00:00"/>
        <d v="2012-11-05T00:00:00"/>
        <d v="2012-11-06T00:00:00"/>
        <d v="2012-11-07T00:00:00"/>
        <d v="2012-11-08T00:00:00"/>
        <d v="2012-11-09T00:00:00"/>
        <d v="2012-11-10T00:00:00"/>
        <d v="2012-11-11T00:00:00"/>
        <d v="2012-11-12T00:00:00"/>
        <d v="2012-11-13T00:00:00"/>
        <d v="2012-11-14T00:00:00"/>
        <d v="2012-11-15T00:00:00"/>
        <d v="2012-11-16T00:00:00"/>
        <d v="2012-11-17T00:00:00"/>
        <d v="2012-11-18T00:00:00"/>
        <d v="2012-11-19T00:00:00"/>
        <d v="2012-11-20T00:00:00"/>
        <d v="2012-11-21T00:00:00"/>
        <d v="2012-11-22T00:00:00"/>
        <d v="2012-11-23T00:00:00"/>
        <d v="2012-11-24T00:00:00"/>
        <d v="2012-11-25T00:00:00"/>
        <d v="2012-11-26T00:00:00"/>
        <d v="2012-11-27T00:00:00"/>
        <d v="2012-11-28T00:00:00"/>
        <d v="2012-11-29T00:00:00"/>
        <d v="2012-11-30T00:00:00"/>
        <d v="2012-12-01T00:00:00"/>
        <d v="2012-12-02T00:00:00"/>
        <d v="2012-12-03T00:00:00"/>
        <d v="2012-12-04T00:00:00"/>
        <d v="2012-12-05T00:00:00"/>
        <d v="2012-12-06T00:00:00"/>
        <d v="2012-12-07T00:00:00"/>
        <d v="2012-12-08T00:00:00"/>
        <d v="2012-12-09T00:00:00"/>
        <d v="2012-12-10T00:00:00"/>
        <d v="2012-12-11T00:00:00"/>
        <d v="2012-12-12T00:00:00"/>
        <d v="2012-12-13T00:00:00"/>
        <d v="2012-12-14T00:00:00"/>
        <d v="2012-12-15T00:00:00"/>
        <d v="2012-12-16T00:00:00"/>
        <d v="2012-12-17T00:00:00"/>
        <d v="2012-12-18T00:00:00"/>
        <d v="2012-12-19T00:00:00"/>
        <d v="2012-12-20T00:00:00"/>
        <d v="2012-12-21T00:00:00"/>
        <d v="2012-12-22T00:00:00"/>
        <d v="2012-12-23T00:00:00"/>
        <d v="2012-12-24T00:00:00"/>
        <d v="2012-12-25T00:00:00"/>
        <d v="2012-12-26T00:00:00"/>
        <d v="2012-12-27T00:00:00"/>
        <d v="2012-12-28T00:00:00"/>
        <d v="2012-12-29T00:00:00"/>
        <d v="2012-12-30T00:00:00"/>
        <d v="2012-12-31T00:00:00"/>
      </sharedItems>
      <fieldGroup par="27"/>
    </cacheField>
    <cacheField name="season" numFmtId="0">
      <sharedItems containsSemiMixedTypes="0" containsString="0" containsNumber="1" containsInteger="1" minValue="1" maxValue="4"/>
    </cacheField>
    <cacheField name="yr" numFmtId="0">
      <sharedItems containsSemiMixedTypes="0" containsString="0" containsNumber="1" containsInteger="1" minValue="0" maxValue="1"/>
    </cacheField>
    <cacheField name="mnth" numFmtId="0">
      <sharedItems containsSemiMixedTypes="0" containsString="0" containsNumber="1" containsInteger="1" minValue="1" maxValue="12"/>
    </cacheField>
    <cacheField name="holiday" numFmtId="0">
      <sharedItems containsSemiMixedTypes="0" containsString="0" containsNumber="1" containsInteger="1" minValue="0" maxValue="1"/>
    </cacheField>
    <cacheField name="weekday" numFmtId="0">
      <sharedItems containsSemiMixedTypes="0" containsString="0" containsNumber="1" containsInteger="1" minValue="0" maxValue="6"/>
    </cacheField>
    <cacheField name="workingday" numFmtId="0">
      <sharedItems containsSemiMixedTypes="0" containsString="0" containsNumber="1" containsInteger="1" minValue="0" maxValue="1" count="2">
        <n v="0"/>
        <n v="1"/>
      </sharedItems>
    </cacheField>
    <cacheField name="weathersit" numFmtId="0">
      <sharedItems containsSemiMixedTypes="0" containsString="0" containsNumber="1" containsInteger="1" minValue="1" maxValue="3" count="3">
        <n v="2"/>
        <n v="1"/>
        <n v="3"/>
      </sharedItems>
    </cacheField>
    <cacheField name="temp" numFmtId="0">
      <sharedItems containsSemiMixedTypes="0" containsString="0" containsNumber="1" minValue="5.91304E-2" maxValue="0.86166699999999996"/>
    </cacheField>
    <cacheField name="atemp" numFmtId="0">
      <sharedItems containsSemiMixedTypes="0" containsString="0" containsNumber="1" minValue="7.9069600000000004E-2" maxValue="0.84089599999999998"/>
    </cacheField>
    <cacheField name="hum" numFmtId="0">
      <sharedItems containsSemiMixedTypes="0" containsString="0" containsNumber="1" minValue="0" maxValue="0.97250000000000003"/>
    </cacheField>
    <cacheField name="windspeed" numFmtId="0">
      <sharedItems containsSemiMixedTypes="0" containsString="0" containsNumber="1" minValue="2.23917E-2" maxValue="0.507463"/>
    </cacheField>
    <cacheField name="casual" numFmtId="0">
      <sharedItems containsSemiMixedTypes="0" containsString="0" containsNumber="1" containsInteger="1" minValue="2" maxValue="3410"/>
    </cacheField>
    <cacheField name="registered" numFmtId="0">
      <sharedItems containsSemiMixedTypes="0" containsString="0" containsNumber="1" containsInteger="1" minValue="20" maxValue="6946"/>
    </cacheField>
    <cacheField name="cnt" numFmtId="0">
      <sharedItems containsSemiMixedTypes="0" containsString="0" containsNumber="1" containsInteger="1" minValue="22" maxValue="8714"/>
    </cacheField>
    <cacheField name="temp_actual" numFmtId="0">
      <sharedItems containsSemiMixedTypes="0" containsString="0" containsNumber="1" minValue="-5.2208711999999995" maxValue="32.498348999999997"/>
    </cacheField>
    <cacheField name="atemp_actual" numFmtId="0">
      <sharedItems containsSemiMixedTypes="0" containsString="0" containsNumber="1" minValue="-10.7814064" maxValue="39.499136"/>
    </cacheField>
    <cacheField name="hum_actual" numFmtId="0">
      <sharedItems containsSemiMixedTypes="0" containsString="0" containsNumber="1" minValue="0" maxValue="97.25"/>
    </cacheField>
    <cacheField name="windspeed_actual" numFmtId="0">
      <sharedItems containsSemiMixedTypes="0" containsString="0" containsNumber="1" minValue="1.5002439000000001" maxValue="34.000020999999997"/>
    </cacheField>
    <cacheField name="season_label" numFmtId="0">
      <sharedItems count="4">
        <s v="Winter"/>
        <s v="Spring"/>
        <s v="Summer"/>
        <s v="Fall"/>
      </sharedItems>
    </cacheField>
    <cacheField name="yr_label" numFmtId="0">
      <sharedItems containsSemiMixedTypes="0" containsString="0" containsNumber="1" containsInteger="1" minValue="2011" maxValue="2012" count="2">
        <n v="2011"/>
        <n v="2012"/>
      </sharedItems>
    </cacheField>
    <cacheField name="weathersit_label" numFmtId="0">
      <sharedItems count="3">
        <s v="Misty/Cloudy"/>
        <s v="Clear"/>
        <s v="Light Snow/Rain"/>
      </sharedItems>
    </cacheField>
    <cacheField name="mnth_label" numFmtId="0">
      <sharedItems/>
    </cacheField>
    <cacheField name="weekday_label" numFmtId="0">
      <sharedItems/>
    </cacheField>
    <cacheField name="Months (dteday)" numFmtId="0" databaseField="0">
      <fieldGroup base="1">
        <rangePr groupBy="months" startDate="2011-01-01T00:00:00" endDate="2013-01-01T00:00:00"/>
        <groupItems count="14">
          <s v="&lt;1/1/2011"/>
          <s v="Jan"/>
          <s v="Feb"/>
          <s v="Mar"/>
          <s v="Apr"/>
          <s v="May"/>
          <s v="Jun"/>
          <s v="Jul"/>
          <s v="Aug"/>
          <s v="Sep"/>
          <s v="Oct"/>
          <s v="Nov"/>
          <s v="Dec"/>
          <s v="&gt;1/1/2013"/>
        </groupItems>
      </fieldGroup>
    </cacheField>
    <cacheField name="Quarters (dteday)" numFmtId="0" databaseField="0">
      <fieldGroup base="1">
        <rangePr groupBy="quarters" startDate="2011-01-01T00:00:00" endDate="2013-01-01T00:00:00"/>
        <groupItems count="6">
          <s v="&lt;1/1/2011"/>
          <s v="Qtr1"/>
          <s v="Qtr2"/>
          <s v="Qtr3"/>
          <s v="Qtr4"/>
          <s v="&gt;1/1/2013"/>
        </groupItems>
      </fieldGroup>
    </cacheField>
    <cacheField name="Years (dteday)" numFmtId="0" databaseField="0">
      <fieldGroup base="1">
        <rangePr groupBy="years" startDate="2011-01-01T00:00:00" endDate="2013-01-01T00:00:00"/>
        <groupItems count="5">
          <s v="&lt;1/1/2011"/>
          <s v="2011"/>
          <s v="2012"/>
          <s v="2013"/>
          <s v="&gt;1/1/2013"/>
        </groupItems>
      </fieldGroup>
    </cacheField>
  </cacheFields>
  <extLst>
    <ext xmlns:x14="http://schemas.microsoft.com/office/spreadsheetml/2009/9/main" uri="{725AE2AE-9491-48be-B2B4-4EB974FC3084}">
      <x14:pivotCacheDefinition pivotCacheId="10287291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1">
  <r>
    <n v="1"/>
    <x v="0"/>
    <n v="1"/>
    <n v="0"/>
    <n v="1"/>
    <n v="0"/>
    <n v="6"/>
    <x v="0"/>
    <x v="0"/>
    <n v="0.344167"/>
    <n v="0.36362499999999998"/>
    <n v="0.80583300000000002"/>
    <n v="0.16044600000000001"/>
    <n v="331"/>
    <n v="654"/>
    <n v="985"/>
    <n v="8.1758489999999995"/>
    <n v="7.99925"/>
    <n v="80.583300000000008"/>
    <n v="10.749881999999999"/>
    <x v="0"/>
    <x v="0"/>
    <x v="0"/>
    <s v="January"/>
    <s v="Saturday"/>
  </r>
  <r>
    <n v="2"/>
    <x v="1"/>
    <n v="1"/>
    <n v="0"/>
    <n v="1"/>
    <n v="0"/>
    <n v="0"/>
    <x v="0"/>
    <x v="0"/>
    <n v="0.36347800000000002"/>
    <n v="0.35373900000000003"/>
    <n v="0.69608700000000001"/>
    <n v="0.24853900000000001"/>
    <n v="131"/>
    <n v="670"/>
    <n v="801"/>
    <n v="9.0834660000000014"/>
    <n v="7.3467740000000035"/>
    <n v="69.608699999999999"/>
    <n v="16.652113"/>
    <x v="0"/>
    <x v="0"/>
    <x v="0"/>
    <s v="January"/>
    <s v="Sunday"/>
  </r>
  <r>
    <n v="3"/>
    <x v="2"/>
    <n v="1"/>
    <n v="0"/>
    <n v="1"/>
    <n v="0"/>
    <n v="1"/>
    <x v="1"/>
    <x v="1"/>
    <n v="0.19636400000000001"/>
    <n v="0.18940499999999999"/>
    <n v="0.43727300000000002"/>
    <n v="0.248309"/>
    <n v="120"/>
    <n v="1229"/>
    <n v="1349"/>
    <n v="1.2291080000000001"/>
    <n v="-3.499270000000001"/>
    <n v="43.7273"/>
    <n v="16.636703000000001"/>
    <x v="0"/>
    <x v="0"/>
    <x v="1"/>
    <s v="January"/>
    <s v="Monday"/>
  </r>
  <r>
    <n v="4"/>
    <x v="3"/>
    <n v="1"/>
    <n v="0"/>
    <n v="1"/>
    <n v="0"/>
    <n v="2"/>
    <x v="1"/>
    <x v="1"/>
    <n v="0.2"/>
    <n v="0.212122"/>
    <n v="0.59043500000000004"/>
    <n v="0.16029599999999999"/>
    <n v="108"/>
    <n v="1454"/>
    <n v="1562"/>
    <n v="1.4000000000000004"/>
    <n v="-1.9999479999999998"/>
    <n v="59.043500000000002"/>
    <n v="10.739832"/>
    <x v="0"/>
    <x v="0"/>
    <x v="1"/>
    <s v="January"/>
    <s v="Tuesday"/>
  </r>
  <r>
    <n v="5"/>
    <x v="4"/>
    <n v="1"/>
    <n v="0"/>
    <n v="1"/>
    <n v="0"/>
    <n v="3"/>
    <x v="1"/>
    <x v="1"/>
    <n v="0.22695699999999999"/>
    <n v="0.22927"/>
    <n v="0.43695699999999998"/>
    <n v="0.18690000000000001"/>
    <n v="82"/>
    <n v="1518"/>
    <n v="1600"/>
    <n v="2.6669789999999995"/>
    <n v="-0.86818000000000062"/>
    <n v="43.695699999999995"/>
    <n v="12.522300000000001"/>
    <x v="0"/>
    <x v="0"/>
    <x v="1"/>
    <s v="January"/>
    <s v="Wednesday"/>
  </r>
  <r>
    <n v="6"/>
    <x v="5"/>
    <n v="1"/>
    <n v="0"/>
    <n v="1"/>
    <n v="0"/>
    <n v="4"/>
    <x v="1"/>
    <x v="1"/>
    <n v="0.204348"/>
    <n v="0.233209"/>
    <n v="0.51826099999999997"/>
    <n v="8.9565199999999998E-2"/>
    <n v="88"/>
    <n v="1518"/>
    <n v="1606"/>
    <n v="1.6043559999999992"/>
    <n v="-0.60820599999999914"/>
    <n v="51.826099999999997"/>
    <n v="6.0008683999999999"/>
    <x v="0"/>
    <x v="0"/>
    <x v="1"/>
    <s v="January"/>
    <s v="Thursday"/>
  </r>
  <r>
    <n v="7"/>
    <x v="6"/>
    <n v="1"/>
    <n v="0"/>
    <n v="1"/>
    <n v="0"/>
    <n v="5"/>
    <x v="1"/>
    <x v="0"/>
    <n v="0.196522"/>
    <n v="0.208839"/>
    <n v="0.49869599999999997"/>
    <n v="0.16872599999999999"/>
    <n v="148"/>
    <n v="1362"/>
    <n v="1510"/>
    <n v="1.2365340000000007"/>
    <n v="-2.2166259999999998"/>
    <n v="49.869599999999998"/>
    <n v="11.304641999999999"/>
    <x v="0"/>
    <x v="0"/>
    <x v="0"/>
    <s v="January"/>
    <s v="Friday"/>
  </r>
  <r>
    <n v="8"/>
    <x v="7"/>
    <n v="1"/>
    <n v="0"/>
    <n v="1"/>
    <n v="0"/>
    <n v="6"/>
    <x v="0"/>
    <x v="0"/>
    <n v="0.16500000000000001"/>
    <n v="0.16225400000000001"/>
    <n v="0.535833"/>
    <n v="0.26680399999999999"/>
    <n v="68"/>
    <n v="891"/>
    <n v="959"/>
    <n v="-0.24499999999999922"/>
    <n v="-5.2912359999999996"/>
    <n v="53.583300000000001"/>
    <n v="17.875868000000001"/>
    <x v="0"/>
    <x v="0"/>
    <x v="0"/>
    <s v="January"/>
    <s v="Saturday"/>
  </r>
  <r>
    <n v="9"/>
    <x v="8"/>
    <n v="1"/>
    <n v="0"/>
    <n v="1"/>
    <n v="0"/>
    <n v="0"/>
    <x v="0"/>
    <x v="1"/>
    <n v="0.13833300000000001"/>
    <n v="0.116175"/>
    <n v="0.43416700000000003"/>
    <n v="0.36194999999999999"/>
    <n v="54"/>
    <n v="768"/>
    <n v="822"/>
    <n v="-1.4983489999999993"/>
    <n v="-8.3324499999999997"/>
    <n v="43.416700000000006"/>
    <n v="24.25065"/>
    <x v="0"/>
    <x v="0"/>
    <x v="1"/>
    <s v="January"/>
    <s v="Sunday"/>
  </r>
  <r>
    <n v="10"/>
    <x v="9"/>
    <n v="1"/>
    <n v="0"/>
    <n v="1"/>
    <n v="0"/>
    <n v="1"/>
    <x v="1"/>
    <x v="1"/>
    <n v="0.15083299999999999"/>
    <n v="0.15088799999999999"/>
    <n v="0.48291699999999999"/>
    <n v="0.22326699999999999"/>
    <n v="41"/>
    <n v="1280"/>
    <n v="1321"/>
    <n v="-0.91084900000000069"/>
    <n v="-6.0413920000000001"/>
    <n v="48.291699999999999"/>
    <n v="14.958888999999999"/>
    <x v="0"/>
    <x v="0"/>
    <x v="1"/>
    <s v="January"/>
    <s v="Monday"/>
  </r>
  <r>
    <n v="11"/>
    <x v="10"/>
    <n v="1"/>
    <n v="0"/>
    <n v="1"/>
    <n v="0"/>
    <n v="2"/>
    <x v="1"/>
    <x v="0"/>
    <n v="0.16909099999999999"/>
    <n v="0.191464"/>
    <n v="0.68636399999999997"/>
    <n v="0.122132"/>
    <n v="43"/>
    <n v="1220"/>
    <n v="1263"/>
    <n v="-5.2723000000000297E-2"/>
    <n v="-3.3633760000000006"/>
    <n v="68.636399999999995"/>
    <n v="8.1828440000000011"/>
    <x v="0"/>
    <x v="0"/>
    <x v="0"/>
    <s v="January"/>
    <s v="Tuesday"/>
  </r>
  <r>
    <n v="12"/>
    <x v="11"/>
    <n v="1"/>
    <n v="0"/>
    <n v="1"/>
    <n v="0"/>
    <n v="3"/>
    <x v="1"/>
    <x v="1"/>
    <n v="0.17272699999999999"/>
    <n v="0.160473"/>
    <n v="0.59954499999999999"/>
    <n v="0.30462699999999998"/>
    <n v="25"/>
    <n v="1137"/>
    <n v="1162"/>
    <n v="0.11816899999999997"/>
    <n v="-5.4087820000000004"/>
    <n v="59.954499999999996"/>
    <n v="20.410008999999999"/>
    <x v="0"/>
    <x v="0"/>
    <x v="1"/>
    <s v="January"/>
    <s v="Wednesday"/>
  </r>
  <r>
    <n v="13"/>
    <x v="12"/>
    <n v="1"/>
    <n v="0"/>
    <n v="1"/>
    <n v="0"/>
    <n v="4"/>
    <x v="1"/>
    <x v="1"/>
    <n v="0.16500000000000001"/>
    <n v="0.15088299999999999"/>
    <n v="0.47041699999999997"/>
    <n v="0.30099999999999999"/>
    <n v="38"/>
    <n v="1368"/>
    <n v="1406"/>
    <n v="-0.24499999999999922"/>
    <n v="-6.041722"/>
    <n v="47.041699999999999"/>
    <n v="20.166999999999998"/>
    <x v="0"/>
    <x v="0"/>
    <x v="1"/>
    <s v="January"/>
    <s v="Thursday"/>
  </r>
  <r>
    <n v="14"/>
    <x v="13"/>
    <n v="1"/>
    <n v="0"/>
    <n v="1"/>
    <n v="0"/>
    <n v="5"/>
    <x v="1"/>
    <x v="1"/>
    <n v="0.16087000000000001"/>
    <n v="0.188413"/>
    <n v="0.53782600000000003"/>
    <n v="0.12654799999999999"/>
    <n v="54"/>
    <n v="1367"/>
    <n v="1421"/>
    <n v="-0.43910999999999945"/>
    <n v="-3.5647420000000007"/>
    <n v="53.782600000000002"/>
    <n v="8.4787160000000004"/>
    <x v="0"/>
    <x v="0"/>
    <x v="1"/>
    <s v="January"/>
    <s v="Friday"/>
  </r>
  <r>
    <n v="15"/>
    <x v="14"/>
    <n v="1"/>
    <n v="0"/>
    <n v="1"/>
    <n v="0"/>
    <n v="6"/>
    <x v="0"/>
    <x v="0"/>
    <n v="0.23333300000000001"/>
    <n v="0.248112"/>
    <n v="0.49875000000000003"/>
    <n v="0.15796299999999999"/>
    <n v="222"/>
    <n v="1026"/>
    <n v="1248"/>
    <n v="2.9666510000000006"/>
    <n v="0.3753920000000015"/>
    <n v="49.875"/>
    <n v="10.583520999999999"/>
    <x v="0"/>
    <x v="0"/>
    <x v="0"/>
    <s v="January"/>
    <s v="Saturday"/>
  </r>
  <r>
    <n v="16"/>
    <x v="15"/>
    <n v="1"/>
    <n v="0"/>
    <n v="1"/>
    <n v="0"/>
    <n v="0"/>
    <x v="0"/>
    <x v="1"/>
    <n v="0.23166700000000001"/>
    <n v="0.23421700000000001"/>
    <n v="0.48375000000000001"/>
    <n v="0.18843299999999999"/>
    <n v="251"/>
    <n v="953"/>
    <n v="1204"/>
    <n v="2.8883489999999998"/>
    <n v="-0.54167799999999922"/>
    <n v="48.375"/>
    <n v="12.625010999999999"/>
    <x v="0"/>
    <x v="0"/>
    <x v="1"/>
    <s v="January"/>
    <s v="Sunday"/>
  </r>
  <r>
    <n v="17"/>
    <x v="16"/>
    <n v="1"/>
    <n v="0"/>
    <n v="1"/>
    <n v="1"/>
    <n v="1"/>
    <x v="0"/>
    <x v="0"/>
    <n v="0.17583299999999999"/>
    <n v="0.17677100000000001"/>
    <n v="0.53749999999999998"/>
    <n v="0.194017"/>
    <n v="117"/>
    <n v="883"/>
    <n v="1000"/>
    <n v="0.26415100000000002"/>
    <n v="-4.3331139999999984"/>
    <n v="53.75"/>
    <n v="12.999139"/>
    <x v="0"/>
    <x v="0"/>
    <x v="0"/>
    <s v="January"/>
    <s v="Monday"/>
  </r>
  <r>
    <n v="18"/>
    <x v="17"/>
    <n v="1"/>
    <n v="0"/>
    <n v="1"/>
    <n v="0"/>
    <n v="2"/>
    <x v="1"/>
    <x v="0"/>
    <n v="0.216667"/>
    <n v="0.23233300000000001"/>
    <n v="0.86166699999999996"/>
    <n v="0.14677499999999999"/>
    <n v="9"/>
    <n v="674"/>
    <n v="683"/>
    <n v="2.1833489999999998"/>
    <n v="-0.66602199999999989"/>
    <n v="86.166699999999992"/>
    <n v="9.8339249999999989"/>
    <x v="0"/>
    <x v="0"/>
    <x v="0"/>
    <s v="January"/>
    <s v="Tuesday"/>
  </r>
  <r>
    <n v="19"/>
    <x v="18"/>
    <n v="1"/>
    <n v="0"/>
    <n v="1"/>
    <n v="0"/>
    <n v="3"/>
    <x v="1"/>
    <x v="0"/>
    <n v="0.29217399999999999"/>
    <n v="0.29842200000000002"/>
    <n v="0.74173900000000004"/>
    <n v="0.208317"/>
    <n v="78"/>
    <n v="1572"/>
    <n v="1650"/>
    <n v="5.7321779999999993"/>
    <n v="3.6958520000000021"/>
    <n v="74.173900000000003"/>
    <n v="13.957239"/>
    <x v="0"/>
    <x v="0"/>
    <x v="0"/>
    <s v="January"/>
    <s v="Wednesday"/>
  </r>
  <r>
    <n v="20"/>
    <x v="19"/>
    <n v="1"/>
    <n v="0"/>
    <n v="1"/>
    <n v="0"/>
    <n v="4"/>
    <x v="1"/>
    <x v="0"/>
    <n v="0.26166699999999998"/>
    <n v="0.25505"/>
    <n v="0.53833299999999995"/>
    <n v="0.19590399999999999"/>
    <n v="83"/>
    <n v="1844"/>
    <n v="1927"/>
    <n v="4.298349"/>
    <n v="0.83330000000000126"/>
    <n v="53.833299999999994"/>
    <n v="13.125567999999999"/>
    <x v="0"/>
    <x v="0"/>
    <x v="0"/>
    <s v="January"/>
    <s v="Thursday"/>
  </r>
  <r>
    <n v="21"/>
    <x v="20"/>
    <n v="1"/>
    <n v="0"/>
    <n v="1"/>
    <n v="0"/>
    <n v="5"/>
    <x v="1"/>
    <x v="1"/>
    <n v="0.17749999999999999"/>
    <n v="0.157833"/>
    <n v="0.45708300000000002"/>
    <n v="0.353242"/>
    <n v="75"/>
    <n v="1468"/>
    <n v="1543"/>
    <n v="0.34249999999999936"/>
    <n v="-5.5830219999999997"/>
    <n v="45.708300000000001"/>
    <n v="23.667214000000001"/>
    <x v="0"/>
    <x v="0"/>
    <x v="1"/>
    <s v="January"/>
    <s v="Friday"/>
  </r>
  <r>
    <n v="22"/>
    <x v="21"/>
    <n v="1"/>
    <n v="0"/>
    <n v="1"/>
    <n v="0"/>
    <n v="6"/>
    <x v="0"/>
    <x v="1"/>
    <n v="5.91304E-2"/>
    <n v="7.9069600000000004E-2"/>
    <n v="0.4"/>
    <n v="0.17197000000000001"/>
    <n v="93"/>
    <n v="888"/>
    <n v="981"/>
    <n v="-5.2208711999999995"/>
    <n v="-10.7814064"/>
    <n v="40"/>
    <n v="11.521990000000001"/>
    <x v="0"/>
    <x v="0"/>
    <x v="1"/>
    <s v="January"/>
    <s v="Saturday"/>
  </r>
  <r>
    <n v="23"/>
    <x v="22"/>
    <n v="1"/>
    <n v="0"/>
    <n v="1"/>
    <n v="0"/>
    <n v="0"/>
    <x v="0"/>
    <x v="1"/>
    <n v="9.6521700000000002E-2"/>
    <n v="9.8839099999999999E-2"/>
    <n v="0.43652200000000002"/>
    <n v="0.24660000000000001"/>
    <n v="150"/>
    <n v="836"/>
    <n v="986"/>
    <n v="-3.4634801"/>
    <n v="-9.4766194000000006"/>
    <n v="43.652200000000001"/>
    <n v="16.522200000000002"/>
    <x v="0"/>
    <x v="0"/>
    <x v="1"/>
    <s v="January"/>
    <s v="Sunday"/>
  </r>
  <r>
    <n v="24"/>
    <x v="23"/>
    <n v="1"/>
    <n v="0"/>
    <n v="1"/>
    <n v="0"/>
    <n v="1"/>
    <x v="1"/>
    <x v="1"/>
    <n v="9.73913E-2"/>
    <n v="0.11792999999999999"/>
    <n v="0.49173899999999998"/>
    <n v="0.15833"/>
    <n v="86"/>
    <n v="1330"/>
    <n v="1416"/>
    <n v="-3.4226089000000002"/>
    <n v="-8.2166200000000007"/>
    <n v="49.173899999999996"/>
    <n v="10.60811"/>
    <x v="0"/>
    <x v="0"/>
    <x v="1"/>
    <s v="January"/>
    <s v="Monday"/>
  </r>
  <r>
    <n v="25"/>
    <x v="24"/>
    <n v="1"/>
    <n v="0"/>
    <n v="1"/>
    <n v="0"/>
    <n v="2"/>
    <x v="1"/>
    <x v="0"/>
    <n v="0.22347800000000001"/>
    <n v="0.23452600000000001"/>
    <n v="0.61695699999999998"/>
    <n v="0.12979599999999999"/>
    <n v="186"/>
    <n v="1799"/>
    <n v="1985"/>
    <n v="2.5034660000000013"/>
    <n v="-0.52128399999999964"/>
    <n v="61.695699999999995"/>
    <n v="8.696332"/>
    <x v="0"/>
    <x v="0"/>
    <x v="0"/>
    <s v="January"/>
    <s v="Tuesday"/>
  </r>
  <r>
    <n v="26"/>
    <x v="25"/>
    <n v="1"/>
    <n v="0"/>
    <n v="1"/>
    <n v="0"/>
    <n v="3"/>
    <x v="1"/>
    <x v="2"/>
    <n v="0.2175"/>
    <n v="0.2036"/>
    <n v="0.86250000000000004"/>
    <n v="0.29385"/>
    <n v="34"/>
    <n v="472"/>
    <n v="506"/>
    <n v="2.2225000000000001"/>
    <n v="-2.5624000000000002"/>
    <n v="86.25"/>
    <n v="19.687950000000001"/>
    <x v="0"/>
    <x v="0"/>
    <x v="2"/>
    <s v="January"/>
    <s v="Wednesday"/>
  </r>
  <r>
    <n v="27"/>
    <x v="26"/>
    <n v="1"/>
    <n v="0"/>
    <n v="1"/>
    <n v="0"/>
    <n v="4"/>
    <x v="1"/>
    <x v="1"/>
    <n v="0.19500000000000001"/>
    <n v="0.21970000000000001"/>
    <n v="0.6875"/>
    <n v="0.11383699999999999"/>
    <n v="15"/>
    <n v="416"/>
    <n v="431"/>
    <n v="1.1650000000000009"/>
    <n v="-1.4998000000000005"/>
    <n v="68.75"/>
    <n v="7.6270789999999993"/>
    <x v="0"/>
    <x v="0"/>
    <x v="1"/>
    <s v="January"/>
    <s v="Thursday"/>
  </r>
  <r>
    <n v="28"/>
    <x v="27"/>
    <n v="1"/>
    <n v="0"/>
    <n v="1"/>
    <n v="0"/>
    <n v="5"/>
    <x v="1"/>
    <x v="0"/>
    <n v="0.20347799999999999"/>
    <n v="0.22331699999999999"/>
    <n v="0.79304300000000005"/>
    <n v="0.12330000000000001"/>
    <n v="38"/>
    <n v="1129"/>
    <n v="1167"/>
    <n v="1.563466"/>
    <n v="-1.2610780000000013"/>
    <n v="79.304300000000012"/>
    <n v="8.2611000000000008"/>
    <x v="0"/>
    <x v="0"/>
    <x v="0"/>
    <s v="January"/>
    <s v="Friday"/>
  </r>
  <r>
    <n v="29"/>
    <x v="28"/>
    <n v="1"/>
    <n v="0"/>
    <n v="1"/>
    <n v="0"/>
    <n v="6"/>
    <x v="0"/>
    <x v="1"/>
    <n v="0.196522"/>
    <n v="0.21212600000000001"/>
    <n v="0.65173899999999996"/>
    <n v="0.14536499999999999"/>
    <n v="123"/>
    <n v="975"/>
    <n v="1098"/>
    <n v="1.2365340000000007"/>
    <n v="-1.9996840000000002"/>
    <n v="65.173899999999989"/>
    <n v="9.7394549999999995"/>
    <x v="0"/>
    <x v="0"/>
    <x v="1"/>
    <s v="January"/>
    <s v="Saturday"/>
  </r>
  <r>
    <n v="30"/>
    <x v="29"/>
    <n v="1"/>
    <n v="0"/>
    <n v="1"/>
    <n v="0"/>
    <n v="0"/>
    <x v="0"/>
    <x v="1"/>
    <n v="0.21652199999999999"/>
    <n v="0.25032199999999999"/>
    <n v="0.72217399999999998"/>
    <n v="7.3982599999999996E-2"/>
    <n v="140"/>
    <n v="956"/>
    <n v="1096"/>
    <n v="2.1765340000000002"/>
    <n v="0.52125200000000049"/>
    <n v="72.217399999999998"/>
    <n v="4.9568341999999994"/>
    <x v="0"/>
    <x v="0"/>
    <x v="1"/>
    <s v="January"/>
    <s v="Sunday"/>
  </r>
  <r>
    <n v="31"/>
    <x v="30"/>
    <n v="1"/>
    <n v="0"/>
    <n v="1"/>
    <n v="0"/>
    <n v="1"/>
    <x v="1"/>
    <x v="0"/>
    <n v="0.18083299999999999"/>
    <n v="0.18625"/>
    <n v="0.60375000000000001"/>
    <n v="0.187192"/>
    <n v="42"/>
    <n v="1459"/>
    <n v="1501"/>
    <n v="0.49915099999999946"/>
    <n v="-3.7074999999999996"/>
    <n v="60.375"/>
    <n v="12.541864"/>
    <x v="0"/>
    <x v="0"/>
    <x v="0"/>
    <s v="January"/>
    <s v="Monday"/>
  </r>
  <r>
    <n v="32"/>
    <x v="31"/>
    <n v="1"/>
    <n v="0"/>
    <n v="2"/>
    <n v="0"/>
    <n v="2"/>
    <x v="1"/>
    <x v="0"/>
    <n v="0.19217400000000001"/>
    <n v="0.23452999999999999"/>
    <n v="0.829565"/>
    <n v="5.3213000000000003E-2"/>
    <n v="47"/>
    <n v="1313"/>
    <n v="1360"/>
    <n v="1.032178"/>
    <n v="-0.52102000000000004"/>
    <n v="82.956500000000005"/>
    <n v="3.5652710000000001"/>
    <x v="0"/>
    <x v="0"/>
    <x v="0"/>
    <s v="February"/>
    <s v="Tuesday"/>
  </r>
  <r>
    <n v="33"/>
    <x v="32"/>
    <n v="1"/>
    <n v="0"/>
    <n v="2"/>
    <n v="0"/>
    <n v="3"/>
    <x v="1"/>
    <x v="0"/>
    <n v="0.26"/>
    <n v="0.254417"/>
    <n v="0.77541700000000002"/>
    <n v="0.26430799999999999"/>
    <n v="72"/>
    <n v="1454"/>
    <n v="1526"/>
    <n v="4.2200000000000006"/>
    <n v="0.7915220000000005"/>
    <n v="77.541700000000006"/>
    <n v="17.708635999999998"/>
    <x v="0"/>
    <x v="0"/>
    <x v="0"/>
    <s v="February"/>
    <s v="Wednesday"/>
  </r>
  <r>
    <n v="34"/>
    <x v="33"/>
    <n v="1"/>
    <n v="0"/>
    <n v="2"/>
    <n v="0"/>
    <n v="4"/>
    <x v="1"/>
    <x v="1"/>
    <n v="0.18695700000000001"/>
    <n v="0.17787800000000001"/>
    <n v="0.43782599999999999"/>
    <n v="0.277752"/>
    <n v="61"/>
    <n v="1489"/>
    <n v="1550"/>
    <n v="0.78697900000000054"/>
    <n v="-4.2600519999999999"/>
    <n v="43.782600000000002"/>
    <n v="18.609383999999999"/>
    <x v="0"/>
    <x v="0"/>
    <x v="1"/>
    <s v="February"/>
    <s v="Thursday"/>
  </r>
  <r>
    <n v="35"/>
    <x v="34"/>
    <n v="1"/>
    <n v="0"/>
    <n v="2"/>
    <n v="0"/>
    <n v="5"/>
    <x v="1"/>
    <x v="0"/>
    <n v="0.21130399999999999"/>
    <n v="0.22858700000000001"/>
    <n v="0.58521699999999999"/>
    <n v="0.12783900000000001"/>
    <n v="88"/>
    <n v="1620"/>
    <n v="1708"/>
    <n v="1.9312880000000003"/>
    <n v="-0.91325799999999902"/>
    <n v="58.521699999999996"/>
    <n v="8.565213"/>
    <x v="0"/>
    <x v="0"/>
    <x v="0"/>
    <s v="February"/>
    <s v="Friday"/>
  </r>
  <r>
    <n v="36"/>
    <x v="35"/>
    <n v="1"/>
    <n v="0"/>
    <n v="2"/>
    <n v="0"/>
    <n v="6"/>
    <x v="0"/>
    <x v="0"/>
    <n v="0.23333300000000001"/>
    <n v="0.243058"/>
    <n v="0.92916699999999997"/>
    <n v="0.161079"/>
    <n v="100"/>
    <n v="905"/>
    <n v="1005"/>
    <n v="2.9666510000000006"/>
    <n v="4.1827999999998866E-2"/>
    <n v="92.916699999999992"/>
    <n v="10.792293000000001"/>
    <x v="0"/>
    <x v="0"/>
    <x v="0"/>
    <s v="February"/>
    <s v="Saturday"/>
  </r>
  <r>
    <n v="37"/>
    <x v="36"/>
    <n v="1"/>
    <n v="0"/>
    <n v="2"/>
    <n v="0"/>
    <n v="0"/>
    <x v="0"/>
    <x v="1"/>
    <n v="0.285833"/>
    <n v="0.29167100000000001"/>
    <n v="0.56833299999999998"/>
    <n v="0.14180000000000001"/>
    <n v="354"/>
    <n v="1269"/>
    <n v="1623"/>
    <n v="5.434151"/>
    <n v="3.2502860000000027"/>
    <n v="56.833299999999994"/>
    <n v="9.5006000000000004"/>
    <x v="0"/>
    <x v="0"/>
    <x v="1"/>
    <s v="February"/>
    <s v="Sunday"/>
  </r>
  <r>
    <n v="38"/>
    <x v="37"/>
    <n v="1"/>
    <n v="0"/>
    <n v="2"/>
    <n v="0"/>
    <n v="1"/>
    <x v="1"/>
    <x v="1"/>
    <n v="0.27166699999999999"/>
    <n v="0.30365799999999998"/>
    <n v="0.73833300000000002"/>
    <n v="4.5408299999999999E-2"/>
    <n v="120"/>
    <n v="1592"/>
    <n v="1712"/>
    <n v="4.7683489999999988"/>
    <n v="4.0414279999999998"/>
    <n v="73.833300000000008"/>
    <n v="3.0423561000000001"/>
    <x v="0"/>
    <x v="0"/>
    <x v="1"/>
    <s v="February"/>
    <s v="Monday"/>
  </r>
  <r>
    <n v="39"/>
    <x v="38"/>
    <n v="1"/>
    <n v="0"/>
    <n v="2"/>
    <n v="0"/>
    <n v="2"/>
    <x v="1"/>
    <x v="1"/>
    <n v="0.220833"/>
    <n v="0.19824600000000001"/>
    <n v="0.53791699999999998"/>
    <n v="0.36194999999999999"/>
    <n v="64"/>
    <n v="1466"/>
    <n v="1530"/>
    <n v="2.3791510000000002"/>
    <n v="-2.9157639999999994"/>
    <n v="53.791699999999999"/>
    <n v="24.25065"/>
    <x v="0"/>
    <x v="0"/>
    <x v="1"/>
    <s v="February"/>
    <s v="Tuesday"/>
  </r>
  <r>
    <n v="40"/>
    <x v="39"/>
    <n v="1"/>
    <n v="0"/>
    <n v="2"/>
    <n v="0"/>
    <n v="3"/>
    <x v="1"/>
    <x v="0"/>
    <n v="0.13478299999999999"/>
    <n v="0.14428299999999999"/>
    <n v="0.49478299999999997"/>
    <n v="0.18883900000000001"/>
    <n v="53"/>
    <n v="1552"/>
    <n v="1605"/>
    <n v="-1.6651990000000003"/>
    <n v="-6.4773220000000009"/>
    <n v="49.478299999999997"/>
    <n v="12.652213"/>
    <x v="0"/>
    <x v="0"/>
    <x v="0"/>
    <s v="February"/>
    <s v="Wednesday"/>
  </r>
  <r>
    <n v="41"/>
    <x v="40"/>
    <n v="1"/>
    <n v="0"/>
    <n v="2"/>
    <n v="0"/>
    <n v="4"/>
    <x v="1"/>
    <x v="1"/>
    <n v="0.144348"/>
    <n v="0.14954799999999999"/>
    <n v="0.43739099999999997"/>
    <n v="0.22193499999999999"/>
    <n v="47"/>
    <n v="1491"/>
    <n v="1538"/>
    <n v="-1.2156440000000002"/>
    <n v="-6.1298320000000004"/>
    <n v="43.739100000000001"/>
    <n v="14.869645"/>
    <x v="0"/>
    <x v="0"/>
    <x v="1"/>
    <s v="February"/>
    <s v="Thursday"/>
  </r>
  <r>
    <n v="42"/>
    <x v="41"/>
    <n v="1"/>
    <n v="0"/>
    <n v="2"/>
    <n v="0"/>
    <n v="5"/>
    <x v="1"/>
    <x v="1"/>
    <n v="0.18909100000000001"/>
    <n v="0.213509"/>
    <n v="0.50636400000000004"/>
    <n v="0.10854999999999999"/>
    <n v="149"/>
    <n v="1597"/>
    <n v="1746"/>
    <n v="0.88727700000000098"/>
    <n v="-1.9084059999999994"/>
    <n v="50.636400000000002"/>
    <n v="7.2728499999999991"/>
    <x v="0"/>
    <x v="0"/>
    <x v="1"/>
    <s v="February"/>
    <s v="Friday"/>
  </r>
  <r>
    <n v="43"/>
    <x v="42"/>
    <n v="1"/>
    <n v="0"/>
    <n v="2"/>
    <n v="0"/>
    <n v="6"/>
    <x v="0"/>
    <x v="1"/>
    <n v="0.2225"/>
    <n v="0.23295399999999999"/>
    <n v="0.54416699999999996"/>
    <n v="0.20336699999999999"/>
    <n v="288"/>
    <n v="1184"/>
    <n v="1472"/>
    <n v="2.4574999999999996"/>
    <n v="-0.6250359999999997"/>
    <n v="54.416699999999999"/>
    <n v="13.625589"/>
    <x v="0"/>
    <x v="0"/>
    <x v="1"/>
    <s v="February"/>
    <s v="Saturday"/>
  </r>
  <r>
    <n v="44"/>
    <x v="43"/>
    <n v="1"/>
    <n v="0"/>
    <n v="2"/>
    <n v="0"/>
    <n v="0"/>
    <x v="0"/>
    <x v="1"/>
    <n v="0.31652200000000003"/>
    <n v="0.32411299999999998"/>
    <n v="0.45739099999999999"/>
    <n v="0.26088299999999998"/>
    <n v="397"/>
    <n v="1192"/>
    <n v="1589"/>
    <n v="6.8765340000000013"/>
    <n v="5.3914580000000001"/>
    <n v="45.739100000000001"/>
    <n v="17.479160999999998"/>
    <x v="0"/>
    <x v="0"/>
    <x v="1"/>
    <s v="February"/>
    <s v="Sunday"/>
  </r>
  <r>
    <n v="45"/>
    <x v="44"/>
    <n v="1"/>
    <n v="0"/>
    <n v="2"/>
    <n v="0"/>
    <n v="1"/>
    <x v="1"/>
    <x v="1"/>
    <n v="0.41499999999999998"/>
    <n v="0.39834999999999998"/>
    <n v="0.37583299999999997"/>
    <n v="0.417908"/>
    <n v="208"/>
    <n v="1705"/>
    <n v="1913"/>
    <n v="11.504999999999999"/>
    <n v="10.2911"/>
    <n v="37.583299999999994"/>
    <n v="27.999835999999998"/>
    <x v="0"/>
    <x v="0"/>
    <x v="1"/>
    <s v="February"/>
    <s v="Monday"/>
  </r>
  <r>
    <n v="46"/>
    <x v="45"/>
    <n v="1"/>
    <n v="0"/>
    <n v="2"/>
    <n v="0"/>
    <n v="2"/>
    <x v="1"/>
    <x v="1"/>
    <n v="0.26608700000000002"/>
    <n v="0.254274"/>
    <n v="0.31434800000000002"/>
    <n v="0.29137400000000002"/>
    <n v="140"/>
    <n v="1675"/>
    <n v="1815"/>
    <n v="4.5060890000000011"/>
    <n v="0.78208400000000111"/>
    <n v="31.434800000000003"/>
    <n v="19.522058000000001"/>
    <x v="0"/>
    <x v="0"/>
    <x v="1"/>
    <s v="February"/>
    <s v="Tuesday"/>
  </r>
  <r>
    <n v="47"/>
    <x v="46"/>
    <n v="1"/>
    <n v="0"/>
    <n v="2"/>
    <n v="0"/>
    <n v="3"/>
    <x v="1"/>
    <x v="1"/>
    <n v="0.31826100000000002"/>
    <n v="0.31619999999999998"/>
    <n v="0.42347800000000002"/>
    <n v="0.25179099999999999"/>
    <n v="218"/>
    <n v="1897"/>
    <n v="2115"/>
    <n v="6.9582670000000011"/>
    <n v="4.8691999999999993"/>
    <n v="42.347799999999999"/>
    <n v="16.869996999999998"/>
    <x v="0"/>
    <x v="0"/>
    <x v="1"/>
    <s v="February"/>
    <s v="Wednesday"/>
  </r>
  <r>
    <n v="48"/>
    <x v="47"/>
    <n v="1"/>
    <n v="0"/>
    <n v="2"/>
    <n v="0"/>
    <n v="4"/>
    <x v="1"/>
    <x v="1"/>
    <n v="0.43583300000000003"/>
    <n v="0.42865799999999998"/>
    <n v="0.505"/>
    <n v="0.230104"/>
    <n v="259"/>
    <n v="2216"/>
    <n v="2475"/>
    <n v="12.484151000000001"/>
    <n v="12.291428"/>
    <n v="50.5"/>
    <n v="15.416968000000001"/>
    <x v="0"/>
    <x v="0"/>
    <x v="1"/>
    <s v="February"/>
    <s v="Thursday"/>
  </r>
  <r>
    <n v="49"/>
    <x v="48"/>
    <n v="1"/>
    <n v="0"/>
    <n v="2"/>
    <n v="0"/>
    <n v="5"/>
    <x v="1"/>
    <x v="1"/>
    <n v="0.52166699999999999"/>
    <n v="0.51198299999999997"/>
    <n v="0.51666699999999999"/>
    <n v="0.26492500000000002"/>
    <n v="579"/>
    <n v="2348"/>
    <n v="2927"/>
    <n v="16.518349000000001"/>
    <n v="17.790877999999999"/>
    <n v="51.666699999999999"/>
    <n v="17.749975000000003"/>
    <x v="0"/>
    <x v="0"/>
    <x v="1"/>
    <s v="February"/>
    <s v="Friday"/>
  </r>
  <r>
    <n v="50"/>
    <x v="49"/>
    <n v="1"/>
    <n v="0"/>
    <n v="2"/>
    <n v="0"/>
    <n v="6"/>
    <x v="0"/>
    <x v="1"/>
    <n v="0.39916699999999999"/>
    <n v="0.39140399999999997"/>
    <n v="0.187917"/>
    <n v="0.507463"/>
    <n v="532"/>
    <n v="1103"/>
    <n v="1635"/>
    <n v="10.760849"/>
    <n v="9.8326639999999976"/>
    <n v="18.791699999999999"/>
    <n v="34.000020999999997"/>
    <x v="0"/>
    <x v="0"/>
    <x v="1"/>
    <s v="February"/>
    <s v="Saturday"/>
  </r>
  <r>
    <n v="51"/>
    <x v="50"/>
    <n v="1"/>
    <n v="0"/>
    <n v="2"/>
    <n v="0"/>
    <n v="0"/>
    <x v="0"/>
    <x v="1"/>
    <n v="0.285217"/>
    <n v="0.27733000000000002"/>
    <n v="0.40782600000000002"/>
    <n v="0.22323499999999999"/>
    <n v="639"/>
    <n v="1173"/>
    <n v="1812"/>
    <n v="5.4051989999999996"/>
    <n v="2.3037799999999997"/>
    <n v="40.782600000000002"/>
    <n v="14.956745"/>
    <x v="0"/>
    <x v="0"/>
    <x v="1"/>
    <s v="February"/>
    <s v="Sunday"/>
  </r>
  <r>
    <n v="52"/>
    <x v="51"/>
    <n v="1"/>
    <n v="0"/>
    <n v="2"/>
    <n v="1"/>
    <n v="1"/>
    <x v="0"/>
    <x v="0"/>
    <n v="0.30333300000000002"/>
    <n v="0.28407500000000002"/>
    <n v="0.60499999999999998"/>
    <n v="0.30784600000000001"/>
    <n v="195"/>
    <n v="912"/>
    <n v="1107"/>
    <n v="6.2566510000000015"/>
    <n v="2.7489500000000007"/>
    <n v="60.5"/>
    <n v="20.625682000000001"/>
    <x v="0"/>
    <x v="0"/>
    <x v="0"/>
    <s v="February"/>
    <s v="Monday"/>
  </r>
  <r>
    <n v="53"/>
    <x v="52"/>
    <n v="1"/>
    <n v="0"/>
    <n v="2"/>
    <n v="0"/>
    <n v="2"/>
    <x v="1"/>
    <x v="1"/>
    <n v="0.182222"/>
    <n v="0.186033"/>
    <n v="0.57777800000000001"/>
    <n v="0.195683"/>
    <n v="74"/>
    <n v="1376"/>
    <n v="1450"/>
    <n v="0.56443400000000032"/>
    <n v="-3.7218219999999995"/>
    <n v="57.777799999999999"/>
    <n v="13.110761"/>
    <x v="0"/>
    <x v="0"/>
    <x v="1"/>
    <s v="February"/>
    <s v="Tuesday"/>
  </r>
  <r>
    <n v="54"/>
    <x v="53"/>
    <n v="1"/>
    <n v="0"/>
    <n v="2"/>
    <n v="0"/>
    <n v="3"/>
    <x v="1"/>
    <x v="1"/>
    <n v="0.22173899999999999"/>
    <n v="0.24571699999999999"/>
    <n v="0.423043"/>
    <n v="9.4113000000000002E-2"/>
    <n v="139"/>
    <n v="1778"/>
    <n v="1917"/>
    <n v="2.4217329999999997"/>
    <n v="0.21732199999999935"/>
    <n v="42.304299999999998"/>
    <n v="6.3055710000000005"/>
    <x v="0"/>
    <x v="0"/>
    <x v="1"/>
    <s v="February"/>
    <s v="Wednesday"/>
  </r>
  <r>
    <n v="55"/>
    <x v="54"/>
    <n v="1"/>
    <n v="0"/>
    <n v="2"/>
    <n v="0"/>
    <n v="4"/>
    <x v="1"/>
    <x v="0"/>
    <n v="0.29565200000000003"/>
    <n v="0.28919099999999998"/>
    <n v="0.69739099999999998"/>
    <n v="0.250496"/>
    <n v="100"/>
    <n v="1707"/>
    <n v="1807"/>
    <n v="5.8956440000000008"/>
    <n v="3.0866059999999997"/>
    <n v="69.739099999999993"/>
    <n v="16.783231999999998"/>
    <x v="0"/>
    <x v="0"/>
    <x v="0"/>
    <s v="February"/>
    <s v="Thursday"/>
  </r>
  <r>
    <n v="56"/>
    <x v="55"/>
    <n v="1"/>
    <n v="0"/>
    <n v="2"/>
    <n v="0"/>
    <n v="5"/>
    <x v="1"/>
    <x v="0"/>
    <n v="0.36434800000000001"/>
    <n v="0.35046100000000002"/>
    <n v="0.71217399999999997"/>
    <n v="0.34653899999999999"/>
    <n v="120"/>
    <n v="1341"/>
    <n v="1461"/>
    <n v="9.1243559999999988"/>
    <n v="7.1304259999999999"/>
    <n v="71.217399999999998"/>
    <n v="23.218112999999999"/>
    <x v="0"/>
    <x v="0"/>
    <x v="0"/>
    <s v="February"/>
    <s v="Friday"/>
  </r>
  <r>
    <n v="57"/>
    <x v="56"/>
    <n v="1"/>
    <n v="0"/>
    <n v="2"/>
    <n v="0"/>
    <n v="6"/>
    <x v="0"/>
    <x v="1"/>
    <n v="0.28249999999999997"/>
    <n v="0.282192"/>
    <n v="0.53791699999999998"/>
    <n v="0.18657099999999999"/>
    <n v="424"/>
    <n v="1545"/>
    <n v="1969"/>
    <n v="5.2774999999999981"/>
    <n v="2.6246720000000003"/>
    <n v="53.791699999999999"/>
    <n v="12.500257"/>
    <x v="0"/>
    <x v="0"/>
    <x v="1"/>
    <s v="February"/>
    <s v="Saturday"/>
  </r>
  <r>
    <n v="58"/>
    <x v="57"/>
    <n v="1"/>
    <n v="0"/>
    <n v="2"/>
    <n v="0"/>
    <n v="0"/>
    <x v="0"/>
    <x v="1"/>
    <n v="0.34347800000000001"/>
    <n v="0.351109"/>
    <n v="0.68"/>
    <n v="0.125248"/>
    <n v="694"/>
    <n v="1708"/>
    <n v="2402"/>
    <n v="8.1434660000000001"/>
    <n v="7.1731939999999987"/>
    <n v="68"/>
    <n v="8.3916159999999991"/>
    <x v="0"/>
    <x v="0"/>
    <x v="1"/>
    <s v="February"/>
    <s v="Sunday"/>
  </r>
  <r>
    <n v="59"/>
    <x v="58"/>
    <n v="1"/>
    <n v="0"/>
    <n v="2"/>
    <n v="0"/>
    <n v="1"/>
    <x v="1"/>
    <x v="0"/>
    <n v="0.407273"/>
    <n v="0.40011799999999997"/>
    <n v="0.87636400000000003"/>
    <n v="0.289686"/>
    <n v="81"/>
    <n v="1365"/>
    <n v="1446"/>
    <n v="11.141831"/>
    <n v="10.407787999999996"/>
    <n v="87.636400000000009"/>
    <n v="19.408961999999999"/>
    <x v="0"/>
    <x v="0"/>
    <x v="0"/>
    <s v="February"/>
    <s v="Monday"/>
  </r>
  <r>
    <n v="60"/>
    <x v="59"/>
    <n v="1"/>
    <n v="0"/>
    <n v="3"/>
    <n v="0"/>
    <n v="2"/>
    <x v="1"/>
    <x v="1"/>
    <n v="0.26666699999999999"/>
    <n v="0.26387899999999997"/>
    <n v="0.53500000000000003"/>
    <n v="0.21642500000000001"/>
    <n v="137"/>
    <n v="1714"/>
    <n v="1851"/>
    <n v="4.5333489999999994"/>
    <n v="1.416013999999997"/>
    <n v="53.5"/>
    <n v="14.500475"/>
    <x v="0"/>
    <x v="0"/>
    <x v="1"/>
    <s v="March"/>
    <s v="Tuesday"/>
  </r>
  <r>
    <n v="61"/>
    <x v="60"/>
    <n v="1"/>
    <n v="0"/>
    <n v="3"/>
    <n v="0"/>
    <n v="3"/>
    <x v="1"/>
    <x v="1"/>
    <n v="0.33500000000000002"/>
    <n v="0.32007099999999999"/>
    <n v="0.44958300000000001"/>
    <n v="0.30783300000000002"/>
    <n v="231"/>
    <n v="1903"/>
    <n v="2134"/>
    <n v="7.745000000000001"/>
    <n v="5.1246860000000005"/>
    <n v="44.958300000000001"/>
    <n v="20.624811000000001"/>
    <x v="0"/>
    <x v="0"/>
    <x v="1"/>
    <s v="March"/>
    <s v="Wednesday"/>
  </r>
  <r>
    <n v="62"/>
    <x v="61"/>
    <n v="1"/>
    <n v="0"/>
    <n v="3"/>
    <n v="0"/>
    <n v="4"/>
    <x v="1"/>
    <x v="1"/>
    <n v="0.19833300000000001"/>
    <n v="0.20013300000000001"/>
    <n v="0.31833299999999998"/>
    <n v="0.22575400000000001"/>
    <n v="123"/>
    <n v="1562"/>
    <n v="1685"/>
    <n v="1.321651000000001"/>
    <n v="-2.7912219999999994"/>
    <n v="31.833299999999998"/>
    <n v="15.125518000000001"/>
    <x v="0"/>
    <x v="0"/>
    <x v="1"/>
    <s v="March"/>
    <s v="Thursday"/>
  </r>
  <r>
    <n v="63"/>
    <x v="62"/>
    <n v="1"/>
    <n v="0"/>
    <n v="3"/>
    <n v="0"/>
    <n v="5"/>
    <x v="1"/>
    <x v="0"/>
    <n v="0.26166699999999998"/>
    <n v="0.25567899999999999"/>
    <n v="0.61041699999999999"/>
    <n v="0.203346"/>
    <n v="214"/>
    <n v="1730"/>
    <n v="1944"/>
    <n v="4.298349"/>
    <n v="0.87481400000000065"/>
    <n v="61.041699999999999"/>
    <n v="13.624181999999999"/>
    <x v="0"/>
    <x v="0"/>
    <x v="0"/>
    <s v="March"/>
    <s v="Friday"/>
  </r>
  <r>
    <n v="64"/>
    <x v="63"/>
    <n v="1"/>
    <n v="0"/>
    <n v="3"/>
    <n v="0"/>
    <n v="6"/>
    <x v="0"/>
    <x v="0"/>
    <n v="0.38416699999999998"/>
    <n v="0.37877899999999998"/>
    <n v="0.78916699999999995"/>
    <n v="0.25187100000000001"/>
    <n v="640"/>
    <n v="1437"/>
    <n v="2077"/>
    <n v="10.055848999999998"/>
    <n v="8.999413999999998"/>
    <n v="78.916699999999992"/>
    <n v="16.875357000000001"/>
    <x v="0"/>
    <x v="0"/>
    <x v="0"/>
    <s v="March"/>
    <s v="Saturday"/>
  </r>
  <r>
    <n v="65"/>
    <x v="64"/>
    <n v="1"/>
    <n v="0"/>
    <n v="3"/>
    <n v="0"/>
    <n v="0"/>
    <x v="0"/>
    <x v="0"/>
    <n v="0.37652200000000002"/>
    <n v="0.36625200000000002"/>
    <n v="0.94826100000000002"/>
    <n v="0.34328700000000001"/>
    <n v="114"/>
    <n v="491"/>
    <n v="605"/>
    <n v="9.6965339999999998"/>
    <n v="8.1726320000000001"/>
    <n v="94.826099999999997"/>
    <n v="23.000229000000001"/>
    <x v="0"/>
    <x v="0"/>
    <x v="0"/>
    <s v="March"/>
    <s v="Sunday"/>
  </r>
  <r>
    <n v="66"/>
    <x v="65"/>
    <n v="1"/>
    <n v="0"/>
    <n v="3"/>
    <n v="0"/>
    <n v="1"/>
    <x v="1"/>
    <x v="1"/>
    <n v="0.261739"/>
    <n v="0.23846100000000001"/>
    <n v="0.55130400000000002"/>
    <n v="0.34135199999999999"/>
    <n v="244"/>
    <n v="1628"/>
    <n v="1872"/>
    <n v="4.3017330000000005"/>
    <n v="-0.26157399999999953"/>
    <n v="55.130400000000002"/>
    <n v="22.870584000000001"/>
    <x v="0"/>
    <x v="0"/>
    <x v="1"/>
    <s v="March"/>
    <s v="Monday"/>
  </r>
  <r>
    <n v="67"/>
    <x v="66"/>
    <n v="1"/>
    <n v="0"/>
    <n v="3"/>
    <n v="0"/>
    <n v="2"/>
    <x v="1"/>
    <x v="1"/>
    <n v="0.29249999999999998"/>
    <n v="0.3024"/>
    <n v="0.42083300000000001"/>
    <n v="0.12064999999999999"/>
    <n v="316"/>
    <n v="1817"/>
    <n v="2133"/>
    <n v="5.7474999999999987"/>
    <n v="3.958400000000001"/>
    <n v="42.083300000000001"/>
    <n v="8.0835499999999989"/>
    <x v="0"/>
    <x v="0"/>
    <x v="1"/>
    <s v="March"/>
    <s v="Tuesday"/>
  </r>
  <r>
    <n v="68"/>
    <x v="67"/>
    <n v="1"/>
    <n v="0"/>
    <n v="3"/>
    <n v="0"/>
    <n v="3"/>
    <x v="1"/>
    <x v="0"/>
    <n v="0.29583300000000001"/>
    <n v="0.28660799999999997"/>
    <n v="0.77541700000000002"/>
    <n v="0.22015000000000001"/>
    <n v="191"/>
    <n v="1700"/>
    <n v="1891"/>
    <n v="5.9041510000000006"/>
    <n v="2.9161279999999969"/>
    <n v="77.541700000000006"/>
    <n v="14.750050000000002"/>
    <x v="0"/>
    <x v="0"/>
    <x v="0"/>
    <s v="March"/>
    <s v="Wednesday"/>
  </r>
  <r>
    <n v="69"/>
    <x v="68"/>
    <n v="1"/>
    <n v="0"/>
    <n v="3"/>
    <n v="0"/>
    <n v="4"/>
    <x v="1"/>
    <x v="2"/>
    <n v="0.38909100000000002"/>
    <n v="0.38566800000000001"/>
    <n v="0"/>
    <n v="0.26187700000000003"/>
    <n v="46"/>
    <n v="577"/>
    <n v="623"/>
    <n v="10.287277"/>
    <n v="9.4540880000000023"/>
    <n v="0"/>
    <n v="17.545759"/>
    <x v="0"/>
    <x v="0"/>
    <x v="2"/>
    <s v="March"/>
    <s v="Thursday"/>
  </r>
  <r>
    <n v="70"/>
    <x v="69"/>
    <n v="1"/>
    <n v="0"/>
    <n v="3"/>
    <n v="0"/>
    <n v="5"/>
    <x v="1"/>
    <x v="0"/>
    <n v="0.31652200000000003"/>
    <n v="0.30499999999999999"/>
    <n v="0.64956499999999995"/>
    <n v="0.23297000000000001"/>
    <n v="247"/>
    <n v="1730"/>
    <n v="1977"/>
    <n v="6.8765340000000013"/>
    <n v="4.129999999999999"/>
    <n v="64.956499999999991"/>
    <n v="15.60899"/>
    <x v="0"/>
    <x v="0"/>
    <x v="0"/>
    <s v="March"/>
    <s v="Friday"/>
  </r>
  <r>
    <n v="71"/>
    <x v="70"/>
    <n v="1"/>
    <n v="0"/>
    <n v="3"/>
    <n v="0"/>
    <n v="6"/>
    <x v="0"/>
    <x v="1"/>
    <n v="0.32916699999999999"/>
    <n v="0.32574999999999998"/>
    <n v="0.59458299999999997"/>
    <n v="0.220775"/>
    <n v="724"/>
    <n v="1408"/>
    <n v="2132"/>
    <n v="7.4708489999999994"/>
    <n v="5.4994999999999976"/>
    <n v="59.458299999999994"/>
    <n v="14.791924999999999"/>
    <x v="0"/>
    <x v="0"/>
    <x v="1"/>
    <s v="March"/>
    <s v="Saturday"/>
  </r>
  <r>
    <n v="72"/>
    <x v="71"/>
    <n v="1"/>
    <n v="0"/>
    <n v="3"/>
    <n v="0"/>
    <n v="0"/>
    <x v="0"/>
    <x v="1"/>
    <n v="0.38434800000000002"/>
    <n v="0.38009100000000001"/>
    <n v="0.52739100000000005"/>
    <n v="0.27060400000000001"/>
    <n v="982"/>
    <n v="1435"/>
    <n v="2417"/>
    <n v="10.064356"/>
    <n v="9.0860060000000011"/>
    <n v="52.739100000000008"/>
    <n v="18.130468"/>
    <x v="0"/>
    <x v="0"/>
    <x v="1"/>
    <s v="March"/>
    <s v="Sunday"/>
  </r>
  <r>
    <n v="73"/>
    <x v="72"/>
    <n v="1"/>
    <n v="0"/>
    <n v="3"/>
    <n v="0"/>
    <n v="1"/>
    <x v="1"/>
    <x v="1"/>
    <n v="0.32521699999999998"/>
    <n v="0.33200000000000002"/>
    <n v="0.49695699999999998"/>
    <n v="0.13692599999999999"/>
    <n v="359"/>
    <n v="1687"/>
    <n v="2046"/>
    <n v="7.2851989999999986"/>
    <n v="5.9120000000000026"/>
    <n v="49.695699999999995"/>
    <n v="9.174042"/>
    <x v="0"/>
    <x v="0"/>
    <x v="1"/>
    <s v="March"/>
    <s v="Monday"/>
  </r>
  <r>
    <n v="74"/>
    <x v="73"/>
    <n v="1"/>
    <n v="0"/>
    <n v="3"/>
    <n v="0"/>
    <n v="2"/>
    <x v="1"/>
    <x v="0"/>
    <n v="0.31739099999999998"/>
    <n v="0.31817800000000002"/>
    <n v="0.65565200000000001"/>
    <n v="0.184309"/>
    <n v="289"/>
    <n v="1767"/>
    <n v="2056"/>
    <n v="6.9173769999999983"/>
    <n v="4.9997480000000003"/>
    <n v="65.565200000000004"/>
    <n v="12.348703"/>
    <x v="0"/>
    <x v="0"/>
    <x v="0"/>
    <s v="March"/>
    <s v="Tuesday"/>
  </r>
  <r>
    <n v="75"/>
    <x v="74"/>
    <n v="1"/>
    <n v="0"/>
    <n v="3"/>
    <n v="0"/>
    <n v="3"/>
    <x v="1"/>
    <x v="0"/>
    <n v="0.36521700000000001"/>
    <n v="0.36692999999999998"/>
    <n v="0.77652200000000005"/>
    <n v="0.20311699999999999"/>
    <n v="321"/>
    <n v="1871"/>
    <n v="2192"/>
    <n v="9.1651990000000012"/>
    <n v="8.2173799999999986"/>
    <n v="77.652200000000008"/>
    <n v="13.608839"/>
    <x v="0"/>
    <x v="0"/>
    <x v="0"/>
    <s v="March"/>
    <s v="Wednesday"/>
  </r>
  <r>
    <n v="76"/>
    <x v="75"/>
    <n v="1"/>
    <n v="0"/>
    <n v="3"/>
    <n v="0"/>
    <n v="4"/>
    <x v="1"/>
    <x v="1"/>
    <n v="0.41499999999999998"/>
    <n v="0.410333"/>
    <n v="0.60291700000000004"/>
    <n v="0.20957899999999999"/>
    <n v="424"/>
    <n v="2320"/>
    <n v="2744"/>
    <n v="11.504999999999999"/>
    <n v="11.081977999999999"/>
    <n v="60.291700000000006"/>
    <n v="14.041792999999998"/>
    <x v="0"/>
    <x v="0"/>
    <x v="1"/>
    <s v="March"/>
    <s v="Thursday"/>
  </r>
  <r>
    <n v="77"/>
    <x v="76"/>
    <n v="1"/>
    <n v="0"/>
    <n v="3"/>
    <n v="0"/>
    <n v="5"/>
    <x v="1"/>
    <x v="1"/>
    <n v="0.54"/>
    <n v="0.52700899999999995"/>
    <n v="0.52521700000000004"/>
    <n v="0.231017"/>
    <n v="884"/>
    <n v="2355"/>
    <n v="3239"/>
    <n v="17.380000000000003"/>
    <n v="18.782593999999996"/>
    <n v="52.521700000000003"/>
    <n v="15.478139000000001"/>
    <x v="0"/>
    <x v="0"/>
    <x v="1"/>
    <s v="March"/>
    <s v="Friday"/>
  </r>
  <r>
    <n v="78"/>
    <x v="77"/>
    <n v="1"/>
    <n v="0"/>
    <n v="3"/>
    <n v="0"/>
    <n v="6"/>
    <x v="0"/>
    <x v="1"/>
    <n v="0.47249999999999998"/>
    <n v="0.46652500000000002"/>
    <n v="0.37916699999999998"/>
    <n v="0.36816700000000002"/>
    <n v="1424"/>
    <n v="1693"/>
    <n v="3117"/>
    <n v="14.2075"/>
    <n v="14.790650000000003"/>
    <n v="37.916699999999999"/>
    <n v="24.667189"/>
    <x v="0"/>
    <x v="0"/>
    <x v="1"/>
    <s v="March"/>
    <s v="Saturday"/>
  </r>
  <r>
    <n v="79"/>
    <x v="78"/>
    <n v="1"/>
    <n v="0"/>
    <n v="3"/>
    <n v="0"/>
    <n v="0"/>
    <x v="0"/>
    <x v="1"/>
    <n v="0.33250000000000002"/>
    <n v="0.32574999999999998"/>
    <n v="0.47375"/>
    <n v="0.20772099999999999"/>
    <n v="1047"/>
    <n v="1424"/>
    <n v="2471"/>
    <n v="7.6275000000000013"/>
    <n v="5.4994999999999976"/>
    <n v="47.375"/>
    <n v="13.917306999999999"/>
    <x v="0"/>
    <x v="0"/>
    <x v="1"/>
    <s v="March"/>
    <s v="Sunday"/>
  </r>
  <r>
    <n v="80"/>
    <x v="79"/>
    <n v="2"/>
    <n v="0"/>
    <n v="3"/>
    <n v="0"/>
    <n v="1"/>
    <x v="1"/>
    <x v="0"/>
    <n v="0.43043500000000001"/>
    <n v="0.40973500000000002"/>
    <n v="0.73739100000000002"/>
    <n v="0.28878300000000001"/>
    <n v="401"/>
    <n v="1676"/>
    <n v="2077"/>
    <n v="12.230445"/>
    <n v="11.04251"/>
    <n v="73.739100000000008"/>
    <n v="19.348461"/>
    <x v="1"/>
    <x v="0"/>
    <x v="0"/>
    <s v="March"/>
    <s v="Monday"/>
  </r>
  <r>
    <n v="81"/>
    <x v="80"/>
    <n v="2"/>
    <n v="0"/>
    <n v="3"/>
    <n v="0"/>
    <n v="2"/>
    <x v="1"/>
    <x v="1"/>
    <n v="0.44166699999999998"/>
    <n v="0.44064199999999998"/>
    <n v="0.624583"/>
    <n v="0.22575000000000001"/>
    <n v="460"/>
    <n v="2243"/>
    <n v="2703"/>
    <n v="12.758348999999999"/>
    <n v="13.082371999999999"/>
    <n v="62.458300000000001"/>
    <n v="15.125250000000001"/>
    <x v="1"/>
    <x v="0"/>
    <x v="1"/>
    <s v="March"/>
    <s v="Tuesday"/>
  </r>
  <r>
    <n v="82"/>
    <x v="81"/>
    <n v="2"/>
    <n v="0"/>
    <n v="3"/>
    <n v="0"/>
    <n v="3"/>
    <x v="1"/>
    <x v="0"/>
    <n v="0.34695700000000002"/>
    <n v="0.33793899999999999"/>
    <n v="0.83956500000000001"/>
    <n v="0.234261"/>
    <n v="203"/>
    <n v="1918"/>
    <n v="2121"/>
    <n v="8.3069790000000019"/>
    <n v="6.3039740000000002"/>
    <n v="83.956500000000005"/>
    <n v="15.695487"/>
    <x v="1"/>
    <x v="0"/>
    <x v="0"/>
    <s v="March"/>
    <s v="Wednesday"/>
  </r>
  <r>
    <n v="83"/>
    <x v="82"/>
    <n v="2"/>
    <n v="0"/>
    <n v="3"/>
    <n v="0"/>
    <n v="4"/>
    <x v="1"/>
    <x v="0"/>
    <n v="0.28499999999999998"/>
    <n v="0.27083299999999999"/>
    <n v="0.80583300000000002"/>
    <n v="0.243787"/>
    <n v="166"/>
    <n v="1699"/>
    <n v="1865"/>
    <n v="5.3949999999999996"/>
    <n v="1.8749779999999987"/>
    <n v="80.583300000000008"/>
    <n v="16.333729000000002"/>
    <x v="1"/>
    <x v="0"/>
    <x v="0"/>
    <s v="March"/>
    <s v="Thursday"/>
  </r>
  <r>
    <n v="84"/>
    <x v="83"/>
    <n v="2"/>
    <n v="0"/>
    <n v="3"/>
    <n v="0"/>
    <n v="5"/>
    <x v="1"/>
    <x v="1"/>
    <n v="0.26416699999999999"/>
    <n v="0.25631199999999998"/>
    <n v="0.495"/>
    <n v="0.23072500000000001"/>
    <n v="300"/>
    <n v="1910"/>
    <n v="2210"/>
    <n v="4.4158489999999997"/>
    <n v="0.91659199999999785"/>
    <n v="49.5"/>
    <n v="15.458575000000002"/>
    <x v="1"/>
    <x v="0"/>
    <x v="1"/>
    <s v="March"/>
    <s v="Friday"/>
  </r>
  <r>
    <n v="85"/>
    <x v="84"/>
    <n v="2"/>
    <n v="0"/>
    <n v="3"/>
    <n v="0"/>
    <n v="6"/>
    <x v="0"/>
    <x v="1"/>
    <n v="0.26583299999999999"/>
    <n v="0.25757099999999999"/>
    <n v="0.39416699999999999"/>
    <n v="0.20957100000000001"/>
    <n v="981"/>
    <n v="1515"/>
    <n v="2496"/>
    <n v="4.4941509999999987"/>
    <n v="0.99968600000000052"/>
    <n v="39.416699999999999"/>
    <n v="14.041257"/>
    <x v="1"/>
    <x v="0"/>
    <x v="1"/>
    <s v="March"/>
    <s v="Saturday"/>
  </r>
  <r>
    <n v="86"/>
    <x v="85"/>
    <n v="2"/>
    <n v="0"/>
    <n v="3"/>
    <n v="0"/>
    <n v="0"/>
    <x v="0"/>
    <x v="0"/>
    <n v="0.25304300000000002"/>
    <n v="0.25033899999999998"/>
    <n v="0.49391299999999999"/>
    <n v="0.18429999999999999"/>
    <n v="472"/>
    <n v="1221"/>
    <n v="1693"/>
    <n v="3.893021000000001"/>
    <n v="0.52237399999999923"/>
    <n v="49.391300000000001"/>
    <n v="12.348099999999999"/>
    <x v="1"/>
    <x v="0"/>
    <x v="0"/>
    <s v="March"/>
    <s v="Sunday"/>
  </r>
  <r>
    <n v="87"/>
    <x v="86"/>
    <n v="2"/>
    <n v="0"/>
    <n v="3"/>
    <n v="0"/>
    <n v="1"/>
    <x v="1"/>
    <x v="1"/>
    <n v="0.26434800000000003"/>
    <n v="0.25757400000000003"/>
    <n v="0.302174"/>
    <n v="0.212204"/>
    <n v="222"/>
    <n v="1806"/>
    <n v="2028"/>
    <n v="4.4243560000000013"/>
    <n v="0.99988400000000155"/>
    <n v="30.217400000000001"/>
    <n v="14.217668"/>
    <x v="1"/>
    <x v="0"/>
    <x v="1"/>
    <s v="March"/>
    <s v="Monday"/>
  </r>
  <r>
    <n v="88"/>
    <x v="87"/>
    <n v="2"/>
    <n v="0"/>
    <n v="3"/>
    <n v="0"/>
    <n v="2"/>
    <x v="1"/>
    <x v="1"/>
    <n v="0.30249999999999999"/>
    <n v="0.292908"/>
    <n v="0.31416699999999997"/>
    <n v="0.226996"/>
    <n v="317"/>
    <n v="2108"/>
    <n v="2425"/>
    <n v="6.2174999999999994"/>
    <n v="3.3319280000000013"/>
    <n v="31.416699999999999"/>
    <n v="15.208731999999999"/>
    <x v="1"/>
    <x v="0"/>
    <x v="1"/>
    <s v="March"/>
    <s v="Tuesday"/>
  </r>
  <r>
    <n v="89"/>
    <x v="88"/>
    <n v="2"/>
    <n v="0"/>
    <n v="3"/>
    <n v="0"/>
    <n v="3"/>
    <x v="1"/>
    <x v="0"/>
    <n v="0.3"/>
    <n v="0.29735"/>
    <n v="0.64666699999999999"/>
    <n v="0.17288799999999999"/>
    <n v="168"/>
    <n v="1368"/>
    <n v="1536"/>
    <n v="6.1"/>
    <n v="3.6250999999999998"/>
    <n v="64.666700000000006"/>
    <n v="11.583495999999998"/>
    <x v="1"/>
    <x v="0"/>
    <x v="0"/>
    <s v="March"/>
    <s v="Wednesday"/>
  </r>
  <r>
    <n v="90"/>
    <x v="89"/>
    <n v="2"/>
    <n v="0"/>
    <n v="3"/>
    <n v="0"/>
    <n v="4"/>
    <x v="1"/>
    <x v="2"/>
    <n v="0.26833299999999999"/>
    <n v="0.257575"/>
    <n v="0.91833299999999995"/>
    <n v="0.21764600000000001"/>
    <n v="179"/>
    <n v="1506"/>
    <n v="1685"/>
    <n v="4.6116510000000002"/>
    <n v="0.99994999999999834"/>
    <n v="91.833299999999994"/>
    <n v="14.582282000000001"/>
    <x v="1"/>
    <x v="0"/>
    <x v="2"/>
    <s v="March"/>
    <s v="Thursday"/>
  </r>
  <r>
    <n v="91"/>
    <x v="90"/>
    <n v="2"/>
    <n v="0"/>
    <n v="4"/>
    <n v="0"/>
    <n v="5"/>
    <x v="1"/>
    <x v="0"/>
    <n v="0.3"/>
    <n v="0.28345399999999998"/>
    <n v="0.68625000000000003"/>
    <n v="0.25870799999999999"/>
    <n v="307"/>
    <n v="1920"/>
    <n v="2227"/>
    <n v="6.1"/>
    <n v="2.7079640000000005"/>
    <n v="68.625"/>
    <n v="17.333435999999999"/>
    <x v="1"/>
    <x v="0"/>
    <x v="0"/>
    <s v="April"/>
    <s v="Friday"/>
  </r>
  <r>
    <n v="92"/>
    <x v="91"/>
    <n v="2"/>
    <n v="0"/>
    <n v="4"/>
    <n v="0"/>
    <n v="6"/>
    <x v="0"/>
    <x v="0"/>
    <n v="0.315"/>
    <n v="0.315637"/>
    <n v="0.65375000000000005"/>
    <n v="0.19714599999999999"/>
    <n v="898"/>
    <n v="1354"/>
    <n v="2252"/>
    <n v="6.8049999999999997"/>
    <n v="4.8320420000000013"/>
    <n v="65.375"/>
    <n v="13.208781999999999"/>
    <x v="1"/>
    <x v="0"/>
    <x v="0"/>
    <s v="April"/>
    <s v="Saturday"/>
  </r>
  <r>
    <n v="93"/>
    <x v="92"/>
    <n v="2"/>
    <n v="0"/>
    <n v="4"/>
    <n v="0"/>
    <n v="0"/>
    <x v="0"/>
    <x v="1"/>
    <n v="0.37833299999999997"/>
    <n v="0.37876700000000002"/>
    <n v="0.48"/>
    <n v="0.18221300000000001"/>
    <n v="1651"/>
    <n v="1598"/>
    <n v="3249"/>
    <n v="9.7816510000000001"/>
    <n v="8.998622000000001"/>
    <n v="48"/>
    <n v="12.208271000000002"/>
    <x v="1"/>
    <x v="0"/>
    <x v="1"/>
    <s v="April"/>
    <s v="Sunday"/>
  </r>
  <r>
    <n v="94"/>
    <x v="93"/>
    <n v="2"/>
    <n v="0"/>
    <n v="4"/>
    <n v="0"/>
    <n v="1"/>
    <x v="1"/>
    <x v="1"/>
    <n v="0.57333299999999998"/>
    <n v="0.54292899999999999"/>
    <n v="0.42625000000000002"/>
    <n v="0.385571"/>
    <n v="734"/>
    <n v="2381"/>
    <n v="3115"/>
    <n v="18.946650999999999"/>
    <n v="19.833314000000001"/>
    <n v="42.625"/>
    <n v="25.833257"/>
    <x v="1"/>
    <x v="0"/>
    <x v="1"/>
    <s v="April"/>
    <s v="Monday"/>
  </r>
  <r>
    <n v="95"/>
    <x v="94"/>
    <n v="2"/>
    <n v="0"/>
    <n v="4"/>
    <n v="0"/>
    <n v="2"/>
    <x v="1"/>
    <x v="0"/>
    <n v="0.41416700000000001"/>
    <n v="0.39834999999999998"/>
    <n v="0.64208299999999996"/>
    <n v="0.388067"/>
    <n v="167"/>
    <n v="1628"/>
    <n v="1795"/>
    <n v="11.465848999999999"/>
    <n v="10.2911"/>
    <n v="64.208299999999994"/>
    <n v="26.000488999999998"/>
    <x v="1"/>
    <x v="0"/>
    <x v="0"/>
    <s v="April"/>
    <s v="Tuesday"/>
  </r>
  <r>
    <n v="96"/>
    <x v="95"/>
    <n v="2"/>
    <n v="0"/>
    <n v="4"/>
    <n v="0"/>
    <n v="3"/>
    <x v="1"/>
    <x v="1"/>
    <n v="0.39083299999999999"/>
    <n v="0.38760800000000001"/>
    <n v="0.470833"/>
    <n v="0.26306299999999999"/>
    <n v="413"/>
    <n v="2395"/>
    <n v="2808"/>
    <n v="10.369150999999999"/>
    <n v="9.5821280000000009"/>
    <n v="47.083300000000001"/>
    <n v="17.625221"/>
    <x v="1"/>
    <x v="0"/>
    <x v="1"/>
    <s v="April"/>
    <s v="Wednesday"/>
  </r>
  <r>
    <n v="97"/>
    <x v="96"/>
    <n v="2"/>
    <n v="0"/>
    <n v="4"/>
    <n v="0"/>
    <n v="4"/>
    <x v="1"/>
    <x v="1"/>
    <n v="0.4375"/>
    <n v="0.43369600000000003"/>
    <n v="0.60291700000000004"/>
    <n v="0.16231200000000001"/>
    <n v="571"/>
    <n v="2570"/>
    <n v="3141"/>
    <n v="12.5625"/>
    <n v="12.623936"/>
    <n v="60.291700000000006"/>
    <n v="10.874904000000001"/>
    <x v="1"/>
    <x v="0"/>
    <x v="1"/>
    <s v="April"/>
    <s v="Thursday"/>
  </r>
  <r>
    <n v="98"/>
    <x v="97"/>
    <n v="2"/>
    <n v="0"/>
    <n v="4"/>
    <n v="0"/>
    <n v="5"/>
    <x v="1"/>
    <x v="0"/>
    <n v="0.33583299999999999"/>
    <n v="0.32447900000000002"/>
    <n v="0.83625000000000005"/>
    <n v="0.226992"/>
    <n v="172"/>
    <n v="1299"/>
    <n v="1471"/>
    <n v="7.7841509999999996"/>
    <n v="5.4156140000000015"/>
    <n v="83.625"/>
    <n v="15.208463999999999"/>
    <x v="1"/>
    <x v="0"/>
    <x v="0"/>
    <s v="April"/>
    <s v="Friday"/>
  </r>
  <r>
    <n v="99"/>
    <x v="98"/>
    <n v="2"/>
    <n v="0"/>
    <n v="4"/>
    <n v="0"/>
    <n v="6"/>
    <x v="0"/>
    <x v="0"/>
    <n v="0.34250000000000003"/>
    <n v="0.34152900000000003"/>
    <n v="0.87749999999999995"/>
    <n v="0.13308300000000001"/>
    <n v="879"/>
    <n v="1576"/>
    <n v="2455"/>
    <n v="8.0975000000000001"/>
    <n v="6.5409140000000008"/>
    <n v="87.75"/>
    <n v="8.9165609999999997"/>
    <x v="1"/>
    <x v="0"/>
    <x v="0"/>
    <s v="April"/>
    <s v="Saturday"/>
  </r>
  <r>
    <n v="100"/>
    <x v="99"/>
    <n v="2"/>
    <n v="0"/>
    <n v="4"/>
    <n v="0"/>
    <n v="0"/>
    <x v="0"/>
    <x v="0"/>
    <n v="0.42666700000000002"/>
    <n v="0.42673699999999998"/>
    <n v="0.85750000000000004"/>
    <n v="0.14676700000000001"/>
    <n v="1188"/>
    <n v="1707"/>
    <n v="2895"/>
    <n v="12.053349000000001"/>
    <n v="12.164641999999997"/>
    <n v="85.75"/>
    <n v="9.8333890000000004"/>
    <x v="1"/>
    <x v="0"/>
    <x v="0"/>
    <s v="April"/>
    <s v="Sunday"/>
  </r>
  <r>
    <n v="101"/>
    <x v="100"/>
    <n v="2"/>
    <n v="0"/>
    <n v="4"/>
    <n v="0"/>
    <n v="1"/>
    <x v="1"/>
    <x v="0"/>
    <n v="0.59565199999999996"/>
    <n v="0.56521699999999997"/>
    <n v="0.71695600000000004"/>
    <n v="0.32447399999999998"/>
    <n v="855"/>
    <n v="2493"/>
    <n v="3348"/>
    <n v="19.995643999999999"/>
    <n v="21.304321999999999"/>
    <n v="71.695599999999999"/>
    <n v="21.739757999999998"/>
    <x v="1"/>
    <x v="0"/>
    <x v="0"/>
    <s v="April"/>
    <s v="Monday"/>
  </r>
  <r>
    <n v="102"/>
    <x v="101"/>
    <n v="2"/>
    <n v="0"/>
    <n v="4"/>
    <n v="0"/>
    <n v="2"/>
    <x v="1"/>
    <x v="0"/>
    <n v="0.50249999999999995"/>
    <n v="0.49305399999999999"/>
    <n v="0.73916700000000002"/>
    <n v="0.27487899999999998"/>
    <n v="257"/>
    <n v="1777"/>
    <n v="2034"/>
    <n v="15.617499999999996"/>
    <n v="16.541564000000001"/>
    <n v="73.916700000000006"/>
    <n v="18.416892999999998"/>
    <x v="1"/>
    <x v="0"/>
    <x v="0"/>
    <s v="April"/>
    <s v="Tuesday"/>
  </r>
  <r>
    <n v="103"/>
    <x v="102"/>
    <n v="2"/>
    <n v="0"/>
    <n v="4"/>
    <n v="0"/>
    <n v="3"/>
    <x v="1"/>
    <x v="0"/>
    <n v="0.41249999999999998"/>
    <n v="0.41728300000000002"/>
    <n v="0.81916699999999998"/>
    <n v="0.25061699999999998"/>
    <n v="209"/>
    <n v="1953"/>
    <n v="2162"/>
    <n v="11.387499999999999"/>
    <n v="11.540678"/>
    <n v="81.916699999999992"/>
    <n v="16.791338999999997"/>
    <x v="1"/>
    <x v="0"/>
    <x v="0"/>
    <s v="April"/>
    <s v="Wednesday"/>
  </r>
  <r>
    <n v="104"/>
    <x v="103"/>
    <n v="2"/>
    <n v="0"/>
    <n v="4"/>
    <n v="0"/>
    <n v="4"/>
    <x v="1"/>
    <x v="1"/>
    <n v="0.46750000000000003"/>
    <n v="0.46274199999999999"/>
    <n v="0.54041700000000004"/>
    <n v="0.11070000000000001"/>
    <n v="529"/>
    <n v="2738"/>
    <n v="3267"/>
    <n v="13.9725"/>
    <n v="14.540972"/>
    <n v="54.041700000000006"/>
    <n v="7.4169"/>
    <x v="1"/>
    <x v="0"/>
    <x v="1"/>
    <s v="April"/>
    <s v="Thursday"/>
  </r>
  <r>
    <n v="105"/>
    <x v="104"/>
    <n v="2"/>
    <n v="0"/>
    <n v="4"/>
    <n v="1"/>
    <n v="5"/>
    <x v="0"/>
    <x v="1"/>
    <n v="0.44666699999999998"/>
    <n v="0.441913"/>
    <n v="0.67125000000000001"/>
    <n v="0.22637499999999999"/>
    <n v="642"/>
    <n v="2484"/>
    <n v="3126"/>
    <n v="12.993348999999998"/>
    <n v="13.166257999999999"/>
    <n v="67.125"/>
    <n v="15.167124999999999"/>
    <x v="1"/>
    <x v="0"/>
    <x v="1"/>
    <s v="April"/>
    <s v="Friday"/>
  </r>
  <r>
    <n v="106"/>
    <x v="105"/>
    <n v="2"/>
    <n v="0"/>
    <n v="4"/>
    <n v="0"/>
    <n v="6"/>
    <x v="0"/>
    <x v="2"/>
    <n v="0.43083300000000002"/>
    <n v="0.42549199999999998"/>
    <n v="0.88833300000000004"/>
    <n v="0.340808"/>
    <n v="121"/>
    <n v="674"/>
    <n v="795"/>
    <n v="12.249151000000001"/>
    <n v="12.082471999999999"/>
    <n v="88.833300000000008"/>
    <n v="22.834136000000001"/>
    <x v="1"/>
    <x v="0"/>
    <x v="2"/>
    <s v="April"/>
    <s v="Saturday"/>
  </r>
  <r>
    <n v="107"/>
    <x v="106"/>
    <n v="2"/>
    <n v="0"/>
    <n v="4"/>
    <n v="0"/>
    <n v="0"/>
    <x v="0"/>
    <x v="1"/>
    <n v="0.45666699999999999"/>
    <n v="0.44569599999999998"/>
    <n v="0.47958299999999998"/>
    <n v="0.30349599999999999"/>
    <n v="1558"/>
    <n v="2186"/>
    <n v="3744"/>
    <n v="13.463349000000001"/>
    <n v="13.415935999999999"/>
    <n v="47.958300000000001"/>
    <n v="20.334232"/>
    <x v="1"/>
    <x v="0"/>
    <x v="1"/>
    <s v="April"/>
    <s v="Sunday"/>
  </r>
  <r>
    <n v="108"/>
    <x v="107"/>
    <n v="2"/>
    <n v="0"/>
    <n v="4"/>
    <n v="0"/>
    <n v="1"/>
    <x v="1"/>
    <x v="1"/>
    <n v="0.51249999999999996"/>
    <n v="0.50314599999999998"/>
    <n v="0.54249999999999998"/>
    <n v="0.16356699999999999"/>
    <n v="669"/>
    <n v="2760"/>
    <n v="3429"/>
    <n v="16.087499999999999"/>
    <n v="17.207636000000001"/>
    <n v="54.25"/>
    <n v="10.958988999999999"/>
    <x v="1"/>
    <x v="0"/>
    <x v="1"/>
    <s v="April"/>
    <s v="Monday"/>
  </r>
  <r>
    <n v="109"/>
    <x v="108"/>
    <n v="2"/>
    <n v="0"/>
    <n v="4"/>
    <n v="0"/>
    <n v="2"/>
    <x v="1"/>
    <x v="0"/>
    <n v="0.50583299999999998"/>
    <n v="0.48925800000000003"/>
    <n v="0.66583300000000001"/>
    <n v="0.157971"/>
    <n v="409"/>
    <n v="2795"/>
    <n v="3204"/>
    <n v="15.774151"/>
    <n v="16.291028000000004"/>
    <n v="66.583299999999994"/>
    <n v="10.584057"/>
    <x v="1"/>
    <x v="0"/>
    <x v="0"/>
    <s v="April"/>
    <s v="Tuesday"/>
  </r>
  <r>
    <n v="110"/>
    <x v="109"/>
    <n v="2"/>
    <n v="0"/>
    <n v="4"/>
    <n v="0"/>
    <n v="3"/>
    <x v="1"/>
    <x v="1"/>
    <n v="0.59499999999999997"/>
    <n v="0.564392"/>
    <n v="0.61416700000000002"/>
    <n v="0.241925"/>
    <n v="613"/>
    <n v="3331"/>
    <n v="3944"/>
    <n v="19.965"/>
    <n v="21.249872000000003"/>
    <n v="61.416699999999999"/>
    <n v="16.208974999999999"/>
    <x v="1"/>
    <x v="0"/>
    <x v="1"/>
    <s v="April"/>
    <s v="Wednesday"/>
  </r>
  <r>
    <n v="111"/>
    <x v="110"/>
    <n v="2"/>
    <n v="0"/>
    <n v="4"/>
    <n v="0"/>
    <n v="4"/>
    <x v="1"/>
    <x v="1"/>
    <n v="0.45916699999999999"/>
    <n v="0.45389200000000002"/>
    <n v="0.40708299999999997"/>
    <n v="0.32525799999999999"/>
    <n v="745"/>
    <n v="3444"/>
    <n v="4189"/>
    <n v="13.580849000000001"/>
    <n v="13.956872000000001"/>
    <n v="40.708299999999994"/>
    <n v="21.792286000000001"/>
    <x v="1"/>
    <x v="0"/>
    <x v="1"/>
    <s v="April"/>
    <s v="Thursday"/>
  </r>
  <r>
    <n v="112"/>
    <x v="111"/>
    <n v="2"/>
    <n v="0"/>
    <n v="4"/>
    <n v="0"/>
    <n v="5"/>
    <x v="1"/>
    <x v="0"/>
    <n v="0.33666699999999999"/>
    <n v="0.32195400000000002"/>
    <n v="0.72958299999999998"/>
    <n v="0.21952099999999999"/>
    <n v="177"/>
    <n v="1506"/>
    <n v="1683"/>
    <n v="7.8233490000000003"/>
    <n v="5.2489640000000009"/>
    <n v="72.958299999999994"/>
    <n v="14.707906999999999"/>
    <x v="1"/>
    <x v="0"/>
    <x v="0"/>
    <s v="April"/>
    <s v="Friday"/>
  </r>
  <r>
    <n v="113"/>
    <x v="112"/>
    <n v="2"/>
    <n v="0"/>
    <n v="4"/>
    <n v="0"/>
    <n v="6"/>
    <x v="0"/>
    <x v="0"/>
    <n v="0.46"/>
    <n v="0.45012099999999999"/>
    <n v="0.88791699999999996"/>
    <n v="0.23072500000000001"/>
    <n v="1462"/>
    <n v="2574"/>
    <n v="4036"/>
    <n v="13.620000000000001"/>
    <n v="13.707985999999998"/>
    <n v="88.791699999999992"/>
    <n v="15.458575000000002"/>
    <x v="1"/>
    <x v="0"/>
    <x v="0"/>
    <s v="April"/>
    <s v="Saturday"/>
  </r>
  <r>
    <n v="114"/>
    <x v="113"/>
    <n v="2"/>
    <n v="0"/>
    <n v="4"/>
    <n v="0"/>
    <n v="0"/>
    <x v="0"/>
    <x v="0"/>
    <n v="0.58166700000000005"/>
    <n v="0.551763"/>
    <n v="0.81083300000000003"/>
    <n v="0.19217500000000001"/>
    <n v="1710"/>
    <n v="2481"/>
    <n v="4191"/>
    <n v="19.338349000000001"/>
    <n v="20.416358000000002"/>
    <n v="81.083300000000008"/>
    <n v="12.875725000000001"/>
    <x v="1"/>
    <x v="0"/>
    <x v="0"/>
    <s v="April"/>
    <s v="Sunday"/>
  </r>
  <r>
    <n v="115"/>
    <x v="114"/>
    <n v="2"/>
    <n v="0"/>
    <n v="4"/>
    <n v="0"/>
    <n v="1"/>
    <x v="1"/>
    <x v="1"/>
    <n v="0.60666699999999996"/>
    <n v="0.57450000000000001"/>
    <n v="0.776667"/>
    <n v="0.185333"/>
    <n v="773"/>
    <n v="3300"/>
    <n v="4073"/>
    <n v="20.513348999999998"/>
    <n v="21.917000000000002"/>
    <n v="77.666700000000006"/>
    <n v="12.417311"/>
    <x v="1"/>
    <x v="0"/>
    <x v="1"/>
    <s v="April"/>
    <s v="Monday"/>
  </r>
  <r>
    <n v="116"/>
    <x v="115"/>
    <n v="2"/>
    <n v="0"/>
    <n v="4"/>
    <n v="0"/>
    <n v="2"/>
    <x v="1"/>
    <x v="1"/>
    <n v="0.63166699999999998"/>
    <n v="0.59408300000000003"/>
    <n v="0.72916700000000001"/>
    <n v="0.32650000000000001"/>
    <n v="678"/>
    <n v="3722"/>
    <n v="4400"/>
    <n v="21.688348999999999"/>
    <n v="23.209478000000004"/>
    <n v="72.916700000000006"/>
    <n v="21.875500000000002"/>
    <x v="1"/>
    <x v="0"/>
    <x v="1"/>
    <s v="April"/>
    <s v="Tuesday"/>
  </r>
  <r>
    <n v="117"/>
    <x v="116"/>
    <n v="2"/>
    <n v="0"/>
    <n v="4"/>
    <n v="0"/>
    <n v="3"/>
    <x v="1"/>
    <x v="0"/>
    <n v="0.62"/>
    <n v="0.57514200000000004"/>
    <n v="0.83541699999999997"/>
    <n v="0.31219999999999998"/>
    <n v="547"/>
    <n v="3325"/>
    <n v="3872"/>
    <n v="21.14"/>
    <n v="21.959372000000002"/>
    <n v="83.541699999999992"/>
    <n v="20.917399999999997"/>
    <x v="1"/>
    <x v="0"/>
    <x v="0"/>
    <s v="April"/>
    <s v="Wednesday"/>
  </r>
  <r>
    <n v="118"/>
    <x v="117"/>
    <n v="2"/>
    <n v="0"/>
    <n v="4"/>
    <n v="0"/>
    <n v="4"/>
    <x v="1"/>
    <x v="0"/>
    <n v="0.61750000000000005"/>
    <n v="0.57892900000000003"/>
    <n v="0.70083300000000004"/>
    <n v="0.32090800000000003"/>
    <n v="569"/>
    <n v="3489"/>
    <n v="4058"/>
    <n v="21.022500000000001"/>
    <n v="22.209313999999999"/>
    <n v="70.083300000000008"/>
    <n v="21.500836000000003"/>
    <x v="1"/>
    <x v="0"/>
    <x v="0"/>
    <s v="April"/>
    <s v="Thursday"/>
  </r>
  <r>
    <n v="119"/>
    <x v="118"/>
    <n v="2"/>
    <n v="0"/>
    <n v="4"/>
    <n v="0"/>
    <n v="5"/>
    <x v="1"/>
    <x v="1"/>
    <n v="0.51"/>
    <n v="0.49746299999999999"/>
    <n v="0.45708300000000002"/>
    <n v="0.240063"/>
    <n v="878"/>
    <n v="3717"/>
    <n v="4595"/>
    <n v="15.969999999999999"/>
    <n v="16.832557999999999"/>
    <n v="45.708300000000001"/>
    <n v="16.084220999999999"/>
    <x v="1"/>
    <x v="0"/>
    <x v="1"/>
    <s v="April"/>
    <s v="Friday"/>
  </r>
  <r>
    <n v="120"/>
    <x v="119"/>
    <n v="2"/>
    <n v="0"/>
    <n v="4"/>
    <n v="0"/>
    <n v="6"/>
    <x v="0"/>
    <x v="1"/>
    <n v="0.47249999999999998"/>
    <n v="0.46402100000000002"/>
    <n v="0.50333300000000003"/>
    <n v="0.23507500000000001"/>
    <n v="1965"/>
    <n v="3347"/>
    <n v="5312"/>
    <n v="14.2075"/>
    <n v="14.625386000000002"/>
    <n v="50.333300000000001"/>
    <n v="15.750025000000001"/>
    <x v="1"/>
    <x v="0"/>
    <x v="1"/>
    <s v="April"/>
    <s v="Saturday"/>
  </r>
  <r>
    <n v="121"/>
    <x v="120"/>
    <n v="2"/>
    <n v="0"/>
    <n v="5"/>
    <n v="0"/>
    <n v="0"/>
    <x v="0"/>
    <x v="0"/>
    <n v="0.45166699999999999"/>
    <n v="0.44820399999999999"/>
    <n v="0.76208299999999995"/>
    <n v="0.106354"/>
    <n v="1138"/>
    <n v="2213"/>
    <n v="3351"/>
    <n v="13.228348999999998"/>
    <n v="13.581464"/>
    <n v="76.208299999999994"/>
    <n v="7.125718"/>
    <x v="1"/>
    <x v="0"/>
    <x v="0"/>
    <s v="May"/>
    <s v="Sunday"/>
  </r>
  <r>
    <n v="122"/>
    <x v="121"/>
    <n v="2"/>
    <n v="0"/>
    <n v="5"/>
    <n v="0"/>
    <n v="1"/>
    <x v="1"/>
    <x v="0"/>
    <n v="0.54916699999999996"/>
    <n v="0.532833"/>
    <n v="0.73"/>
    <n v="0.18345400000000001"/>
    <n v="847"/>
    <n v="3554"/>
    <n v="4401"/>
    <n v="17.810848999999997"/>
    <n v="19.166978"/>
    <n v="73"/>
    <n v="12.291418"/>
    <x v="1"/>
    <x v="0"/>
    <x v="0"/>
    <s v="May"/>
    <s v="Monday"/>
  </r>
  <r>
    <n v="123"/>
    <x v="122"/>
    <n v="2"/>
    <n v="0"/>
    <n v="5"/>
    <n v="0"/>
    <n v="2"/>
    <x v="1"/>
    <x v="0"/>
    <n v="0.61666699999999997"/>
    <n v="0.58207900000000001"/>
    <n v="0.69708300000000001"/>
    <n v="0.342667"/>
    <n v="603"/>
    <n v="3848"/>
    <n v="4451"/>
    <n v="20.983348999999997"/>
    <n v="22.417214000000001"/>
    <n v="69.708299999999994"/>
    <n v="22.958689"/>
    <x v="1"/>
    <x v="0"/>
    <x v="0"/>
    <s v="May"/>
    <s v="Tuesday"/>
  </r>
  <r>
    <n v="124"/>
    <x v="123"/>
    <n v="2"/>
    <n v="0"/>
    <n v="5"/>
    <n v="0"/>
    <n v="3"/>
    <x v="1"/>
    <x v="0"/>
    <n v="0.41416700000000001"/>
    <n v="0.40465000000000001"/>
    <n v="0.73708300000000004"/>
    <n v="0.32899600000000001"/>
    <n v="255"/>
    <n v="2378"/>
    <n v="2633"/>
    <n v="11.465848999999999"/>
    <n v="10.706900000000001"/>
    <n v="73.708300000000008"/>
    <n v="22.042732000000001"/>
    <x v="1"/>
    <x v="0"/>
    <x v="0"/>
    <s v="May"/>
    <s v="Wednesday"/>
  </r>
  <r>
    <n v="125"/>
    <x v="124"/>
    <n v="2"/>
    <n v="0"/>
    <n v="5"/>
    <n v="0"/>
    <n v="4"/>
    <x v="1"/>
    <x v="1"/>
    <n v="0.45916699999999999"/>
    <n v="0.441917"/>
    <n v="0.44416699999999998"/>
    <n v="0.29539199999999999"/>
    <n v="614"/>
    <n v="3819"/>
    <n v="4433"/>
    <n v="13.580849000000001"/>
    <n v="13.166522000000001"/>
    <n v="44.416699999999999"/>
    <n v="19.791263999999998"/>
    <x v="1"/>
    <x v="0"/>
    <x v="1"/>
    <s v="May"/>
    <s v="Thursday"/>
  </r>
  <r>
    <n v="126"/>
    <x v="125"/>
    <n v="2"/>
    <n v="0"/>
    <n v="5"/>
    <n v="0"/>
    <n v="5"/>
    <x v="1"/>
    <x v="1"/>
    <n v="0.47916700000000001"/>
    <n v="0.47411700000000001"/>
    <n v="0.59"/>
    <n v="0.228246"/>
    <n v="894"/>
    <n v="3714"/>
    <n v="4608"/>
    <n v="14.520849000000002"/>
    <n v="15.291722"/>
    <n v="59"/>
    <n v="15.292482"/>
    <x v="1"/>
    <x v="0"/>
    <x v="1"/>
    <s v="May"/>
    <s v="Friday"/>
  </r>
  <r>
    <n v="127"/>
    <x v="126"/>
    <n v="2"/>
    <n v="0"/>
    <n v="5"/>
    <n v="0"/>
    <n v="6"/>
    <x v="0"/>
    <x v="1"/>
    <n v="0.52"/>
    <n v="0.51262099999999999"/>
    <n v="0.54125000000000001"/>
    <n v="0.16045000000000001"/>
    <n v="1612"/>
    <n v="3102"/>
    <n v="4714"/>
    <n v="16.440000000000001"/>
    <n v="17.832985999999998"/>
    <n v="54.125"/>
    <n v="10.750150000000001"/>
    <x v="1"/>
    <x v="0"/>
    <x v="1"/>
    <s v="May"/>
    <s v="Saturday"/>
  </r>
  <r>
    <n v="128"/>
    <x v="127"/>
    <n v="2"/>
    <n v="0"/>
    <n v="5"/>
    <n v="0"/>
    <n v="0"/>
    <x v="0"/>
    <x v="1"/>
    <n v="0.52833300000000005"/>
    <n v="0.51893299999999998"/>
    <n v="0.63166699999999998"/>
    <n v="7.4637499999999996E-2"/>
    <n v="1401"/>
    <n v="2932"/>
    <n v="4333"/>
    <n v="16.831651000000001"/>
    <n v="18.249578"/>
    <n v="63.166699999999999"/>
    <n v="5.0007124999999997"/>
    <x v="1"/>
    <x v="0"/>
    <x v="1"/>
    <s v="May"/>
    <s v="Sunday"/>
  </r>
  <r>
    <n v="129"/>
    <x v="128"/>
    <n v="2"/>
    <n v="0"/>
    <n v="5"/>
    <n v="0"/>
    <n v="1"/>
    <x v="1"/>
    <x v="1"/>
    <n v="0.53249999999999997"/>
    <n v="0.52524599999999999"/>
    <n v="0.58875"/>
    <n v="0.17599999999999999"/>
    <n v="664"/>
    <n v="3698"/>
    <n v="4362"/>
    <n v="17.0275"/>
    <n v="18.666235999999998"/>
    <n v="58.875"/>
    <n v="11.792"/>
    <x v="1"/>
    <x v="0"/>
    <x v="1"/>
    <s v="May"/>
    <s v="Monday"/>
  </r>
  <r>
    <n v="130"/>
    <x v="129"/>
    <n v="2"/>
    <n v="0"/>
    <n v="5"/>
    <n v="0"/>
    <n v="2"/>
    <x v="1"/>
    <x v="1"/>
    <n v="0.53249999999999997"/>
    <n v="0.52272099999999999"/>
    <n v="0.48916700000000002"/>
    <n v="0.115671"/>
    <n v="694"/>
    <n v="4109"/>
    <n v="4803"/>
    <n v="17.0275"/>
    <n v="18.499586000000001"/>
    <n v="48.916699999999999"/>
    <n v="7.7499569999999993"/>
    <x v="1"/>
    <x v="0"/>
    <x v="1"/>
    <s v="May"/>
    <s v="Tuesday"/>
  </r>
  <r>
    <n v="131"/>
    <x v="130"/>
    <n v="2"/>
    <n v="0"/>
    <n v="5"/>
    <n v="0"/>
    <n v="3"/>
    <x v="1"/>
    <x v="1"/>
    <n v="0.54249999999999998"/>
    <n v="0.52839999999999998"/>
    <n v="0.63291699999999995"/>
    <n v="0.120642"/>
    <n v="550"/>
    <n v="3632"/>
    <n v="4182"/>
    <n v="17.497499999999999"/>
    <n v="18.874400000000001"/>
    <n v="63.291699999999992"/>
    <n v="8.0830140000000004"/>
    <x v="1"/>
    <x v="0"/>
    <x v="1"/>
    <s v="May"/>
    <s v="Wednesday"/>
  </r>
  <r>
    <n v="132"/>
    <x v="131"/>
    <n v="2"/>
    <n v="0"/>
    <n v="5"/>
    <n v="0"/>
    <n v="4"/>
    <x v="1"/>
    <x v="1"/>
    <n v="0.53500000000000003"/>
    <n v="0.52336300000000002"/>
    <n v="0.74750000000000005"/>
    <n v="0.189667"/>
    <n v="695"/>
    <n v="4169"/>
    <n v="4864"/>
    <n v="17.145000000000003"/>
    <n v="18.541958000000001"/>
    <n v="74.75"/>
    <n v="12.707689"/>
    <x v="1"/>
    <x v="0"/>
    <x v="1"/>
    <s v="May"/>
    <s v="Thursday"/>
  </r>
  <r>
    <n v="133"/>
    <x v="132"/>
    <n v="2"/>
    <n v="0"/>
    <n v="5"/>
    <n v="0"/>
    <n v="5"/>
    <x v="1"/>
    <x v="0"/>
    <n v="0.51249999999999996"/>
    <n v="0.49430000000000002"/>
    <n v="0.86333300000000002"/>
    <n v="0.179725"/>
    <n v="692"/>
    <n v="3413"/>
    <n v="4105"/>
    <n v="16.087499999999999"/>
    <n v="16.623800000000003"/>
    <n v="86.333300000000008"/>
    <n v="12.041575"/>
    <x v="1"/>
    <x v="0"/>
    <x v="0"/>
    <s v="May"/>
    <s v="Friday"/>
  </r>
  <r>
    <n v="134"/>
    <x v="133"/>
    <n v="2"/>
    <n v="0"/>
    <n v="5"/>
    <n v="0"/>
    <n v="6"/>
    <x v="0"/>
    <x v="0"/>
    <n v="0.52083299999999999"/>
    <n v="0.50062899999999999"/>
    <n v="0.92249999999999999"/>
    <n v="0.13494999999999999"/>
    <n v="902"/>
    <n v="2507"/>
    <n v="3409"/>
    <n v="16.479150999999998"/>
    <n v="17.041513999999999"/>
    <n v="92.25"/>
    <n v="9.0416499999999989"/>
    <x v="1"/>
    <x v="0"/>
    <x v="0"/>
    <s v="May"/>
    <s v="Saturday"/>
  </r>
  <r>
    <n v="135"/>
    <x v="134"/>
    <n v="2"/>
    <n v="0"/>
    <n v="5"/>
    <n v="0"/>
    <n v="0"/>
    <x v="0"/>
    <x v="0"/>
    <n v="0.5625"/>
    <n v="0.53600000000000003"/>
    <n v="0.86708300000000005"/>
    <n v="0.152979"/>
    <n v="1582"/>
    <n v="2971"/>
    <n v="4553"/>
    <n v="18.4375"/>
    <n v="19.376000000000005"/>
    <n v="86.708300000000008"/>
    <n v="10.249593000000001"/>
    <x v="1"/>
    <x v="0"/>
    <x v="0"/>
    <s v="May"/>
    <s v="Sunday"/>
  </r>
  <r>
    <n v="136"/>
    <x v="135"/>
    <n v="2"/>
    <n v="0"/>
    <n v="5"/>
    <n v="0"/>
    <n v="1"/>
    <x v="1"/>
    <x v="1"/>
    <n v="0.57750000000000001"/>
    <n v="0.550512"/>
    <n v="0.78791699999999998"/>
    <n v="0.12687100000000001"/>
    <n v="773"/>
    <n v="3185"/>
    <n v="3958"/>
    <n v="19.142500000000002"/>
    <n v="20.333792000000003"/>
    <n v="78.791699999999992"/>
    <n v="8.5003570000000011"/>
    <x v="1"/>
    <x v="0"/>
    <x v="1"/>
    <s v="May"/>
    <s v="Monday"/>
  </r>
  <r>
    <n v="137"/>
    <x v="136"/>
    <n v="2"/>
    <n v="0"/>
    <n v="5"/>
    <n v="0"/>
    <n v="2"/>
    <x v="1"/>
    <x v="0"/>
    <n v="0.56166700000000003"/>
    <n v="0.53852900000000004"/>
    <n v="0.83791700000000002"/>
    <n v="0.27735399999999999"/>
    <n v="678"/>
    <n v="3445"/>
    <n v="4123"/>
    <n v="18.398349"/>
    <n v="19.542914000000003"/>
    <n v="83.791700000000006"/>
    <n v="18.582718"/>
    <x v="1"/>
    <x v="0"/>
    <x v="0"/>
    <s v="May"/>
    <s v="Tuesday"/>
  </r>
  <r>
    <n v="138"/>
    <x v="137"/>
    <n v="2"/>
    <n v="0"/>
    <n v="5"/>
    <n v="0"/>
    <n v="3"/>
    <x v="1"/>
    <x v="0"/>
    <n v="0.55000000000000004"/>
    <n v="0.52715800000000002"/>
    <n v="0.87"/>
    <n v="0.201492"/>
    <n v="536"/>
    <n v="3319"/>
    <n v="3855"/>
    <n v="17.850000000000001"/>
    <n v="18.792428000000001"/>
    <n v="87"/>
    <n v="13.499964"/>
    <x v="1"/>
    <x v="0"/>
    <x v="0"/>
    <s v="May"/>
    <s v="Wednesday"/>
  </r>
  <r>
    <n v="139"/>
    <x v="138"/>
    <n v="2"/>
    <n v="0"/>
    <n v="5"/>
    <n v="0"/>
    <n v="4"/>
    <x v="1"/>
    <x v="0"/>
    <n v="0.530833"/>
    <n v="0.51074200000000003"/>
    <n v="0.82958299999999996"/>
    <n v="0.108213"/>
    <n v="735"/>
    <n v="3840"/>
    <n v="4575"/>
    <n v="16.949151000000001"/>
    <n v="17.708972000000003"/>
    <n v="82.958299999999994"/>
    <n v="7.2502710000000006"/>
    <x v="1"/>
    <x v="0"/>
    <x v="0"/>
    <s v="May"/>
    <s v="Thursday"/>
  </r>
  <r>
    <n v="140"/>
    <x v="139"/>
    <n v="2"/>
    <n v="0"/>
    <n v="5"/>
    <n v="0"/>
    <n v="5"/>
    <x v="1"/>
    <x v="1"/>
    <n v="0.53666700000000001"/>
    <n v="0.52904200000000001"/>
    <n v="0.71958299999999997"/>
    <n v="0.12501300000000001"/>
    <n v="909"/>
    <n v="4008"/>
    <n v="4917"/>
    <n v="17.223348999999999"/>
    <n v="18.916772000000002"/>
    <n v="71.958299999999994"/>
    <n v="8.3758710000000001"/>
    <x v="1"/>
    <x v="0"/>
    <x v="1"/>
    <s v="May"/>
    <s v="Friday"/>
  </r>
  <r>
    <n v="141"/>
    <x v="140"/>
    <n v="2"/>
    <n v="0"/>
    <n v="5"/>
    <n v="0"/>
    <n v="6"/>
    <x v="0"/>
    <x v="1"/>
    <n v="0.60250000000000004"/>
    <n v="0.57197500000000001"/>
    <n v="0.62666699999999997"/>
    <n v="0.12064999999999999"/>
    <n v="2258"/>
    <n v="3547"/>
    <n v="5805"/>
    <n v="20.317500000000003"/>
    <n v="21.750349999999997"/>
    <n v="62.666699999999999"/>
    <n v="8.0835499999999989"/>
    <x v="1"/>
    <x v="0"/>
    <x v="1"/>
    <s v="May"/>
    <s v="Saturday"/>
  </r>
  <r>
    <n v="142"/>
    <x v="141"/>
    <n v="2"/>
    <n v="0"/>
    <n v="5"/>
    <n v="0"/>
    <n v="0"/>
    <x v="0"/>
    <x v="1"/>
    <n v="0.60416700000000001"/>
    <n v="0.57450000000000001"/>
    <n v="0.749583"/>
    <n v="0.148008"/>
    <n v="1576"/>
    <n v="3084"/>
    <n v="4660"/>
    <n v="20.395849000000002"/>
    <n v="21.917000000000002"/>
    <n v="74.958299999999994"/>
    <n v="9.9165360000000007"/>
    <x v="1"/>
    <x v="0"/>
    <x v="1"/>
    <s v="May"/>
    <s v="Sunday"/>
  </r>
  <r>
    <n v="143"/>
    <x v="142"/>
    <n v="2"/>
    <n v="0"/>
    <n v="5"/>
    <n v="0"/>
    <n v="1"/>
    <x v="1"/>
    <x v="0"/>
    <n v="0.63166699999999998"/>
    <n v="0.59029600000000004"/>
    <n v="0.81"/>
    <n v="0.23384199999999999"/>
    <n v="836"/>
    <n v="3438"/>
    <n v="4274"/>
    <n v="21.688348999999999"/>
    <n v="22.959536"/>
    <n v="81"/>
    <n v="15.667413999999999"/>
    <x v="1"/>
    <x v="0"/>
    <x v="0"/>
    <s v="May"/>
    <s v="Monday"/>
  </r>
  <r>
    <n v="144"/>
    <x v="143"/>
    <n v="2"/>
    <n v="0"/>
    <n v="5"/>
    <n v="0"/>
    <n v="2"/>
    <x v="1"/>
    <x v="0"/>
    <n v="0.66"/>
    <n v="0.60481300000000005"/>
    <n v="0.74083299999999996"/>
    <n v="0.207092"/>
    <n v="659"/>
    <n v="3833"/>
    <n v="4492"/>
    <n v="23.020000000000003"/>
    <n v="23.917658000000003"/>
    <n v="74.083299999999994"/>
    <n v="13.875164"/>
    <x v="1"/>
    <x v="0"/>
    <x v="0"/>
    <s v="May"/>
    <s v="Tuesday"/>
  </r>
  <r>
    <n v="145"/>
    <x v="144"/>
    <n v="2"/>
    <n v="0"/>
    <n v="5"/>
    <n v="0"/>
    <n v="3"/>
    <x v="1"/>
    <x v="1"/>
    <n v="0.660833"/>
    <n v="0.61554200000000003"/>
    <n v="0.69625000000000004"/>
    <n v="0.15423300000000001"/>
    <n v="740"/>
    <n v="4238"/>
    <n v="4978"/>
    <n v="23.059151"/>
    <n v="24.625772000000005"/>
    <n v="69.625"/>
    <n v="10.333611000000001"/>
    <x v="1"/>
    <x v="0"/>
    <x v="1"/>
    <s v="May"/>
    <s v="Wednesday"/>
  </r>
  <r>
    <n v="146"/>
    <x v="145"/>
    <n v="2"/>
    <n v="0"/>
    <n v="5"/>
    <n v="0"/>
    <n v="4"/>
    <x v="1"/>
    <x v="1"/>
    <n v="0.70833299999999999"/>
    <n v="0.65468800000000005"/>
    <n v="0.67749999999999999"/>
    <n v="0.19964199999999999"/>
    <n v="758"/>
    <n v="3919"/>
    <n v="4677"/>
    <n v="25.291651000000002"/>
    <n v="27.209408000000003"/>
    <n v="67.75"/>
    <n v="13.376014"/>
    <x v="1"/>
    <x v="0"/>
    <x v="1"/>
    <s v="May"/>
    <s v="Thursday"/>
  </r>
  <r>
    <n v="147"/>
    <x v="146"/>
    <n v="2"/>
    <n v="0"/>
    <n v="5"/>
    <n v="0"/>
    <n v="5"/>
    <x v="1"/>
    <x v="1"/>
    <n v="0.68166700000000002"/>
    <n v="0.63700800000000002"/>
    <n v="0.65375000000000005"/>
    <n v="0.240679"/>
    <n v="871"/>
    <n v="3808"/>
    <n v="4679"/>
    <n v="24.038349000000004"/>
    <n v="26.042528000000004"/>
    <n v="65.375"/>
    <n v="16.125492999999999"/>
    <x v="1"/>
    <x v="0"/>
    <x v="1"/>
    <s v="May"/>
    <s v="Friday"/>
  </r>
  <r>
    <n v="148"/>
    <x v="147"/>
    <n v="2"/>
    <n v="0"/>
    <n v="5"/>
    <n v="0"/>
    <n v="6"/>
    <x v="0"/>
    <x v="1"/>
    <n v="0.655833"/>
    <n v="0.61237900000000001"/>
    <n v="0.72958299999999998"/>
    <n v="0.23009199999999999"/>
    <n v="2001"/>
    <n v="2757"/>
    <n v="4758"/>
    <n v="22.824151000000001"/>
    <n v="24.417014000000002"/>
    <n v="72.958299999999994"/>
    <n v="15.416164"/>
    <x v="1"/>
    <x v="0"/>
    <x v="1"/>
    <s v="May"/>
    <s v="Saturday"/>
  </r>
  <r>
    <n v="149"/>
    <x v="148"/>
    <n v="2"/>
    <n v="0"/>
    <n v="5"/>
    <n v="0"/>
    <n v="0"/>
    <x v="0"/>
    <x v="1"/>
    <n v="0.66749999999999998"/>
    <n v="0.61555000000000004"/>
    <n v="0.81874999999999998"/>
    <n v="0.21393799999999999"/>
    <n v="2355"/>
    <n v="2433"/>
    <n v="4788"/>
    <n v="23.372499999999999"/>
    <n v="24.626300000000001"/>
    <n v="81.875"/>
    <n v="14.333845999999999"/>
    <x v="1"/>
    <x v="0"/>
    <x v="1"/>
    <s v="May"/>
    <s v="Sunday"/>
  </r>
  <r>
    <n v="150"/>
    <x v="149"/>
    <n v="2"/>
    <n v="0"/>
    <n v="5"/>
    <n v="1"/>
    <n v="1"/>
    <x v="0"/>
    <x v="1"/>
    <n v="0.73333300000000001"/>
    <n v="0.67109200000000002"/>
    <n v="0.68500000000000005"/>
    <n v="0.13122500000000001"/>
    <n v="1549"/>
    <n v="2549"/>
    <n v="4098"/>
    <n v="26.466650999999999"/>
    <n v="28.292072000000005"/>
    <n v="68.5"/>
    <n v="8.7920750000000005"/>
    <x v="1"/>
    <x v="0"/>
    <x v="1"/>
    <s v="May"/>
    <s v="Monday"/>
  </r>
  <r>
    <n v="151"/>
    <x v="150"/>
    <n v="2"/>
    <n v="0"/>
    <n v="5"/>
    <n v="0"/>
    <n v="2"/>
    <x v="1"/>
    <x v="1"/>
    <n v="0.77500000000000002"/>
    <n v="0.725383"/>
    <n v="0.63666699999999998"/>
    <n v="0.111329"/>
    <n v="673"/>
    <n v="3309"/>
    <n v="3982"/>
    <n v="28.425000000000004"/>
    <n v="31.875278000000002"/>
    <n v="63.666699999999999"/>
    <n v="7.4590429999999994"/>
    <x v="1"/>
    <x v="0"/>
    <x v="1"/>
    <s v="May"/>
    <s v="Tuesday"/>
  </r>
  <r>
    <n v="152"/>
    <x v="151"/>
    <n v="2"/>
    <n v="0"/>
    <n v="6"/>
    <n v="0"/>
    <n v="3"/>
    <x v="1"/>
    <x v="0"/>
    <n v="0.76416700000000004"/>
    <n v="0.72096700000000002"/>
    <n v="0.67708299999999999"/>
    <n v="0.207092"/>
    <n v="513"/>
    <n v="3461"/>
    <n v="3974"/>
    <n v="27.915849000000001"/>
    <n v="31.583822000000005"/>
    <n v="67.708299999999994"/>
    <n v="13.875164"/>
    <x v="1"/>
    <x v="0"/>
    <x v="0"/>
    <s v="June"/>
    <s v="Wednesday"/>
  </r>
  <r>
    <n v="153"/>
    <x v="152"/>
    <n v="2"/>
    <n v="0"/>
    <n v="6"/>
    <n v="0"/>
    <n v="4"/>
    <x v="1"/>
    <x v="1"/>
    <n v="0.71499999999999997"/>
    <n v="0.64394200000000001"/>
    <n v="0.30499999999999999"/>
    <n v="0.29228700000000002"/>
    <n v="736"/>
    <n v="4232"/>
    <n v="4968"/>
    <n v="25.604999999999997"/>
    <n v="26.500171999999999"/>
    <n v="30.5"/>
    <n v="19.583229000000003"/>
    <x v="1"/>
    <x v="0"/>
    <x v="1"/>
    <s v="June"/>
    <s v="Thursday"/>
  </r>
  <r>
    <n v="154"/>
    <x v="153"/>
    <n v="2"/>
    <n v="0"/>
    <n v="6"/>
    <n v="0"/>
    <n v="5"/>
    <x v="1"/>
    <x v="1"/>
    <n v="0.62"/>
    <n v="0.58713300000000002"/>
    <n v="0.35416700000000001"/>
    <n v="0.25312099999999998"/>
    <n v="898"/>
    <n v="4414"/>
    <n v="5312"/>
    <n v="21.14"/>
    <n v="22.750778000000004"/>
    <n v="35.416699999999999"/>
    <n v="16.959106999999999"/>
    <x v="1"/>
    <x v="0"/>
    <x v="1"/>
    <s v="June"/>
    <s v="Friday"/>
  </r>
  <r>
    <n v="155"/>
    <x v="154"/>
    <n v="2"/>
    <n v="0"/>
    <n v="6"/>
    <n v="0"/>
    <n v="6"/>
    <x v="0"/>
    <x v="1"/>
    <n v="0.63500000000000001"/>
    <n v="0.594696"/>
    <n v="0.45624999999999999"/>
    <n v="0.123142"/>
    <n v="1869"/>
    <n v="3473"/>
    <n v="5342"/>
    <n v="21.844999999999999"/>
    <n v="23.249935999999998"/>
    <n v="45.625"/>
    <n v="8.2505140000000008"/>
    <x v="1"/>
    <x v="0"/>
    <x v="1"/>
    <s v="June"/>
    <s v="Saturday"/>
  </r>
  <r>
    <n v="156"/>
    <x v="155"/>
    <n v="2"/>
    <n v="0"/>
    <n v="6"/>
    <n v="0"/>
    <n v="0"/>
    <x v="0"/>
    <x v="0"/>
    <n v="0.64833300000000005"/>
    <n v="0.61680400000000002"/>
    <n v="0.65249999999999997"/>
    <n v="0.13869200000000001"/>
    <n v="1685"/>
    <n v="3221"/>
    <n v="4906"/>
    <n v="22.471651000000001"/>
    <n v="24.709063999999998"/>
    <n v="65.25"/>
    <n v="9.292364000000001"/>
    <x v="1"/>
    <x v="0"/>
    <x v="0"/>
    <s v="June"/>
    <s v="Sunday"/>
  </r>
  <r>
    <n v="157"/>
    <x v="156"/>
    <n v="2"/>
    <n v="0"/>
    <n v="6"/>
    <n v="0"/>
    <n v="1"/>
    <x v="1"/>
    <x v="1"/>
    <n v="0.67833299999999996"/>
    <n v="0.62185800000000002"/>
    <n v="0.6"/>
    <n v="0.121896"/>
    <n v="673"/>
    <n v="3875"/>
    <n v="4548"/>
    <n v="23.881650999999998"/>
    <n v="25.042628000000001"/>
    <n v="60"/>
    <n v="8.1670320000000007"/>
    <x v="1"/>
    <x v="0"/>
    <x v="1"/>
    <s v="June"/>
    <s v="Monday"/>
  </r>
  <r>
    <n v="158"/>
    <x v="157"/>
    <n v="2"/>
    <n v="0"/>
    <n v="6"/>
    <n v="0"/>
    <n v="2"/>
    <x v="1"/>
    <x v="1"/>
    <n v="0.70750000000000002"/>
    <n v="0.65595000000000003"/>
    <n v="0.59791700000000003"/>
    <n v="0.187808"/>
    <n v="763"/>
    <n v="4070"/>
    <n v="4833"/>
    <n v="25.252499999999998"/>
    <n v="27.292700000000004"/>
    <n v="59.791700000000006"/>
    <n v="12.583136"/>
    <x v="1"/>
    <x v="0"/>
    <x v="1"/>
    <s v="June"/>
    <s v="Tuesday"/>
  </r>
  <r>
    <n v="159"/>
    <x v="158"/>
    <n v="2"/>
    <n v="0"/>
    <n v="6"/>
    <n v="0"/>
    <n v="3"/>
    <x v="1"/>
    <x v="1"/>
    <n v="0.77583299999999999"/>
    <n v="0.72727900000000001"/>
    <n v="0.62208300000000005"/>
    <n v="0.13681699999999999"/>
    <n v="676"/>
    <n v="3725"/>
    <n v="4401"/>
    <n v="28.464151000000001"/>
    <n v="32.000413999999999"/>
    <n v="62.208300000000008"/>
    <n v="9.1667389999999997"/>
    <x v="1"/>
    <x v="0"/>
    <x v="1"/>
    <s v="June"/>
    <s v="Wednesday"/>
  </r>
  <r>
    <n v="160"/>
    <x v="159"/>
    <n v="2"/>
    <n v="0"/>
    <n v="6"/>
    <n v="0"/>
    <n v="4"/>
    <x v="1"/>
    <x v="0"/>
    <n v="0.80833299999999997"/>
    <n v="0.757579"/>
    <n v="0.56833299999999998"/>
    <n v="0.14988299999999999"/>
    <n v="563"/>
    <n v="3352"/>
    <n v="3915"/>
    <n v="29.991650999999997"/>
    <n v="34.000214"/>
    <n v="56.833299999999994"/>
    <n v="10.042161"/>
    <x v="1"/>
    <x v="0"/>
    <x v="0"/>
    <s v="June"/>
    <s v="Thursday"/>
  </r>
  <r>
    <n v="161"/>
    <x v="160"/>
    <n v="2"/>
    <n v="0"/>
    <n v="6"/>
    <n v="0"/>
    <n v="5"/>
    <x v="1"/>
    <x v="1"/>
    <n v="0.755"/>
    <n v="0.70329200000000003"/>
    <n v="0.60499999999999998"/>
    <n v="0.14055400000000001"/>
    <n v="815"/>
    <n v="3771"/>
    <n v="4586"/>
    <n v="27.484999999999999"/>
    <n v="30.417272000000004"/>
    <n v="60.5"/>
    <n v="9.4171180000000003"/>
    <x v="1"/>
    <x v="0"/>
    <x v="1"/>
    <s v="June"/>
    <s v="Friday"/>
  </r>
  <r>
    <n v="162"/>
    <x v="161"/>
    <n v="2"/>
    <n v="0"/>
    <n v="6"/>
    <n v="0"/>
    <n v="6"/>
    <x v="0"/>
    <x v="1"/>
    <n v="0.72499999999999998"/>
    <n v="0.67803800000000003"/>
    <n v="0.65458300000000003"/>
    <n v="0.15484999999999999"/>
    <n v="1729"/>
    <n v="3237"/>
    <n v="4966"/>
    <n v="26.074999999999996"/>
    <n v="28.750508000000004"/>
    <n v="65.458300000000008"/>
    <n v="10.374949999999998"/>
    <x v="1"/>
    <x v="0"/>
    <x v="1"/>
    <s v="June"/>
    <s v="Saturday"/>
  </r>
  <r>
    <n v="163"/>
    <x v="162"/>
    <n v="2"/>
    <n v="0"/>
    <n v="6"/>
    <n v="0"/>
    <n v="0"/>
    <x v="0"/>
    <x v="1"/>
    <n v="0.6925"/>
    <n v="0.64332500000000004"/>
    <n v="0.74791700000000005"/>
    <n v="0.16356699999999999"/>
    <n v="1467"/>
    <n v="2993"/>
    <n v="4460"/>
    <n v="24.547499999999999"/>
    <n v="26.459450000000004"/>
    <n v="74.791700000000006"/>
    <n v="10.958988999999999"/>
    <x v="1"/>
    <x v="0"/>
    <x v="1"/>
    <s v="June"/>
    <s v="Sunday"/>
  </r>
  <r>
    <n v="164"/>
    <x v="163"/>
    <n v="2"/>
    <n v="0"/>
    <n v="6"/>
    <n v="0"/>
    <n v="1"/>
    <x v="1"/>
    <x v="1"/>
    <n v="0.63500000000000001"/>
    <n v="0.60165400000000002"/>
    <n v="0.49458299999999999"/>
    <n v="0.30535000000000001"/>
    <n v="863"/>
    <n v="4157"/>
    <n v="5020"/>
    <n v="21.844999999999999"/>
    <n v="23.709164000000001"/>
    <n v="49.458300000000001"/>
    <n v="20.458449999999999"/>
    <x v="1"/>
    <x v="0"/>
    <x v="1"/>
    <s v="June"/>
    <s v="Monday"/>
  </r>
  <r>
    <n v="165"/>
    <x v="164"/>
    <n v="2"/>
    <n v="0"/>
    <n v="6"/>
    <n v="0"/>
    <n v="2"/>
    <x v="1"/>
    <x v="1"/>
    <n v="0.60416700000000001"/>
    <n v="0.59154600000000002"/>
    <n v="0.50708299999999995"/>
    <n v="0.26928299999999999"/>
    <n v="727"/>
    <n v="4164"/>
    <n v="4891"/>
    <n v="20.395849000000002"/>
    <n v="23.042036000000003"/>
    <n v="50.708299999999994"/>
    <n v="18.041961000000001"/>
    <x v="1"/>
    <x v="0"/>
    <x v="1"/>
    <s v="June"/>
    <s v="Tuesday"/>
  </r>
  <r>
    <n v="166"/>
    <x v="165"/>
    <n v="2"/>
    <n v="0"/>
    <n v="6"/>
    <n v="0"/>
    <n v="3"/>
    <x v="1"/>
    <x v="1"/>
    <n v="0.62666699999999997"/>
    <n v="0.587754"/>
    <n v="0.471667"/>
    <n v="0.16791200000000001"/>
    <n v="769"/>
    <n v="4411"/>
    <n v="5180"/>
    <n v="21.453348999999999"/>
    <n v="22.791764000000001"/>
    <n v="47.166699999999999"/>
    <n v="11.250104"/>
    <x v="1"/>
    <x v="0"/>
    <x v="1"/>
    <s v="June"/>
    <s v="Wednesday"/>
  </r>
  <r>
    <n v="167"/>
    <x v="166"/>
    <n v="2"/>
    <n v="0"/>
    <n v="6"/>
    <n v="0"/>
    <n v="4"/>
    <x v="1"/>
    <x v="0"/>
    <n v="0.62833300000000003"/>
    <n v="0.59534600000000004"/>
    <n v="0.68833299999999997"/>
    <n v="0.20647099999999999"/>
    <n v="545"/>
    <n v="3222"/>
    <n v="3767"/>
    <n v="21.531651"/>
    <n v="23.292836000000001"/>
    <n v="68.833299999999994"/>
    <n v="13.833556999999999"/>
    <x v="1"/>
    <x v="0"/>
    <x v="0"/>
    <s v="June"/>
    <s v="Thursday"/>
  </r>
  <r>
    <n v="168"/>
    <x v="167"/>
    <n v="2"/>
    <n v="0"/>
    <n v="6"/>
    <n v="0"/>
    <n v="5"/>
    <x v="1"/>
    <x v="1"/>
    <n v="0.64916700000000005"/>
    <n v="0.600383"/>
    <n v="0.73583299999999996"/>
    <n v="0.14302899999999999"/>
    <n v="863"/>
    <n v="3981"/>
    <n v="4844"/>
    <n v="22.510849000000004"/>
    <n v="23.625278000000002"/>
    <n v="73.583299999999994"/>
    <n v="9.5829429999999984"/>
    <x v="1"/>
    <x v="0"/>
    <x v="1"/>
    <s v="June"/>
    <s v="Friday"/>
  </r>
  <r>
    <n v="169"/>
    <x v="168"/>
    <n v="2"/>
    <n v="0"/>
    <n v="6"/>
    <n v="0"/>
    <n v="6"/>
    <x v="0"/>
    <x v="1"/>
    <n v="0.69666700000000004"/>
    <n v="0.64395400000000003"/>
    <n v="0.67041700000000004"/>
    <n v="0.119408"/>
    <n v="1807"/>
    <n v="3312"/>
    <n v="5119"/>
    <n v="24.743349000000002"/>
    <n v="26.500964000000003"/>
    <n v="67.041700000000006"/>
    <n v="8.0003360000000008"/>
    <x v="1"/>
    <x v="0"/>
    <x v="1"/>
    <s v="June"/>
    <s v="Saturday"/>
  </r>
  <r>
    <n v="170"/>
    <x v="169"/>
    <n v="2"/>
    <n v="0"/>
    <n v="6"/>
    <n v="0"/>
    <n v="0"/>
    <x v="0"/>
    <x v="0"/>
    <n v="0.69916699999999998"/>
    <n v="0.64584600000000003"/>
    <n v="0.66666700000000001"/>
    <n v="0.10199999999999999"/>
    <n v="1639"/>
    <n v="3105"/>
    <n v="4744"/>
    <n v="24.860849000000002"/>
    <n v="26.625836"/>
    <n v="66.666700000000006"/>
    <n v="6.8339999999999996"/>
    <x v="1"/>
    <x v="0"/>
    <x v="0"/>
    <s v="June"/>
    <s v="Sunday"/>
  </r>
  <r>
    <n v="171"/>
    <x v="170"/>
    <n v="2"/>
    <n v="0"/>
    <n v="6"/>
    <n v="0"/>
    <n v="1"/>
    <x v="1"/>
    <x v="0"/>
    <n v="0.63500000000000001"/>
    <n v="0.59534600000000004"/>
    <n v="0.74624999999999997"/>
    <n v="0.155475"/>
    <n v="699"/>
    <n v="3311"/>
    <n v="4010"/>
    <n v="21.844999999999999"/>
    <n v="23.292836000000001"/>
    <n v="74.625"/>
    <n v="10.416824999999999"/>
    <x v="1"/>
    <x v="0"/>
    <x v="0"/>
    <s v="June"/>
    <s v="Monday"/>
  </r>
  <r>
    <n v="172"/>
    <x v="171"/>
    <n v="3"/>
    <n v="0"/>
    <n v="6"/>
    <n v="0"/>
    <n v="2"/>
    <x v="1"/>
    <x v="0"/>
    <n v="0.68083300000000002"/>
    <n v="0.63764600000000005"/>
    <n v="0.77041700000000002"/>
    <n v="0.17102500000000001"/>
    <n v="774"/>
    <n v="4061"/>
    <n v="4835"/>
    <n v="23.999151000000001"/>
    <n v="26.084636000000003"/>
    <n v="77.041700000000006"/>
    <n v="11.458675000000001"/>
    <x v="2"/>
    <x v="0"/>
    <x v="0"/>
    <s v="June"/>
    <s v="Tuesday"/>
  </r>
  <r>
    <n v="173"/>
    <x v="172"/>
    <n v="3"/>
    <n v="0"/>
    <n v="6"/>
    <n v="0"/>
    <n v="3"/>
    <x v="1"/>
    <x v="1"/>
    <n v="0.73333300000000001"/>
    <n v="0.69382900000000003"/>
    <n v="0.70750000000000002"/>
    <n v="0.172262"/>
    <n v="661"/>
    <n v="3846"/>
    <n v="4507"/>
    <n v="26.466650999999999"/>
    <n v="29.792714000000004"/>
    <n v="70.75"/>
    <n v="11.541554"/>
    <x v="2"/>
    <x v="0"/>
    <x v="1"/>
    <s v="June"/>
    <s v="Wednesday"/>
  </r>
  <r>
    <n v="174"/>
    <x v="173"/>
    <n v="3"/>
    <n v="0"/>
    <n v="6"/>
    <n v="0"/>
    <n v="4"/>
    <x v="1"/>
    <x v="0"/>
    <n v="0.72833300000000001"/>
    <n v="0.69383300000000003"/>
    <n v="0.70333299999999999"/>
    <n v="0.23880399999999999"/>
    <n v="746"/>
    <n v="4044"/>
    <n v="4790"/>
    <n v="26.231650999999999"/>
    <n v="29.792978000000005"/>
    <n v="70.333299999999994"/>
    <n v="15.999867999999999"/>
    <x v="2"/>
    <x v="0"/>
    <x v="0"/>
    <s v="June"/>
    <s v="Thursday"/>
  </r>
  <r>
    <n v="175"/>
    <x v="174"/>
    <n v="3"/>
    <n v="0"/>
    <n v="6"/>
    <n v="0"/>
    <n v="5"/>
    <x v="1"/>
    <x v="1"/>
    <n v="0.72416700000000001"/>
    <n v="0.65658300000000003"/>
    <n v="0.57333299999999998"/>
    <n v="0.222025"/>
    <n v="969"/>
    <n v="4022"/>
    <n v="4991"/>
    <n v="26.035848999999999"/>
    <n v="27.334478000000004"/>
    <n v="57.333300000000001"/>
    <n v="14.875674999999999"/>
    <x v="2"/>
    <x v="0"/>
    <x v="1"/>
    <s v="June"/>
    <s v="Friday"/>
  </r>
  <r>
    <n v="176"/>
    <x v="175"/>
    <n v="3"/>
    <n v="0"/>
    <n v="6"/>
    <n v="0"/>
    <n v="6"/>
    <x v="0"/>
    <x v="1"/>
    <n v="0.69499999999999995"/>
    <n v="0.64331300000000002"/>
    <n v="0.48333300000000001"/>
    <n v="0.20957100000000001"/>
    <n v="1782"/>
    <n v="3420"/>
    <n v="5202"/>
    <n v="24.664999999999999"/>
    <n v="26.458658"/>
    <n v="48.333300000000001"/>
    <n v="14.041257"/>
    <x v="2"/>
    <x v="0"/>
    <x v="1"/>
    <s v="June"/>
    <s v="Saturday"/>
  </r>
  <r>
    <n v="177"/>
    <x v="176"/>
    <n v="3"/>
    <n v="0"/>
    <n v="6"/>
    <n v="0"/>
    <n v="0"/>
    <x v="0"/>
    <x v="1"/>
    <n v="0.68"/>
    <n v="0.637629"/>
    <n v="0.51333300000000004"/>
    <n v="9.4533300000000001E-2"/>
    <n v="1920"/>
    <n v="3385"/>
    <n v="5305"/>
    <n v="23.96"/>
    <n v="26.083514000000001"/>
    <n v="51.333300000000001"/>
    <n v="6.3337310999999996"/>
    <x v="2"/>
    <x v="0"/>
    <x v="1"/>
    <s v="June"/>
    <s v="Sunday"/>
  </r>
  <r>
    <n v="178"/>
    <x v="177"/>
    <n v="3"/>
    <n v="0"/>
    <n v="6"/>
    <n v="0"/>
    <n v="1"/>
    <x v="1"/>
    <x v="0"/>
    <n v="0.6825"/>
    <n v="0.63700400000000001"/>
    <n v="0.65833299999999995"/>
    <n v="0.107588"/>
    <n v="854"/>
    <n v="3854"/>
    <n v="4708"/>
    <n v="24.077500000000001"/>
    <n v="26.042264000000003"/>
    <n v="65.833299999999994"/>
    <n v="7.2083960000000005"/>
    <x v="2"/>
    <x v="0"/>
    <x v="0"/>
    <s v="June"/>
    <s v="Monday"/>
  </r>
  <r>
    <n v="179"/>
    <x v="178"/>
    <n v="3"/>
    <n v="0"/>
    <n v="6"/>
    <n v="0"/>
    <n v="2"/>
    <x v="1"/>
    <x v="1"/>
    <n v="0.74416700000000002"/>
    <n v="0.69255800000000001"/>
    <n v="0.63416700000000004"/>
    <n v="0.14428299999999999"/>
    <n v="732"/>
    <n v="3916"/>
    <n v="4648"/>
    <n v="26.975849000000004"/>
    <n v="29.708827999999997"/>
    <n v="63.416700000000006"/>
    <n v="9.6669609999999988"/>
    <x v="2"/>
    <x v="0"/>
    <x v="1"/>
    <s v="June"/>
    <s v="Tuesday"/>
  </r>
  <r>
    <n v="180"/>
    <x v="179"/>
    <n v="3"/>
    <n v="0"/>
    <n v="6"/>
    <n v="0"/>
    <n v="3"/>
    <x v="1"/>
    <x v="1"/>
    <n v="0.72833300000000001"/>
    <n v="0.65468800000000005"/>
    <n v="0.497917"/>
    <n v="0.26182100000000003"/>
    <n v="848"/>
    <n v="4377"/>
    <n v="5225"/>
    <n v="26.231650999999999"/>
    <n v="27.209408000000003"/>
    <n v="49.791699999999999"/>
    <n v="17.542007000000002"/>
    <x v="2"/>
    <x v="0"/>
    <x v="1"/>
    <s v="June"/>
    <s v="Wednesday"/>
  </r>
  <r>
    <n v="181"/>
    <x v="180"/>
    <n v="3"/>
    <n v="0"/>
    <n v="6"/>
    <n v="0"/>
    <n v="4"/>
    <x v="1"/>
    <x v="1"/>
    <n v="0.69666700000000004"/>
    <n v="0.63700800000000002"/>
    <n v="0.43416700000000003"/>
    <n v="0.185312"/>
    <n v="1027"/>
    <n v="4488"/>
    <n v="5515"/>
    <n v="24.743349000000002"/>
    <n v="26.042528000000004"/>
    <n v="43.416700000000006"/>
    <n v="12.415904000000001"/>
    <x v="2"/>
    <x v="0"/>
    <x v="1"/>
    <s v="June"/>
    <s v="Thursday"/>
  </r>
  <r>
    <n v="182"/>
    <x v="181"/>
    <n v="3"/>
    <n v="0"/>
    <n v="7"/>
    <n v="0"/>
    <n v="5"/>
    <x v="1"/>
    <x v="1"/>
    <n v="0.72250000000000003"/>
    <n v="0.65216200000000002"/>
    <n v="0.39624999999999999"/>
    <n v="0.102608"/>
    <n v="1246"/>
    <n v="4116"/>
    <n v="5362"/>
    <n v="25.957500000000003"/>
    <n v="27.042692000000002"/>
    <n v="39.625"/>
    <n v="6.8747360000000004"/>
    <x v="2"/>
    <x v="0"/>
    <x v="1"/>
    <s v="July"/>
    <s v="Friday"/>
  </r>
  <r>
    <n v="183"/>
    <x v="182"/>
    <n v="3"/>
    <n v="0"/>
    <n v="7"/>
    <n v="0"/>
    <n v="6"/>
    <x v="0"/>
    <x v="1"/>
    <n v="0.73833300000000002"/>
    <n v="0.66730800000000001"/>
    <n v="0.44458300000000001"/>
    <n v="0.115062"/>
    <n v="2204"/>
    <n v="2915"/>
    <n v="5119"/>
    <n v="26.701650999999998"/>
    <n v="28.042327999999998"/>
    <n v="44.458300000000001"/>
    <n v="7.7091539999999998"/>
    <x v="2"/>
    <x v="0"/>
    <x v="1"/>
    <s v="July"/>
    <s v="Saturday"/>
  </r>
  <r>
    <n v="184"/>
    <x v="183"/>
    <n v="3"/>
    <n v="0"/>
    <n v="7"/>
    <n v="0"/>
    <n v="0"/>
    <x v="0"/>
    <x v="0"/>
    <n v="0.71666700000000005"/>
    <n v="0.66857500000000003"/>
    <n v="0.6825"/>
    <n v="0.22885800000000001"/>
    <n v="2282"/>
    <n v="2367"/>
    <n v="4649"/>
    <n v="25.683349"/>
    <n v="28.125950000000003"/>
    <n v="68.25"/>
    <n v="15.333486000000001"/>
    <x v="2"/>
    <x v="0"/>
    <x v="0"/>
    <s v="July"/>
    <s v="Sunday"/>
  </r>
  <r>
    <n v="185"/>
    <x v="184"/>
    <n v="3"/>
    <n v="0"/>
    <n v="7"/>
    <n v="1"/>
    <n v="1"/>
    <x v="0"/>
    <x v="0"/>
    <n v="0.72666699999999995"/>
    <n v="0.66541700000000004"/>
    <n v="0.63791699999999996"/>
    <n v="8.1479200000000002E-2"/>
    <n v="3065"/>
    <n v="2978"/>
    <n v="6043"/>
    <n v="26.153348999999999"/>
    <n v="27.917522000000005"/>
    <n v="63.791699999999999"/>
    <n v="5.4591064000000005"/>
    <x v="2"/>
    <x v="0"/>
    <x v="0"/>
    <s v="July"/>
    <s v="Monday"/>
  </r>
  <r>
    <n v="186"/>
    <x v="185"/>
    <n v="3"/>
    <n v="0"/>
    <n v="7"/>
    <n v="0"/>
    <n v="2"/>
    <x v="1"/>
    <x v="1"/>
    <n v="0.74666699999999997"/>
    <n v="0.69633800000000001"/>
    <n v="0.59041699999999997"/>
    <n v="0.12625800000000001"/>
    <n v="1031"/>
    <n v="3634"/>
    <n v="4665"/>
    <n v="27.093348999999996"/>
    <n v="29.958308000000002"/>
    <n v="59.041699999999999"/>
    <n v="8.4592860000000005"/>
    <x v="2"/>
    <x v="0"/>
    <x v="1"/>
    <s v="July"/>
    <s v="Tuesday"/>
  </r>
  <r>
    <n v="187"/>
    <x v="186"/>
    <n v="3"/>
    <n v="0"/>
    <n v="7"/>
    <n v="0"/>
    <n v="3"/>
    <x v="1"/>
    <x v="1"/>
    <n v="0.72"/>
    <n v="0.68563300000000005"/>
    <n v="0.74333300000000002"/>
    <n v="0.14988299999999999"/>
    <n v="784"/>
    <n v="3845"/>
    <n v="4629"/>
    <n v="25.839999999999996"/>
    <n v="29.251778000000002"/>
    <n v="74.333300000000008"/>
    <n v="10.042161"/>
    <x v="2"/>
    <x v="0"/>
    <x v="1"/>
    <s v="July"/>
    <s v="Wednesday"/>
  </r>
  <r>
    <n v="188"/>
    <x v="187"/>
    <n v="3"/>
    <n v="0"/>
    <n v="7"/>
    <n v="0"/>
    <n v="4"/>
    <x v="1"/>
    <x v="1"/>
    <n v="0.75"/>
    <n v="0.68687100000000001"/>
    <n v="0.65125"/>
    <n v="0.15920000000000001"/>
    <n v="754"/>
    <n v="3838"/>
    <n v="4592"/>
    <n v="27.25"/>
    <n v="29.333486000000001"/>
    <n v="65.125"/>
    <n v="10.666400000000001"/>
    <x v="2"/>
    <x v="0"/>
    <x v="1"/>
    <s v="July"/>
    <s v="Thursday"/>
  </r>
  <r>
    <n v="189"/>
    <x v="188"/>
    <n v="3"/>
    <n v="0"/>
    <n v="7"/>
    <n v="0"/>
    <n v="5"/>
    <x v="1"/>
    <x v="0"/>
    <n v="0.70916699999999999"/>
    <n v="0.67048300000000005"/>
    <n v="0.75791699999999995"/>
    <n v="0.225129"/>
    <n v="692"/>
    <n v="3348"/>
    <n v="4040"/>
    <n v="25.330849000000001"/>
    <n v="28.251878000000005"/>
    <n v="75.791699999999992"/>
    <n v="15.083643"/>
    <x v="2"/>
    <x v="0"/>
    <x v="0"/>
    <s v="July"/>
    <s v="Friday"/>
  </r>
  <r>
    <n v="190"/>
    <x v="189"/>
    <n v="3"/>
    <n v="0"/>
    <n v="7"/>
    <n v="0"/>
    <n v="6"/>
    <x v="0"/>
    <x v="1"/>
    <n v="0.73333300000000001"/>
    <n v="0.66415800000000003"/>
    <n v="0.60916700000000001"/>
    <n v="0.16791200000000001"/>
    <n v="1988"/>
    <n v="3348"/>
    <n v="5336"/>
    <n v="26.466650999999999"/>
    <n v="27.834428000000003"/>
    <n v="60.916699999999999"/>
    <n v="11.250104"/>
    <x v="2"/>
    <x v="0"/>
    <x v="1"/>
    <s v="July"/>
    <s v="Saturday"/>
  </r>
  <r>
    <n v="191"/>
    <x v="190"/>
    <n v="3"/>
    <n v="0"/>
    <n v="7"/>
    <n v="0"/>
    <n v="0"/>
    <x v="0"/>
    <x v="1"/>
    <n v="0.74750000000000005"/>
    <n v="0.690025"/>
    <n v="0.57833299999999999"/>
    <n v="0.183471"/>
    <n v="1743"/>
    <n v="3138"/>
    <n v="4881"/>
    <n v="27.1325"/>
    <n v="29.541649999999997"/>
    <n v="57.833300000000001"/>
    <n v="12.292557"/>
    <x v="2"/>
    <x v="0"/>
    <x v="1"/>
    <s v="July"/>
    <s v="Sunday"/>
  </r>
  <r>
    <n v="192"/>
    <x v="191"/>
    <n v="3"/>
    <n v="0"/>
    <n v="7"/>
    <n v="0"/>
    <n v="1"/>
    <x v="1"/>
    <x v="1"/>
    <n v="0.76249999999999996"/>
    <n v="0.72980400000000001"/>
    <n v="0.63583299999999998"/>
    <n v="0.282337"/>
    <n v="723"/>
    <n v="3363"/>
    <n v="4086"/>
    <n v="27.837499999999999"/>
    <n v="32.167064000000003"/>
    <n v="63.583300000000001"/>
    <n v="18.916578999999999"/>
    <x v="2"/>
    <x v="0"/>
    <x v="1"/>
    <s v="July"/>
    <s v="Monday"/>
  </r>
  <r>
    <n v="193"/>
    <x v="192"/>
    <n v="3"/>
    <n v="0"/>
    <n v="7"/>
    <n v="0"/>
    <n v="2"/>
    <x v="1"/>
    <x v="1"/>
    <n v="0.79416699999999996"/>
    <n v="0.73927500000000002"/>
    <n v="0.55916699999999997"/>
    <n v="0.20025399999999999"/>
    <n v="662"/>
    <n v="3596"/>
    <n v="4258"/>
    <n v="29.325848999999998"/>
    <n v="32.792149999999999"/>
    <n v="55.916699999999999"/>
    <n v="13.417017999999999"/>
    <x v="2"/>
    <x v="0"/>
    <x v="1"/>
    <s v="July"/>
    <s v="Tuesday"/>
  </r>
  <r>
    <n v="194"/>
    <x v="193"/>
    <n v="3"/>
    <n v="0"/>
    <n v="7"/>
    <n v="0"/>
    <n v="3"/>
    <x v="1"/>
    <x v="1"/>
    <n v="0.74666699999999997"/>
    <n v="0.68940400000000002"/>
    <n v="0.63166699999999998"/>
    <n v="0.14613300000000001"/>
    <n v="748"/>
    <n v="3594"/>
    <n v="4342"/>
    <n v="27.093348999999996"/>
    <n v="29.500664"/>
    <n v="63.166699999999999"/>
    <n v="9.7909110000000013"/>
    <x v="2"/>
    <x v="0"/>
    <x v="1"/>
    <s v="July"/>
    <s v="Wednesday"/>
  </r>
  <r>
    <n v="195"/>
    <x v="194"/>
    <n v="3"/>
    <n v="0"/>
    <n v="7"/>
    <n v="0"/>
    <n v="4"/>
    <x v="1"/>
    <x v="1"/>
    <n v="0.68083300000000002"/>
    <n v="0.635104"/>
    <n v="0.47625000000000001"/>
    <n v="0.24066699999999999"/>
    <n v="888"/>
    <n v="4196"/>
    <n v="5084"/>
    <n v="23.999151000000001"/>
    <n v="25.916863999999997"/>
    <n v="47.625"/>
    <n v="16.124689"/>
    <x v="2"/>
    <x v="0"/>
    <x v="1"/>
    <s v="July"/>
    <s v="Thursday"/>
  </r>
  <r>
    <n v="196"/>
    <x v="195"/>
    <n v="3"/>
    <n v="0"/>
    <n v="7"/>
    <n v="0"/>
    <n v="5"/>
    <x v="1"/>
    <x v="1"/>
    <n v="0.66333299999999995"/>
    <n v="0.62437100000000001"/>
    <n v="0.59125000000000005"/>
    <n v="0.182833"/>
    <n v="1318"/>
    <n v="4220"/>
    <n v="5538"/>
    <n v="23.176650999999996"/>
    <n v="25.208486000000001"/>
    <n v="59.125000000000007"/>
    <n v="12.249810999999999"/>
    <x v="2"/>
    <x v="0"/>
    <x v="1"/>
    <s v="July"/>
    <s v="Friday"/>
  </r>
  <r>
    <n v="197"/>
    <x v="196"/>
    <n v="3"/>
    <n v="0"/>
    <n v="7"/>
    <n v="0"/>
    <n v="6"/>
    <x v="0"/>
    <x v="1"/>
    <n v="0.68666700000000003"/>
    <n v="0.63826300000000002"/>
    <n v="0.58499999999999996"/>
    <n v="0.208342"/>
    <n v="2418"/>
    <n v="3505"/>
    <n v="5923"/>
    <n v="24.273349000000003"/>
    <n v="26.125357999999999"/>
    <n v="58.5"/>
    <n v="13.958914"/>
    <x v="2"/>
    <x v="0"/>
    <x v="1"/>
    <s v="July"/>
    <s v="Saturday"/>
  </r>
  <r>
    <n v="198"/>
    <x v="197"/>
    <n v="3"/>
    <n v="0"/>
    <n v="7"/>
    <n v="0"/>
    <n v="0"/>
    <x v="0"/>
    <x v="1"/>
    <n v="0.719167"/>
    <n v="0.66983300000000001"/>
    <n v="0.60416700000000001"/>
    <n v="0.245033"/>
    <n v="2006"/>
    <n v="3296"/>
    <n v="5302"/>
    <n v="25.800848999999999"/>
    <n v="28.208978000000002"/>
    <n v="60.416699999999999"/>
    <n v="16.417211000000002"/>
    <x v="2"/>
    <x v="0"/>
    <x v="1"/>
    <s v="July"/>
    <s v="Sunday"/>
  </r>
  <r>
    <n v="199"/>
    <x v="198"/>
    <n v="3"/>
    <n v="0"/>
    <n v="7"/>
    <n v="0"/>
    <n v="1"/>
    <x v="1"/>
    <x v="1"/>
    <n v="0.74666699999999997"/>
    <n v="0.70392500000000002"/>
    <n v="0.65125"/>
    <n v="0.215804"/>
    <n v="841"/>
    <n v="3617"/>
    <n v="4458"/>
    <n v="27.093348999999996"/>
    <n v="30.459050000000005"/>
    <n v="65.125"/>
    <n v="14.458867999999999"/>
    <x v="2"/>
    <x v="0"/>
    <x v="1"/>
    <s v="July"/>
    <s v="Monday"/>
  </r>
  <r>
    <n v="200"/>
    <x v="199"/>
    <n v="3"/>
    <n v="0"/>
    <n v="7"/>
    <n v="0"/>
    <n v="2"/>
    <x v="1"/>
    <x v="1"/>
    <n v="0.776667"/>
    <n v="0.747479"/>
    <n v="0.65041700000000002"/>
    <n v="0.13059999999999999"/>
    <n v="752"/>
    <n v="3789"/>
    <n v="4541"/>
    <n v="28.503349"/>
    <n v="33.333613999999997"/>
    <n v="65.041700000000006"/>
    <n v="8.7501999999999995"/>
    <x v="2"/>
    <x v="0"/>
    <x v="1"/>
    <s v="July"/>
    <s v="Tuesday"/>
  </r>
  <r>
    <n v="201"/>
    <x v="200"/>
    <n v="3"/>
    <n v="0"/>
    <n v="7"/>
    <n v="0"/>
    <n v="3"/>
    <x v="1"/>
    <x v="1"/>
    <n v="0.76833300000000004"/>
    <n v="0.74685000000000001"/>
    <n v="0.70708300000000002"/>
    <n v="0.113817"/>
    <n v="644"/>
    <n v="3688"/>
    <n v="4332"/>
    <n v="28.111651000000002"/>
    <n v="33.292099999999998"/>
    <n v="70.708300000000008"/>
    <n v="7.6257390000000003"/>
    <x v="2"/>
    <x v="0"/>
    <x v="1"/>
    <s v="July"/>
    <s v="Wednesday"/>
  </r>
  <r>
    <n v="202"/>
    <x v="201"/>
    <n v="3"/>
    <n v="0"/>
    <n v="7"/>
    <n v="0"/>
    <n v="4"/>
    <x v="1"/>
    <x v="0"/>
    <n v="0.81499999999999995"/>
    <n v="0.82637099999999997"/>
    <n v="0.69125000000000003"/>
    <n v="0.222021"/>
    <n v="632"/>
    <n v="3152"/>
    <n v="3784"/>
    <n v="30.305"/>
    <n v="38.540486000000001"/>
    <n v="69.125"/>
    <n v="14.875406999999999"/>
    <x v="2"/>
    <x v="0"/>
    <x v="0"/>
    <s v="July"/>
    <s v="Thursday"/>
  </r>
  <r>
    <n v="203"/>
    <x v="202"/>
    <n v="3"/>
    <n v="0"/>
    <n v="7"/>
    <n v="0"/>
    <n v="5"/>
    <x v="1"/>
    <x v="1"/>
    <n v="0.848333"/>
    <n v="0.84089599999999998"/>
    <n v="0.58041699999999996"/>
    <n v="0.1331"/>
    <n v="562"/>
    <n v="2825"/>
    <n v="3387"/>
    <n v="31.871651"/>
    <n v="39.499136"/>
    <n v="58.041699999999999"/>
    <n v="8.9177"/>
    <x v="2"/>
    <x v="0"/>
    <x v="1"/>
    <s v="July"/>
    <s v="Friday"/>
  </r>
  <r>
    <n v="204"/>
    <x v="203"/>
    <n v="3"/>
    <n v="0"/>
    <n v="7"/>
    <n v="0"/>
    <n v="6"/>
    <x v="0"/>
    <x v="1"/>
    <n v="0.84916700000000001"/>
    <n v="0.80428699999999997"/>
    <n v="0.5"/>
    <n v="0.131221"/>
    <n v="987"/>
    <n v="2298"/>
    <n v="3285"/>
    <n v="31.910848999999999"/>
    <n v="37.082941999999996"/>
    <n v="50"/>
    <n v="8.7918070000000004"/>
    <x v="2"/>
    <x v="0"/>
    <x v="1"/>
    <s v="July"/>
    <s v="Saturday"/>
  </r>
  <r>
    <n v="205"/>
    <x v="204"/>
    <n v="3"/>
    <n v="0"/>
    <n v="7"/>
    <n v="0"/>
    <n v="0"/>
    <x v="0"/>
    <x v="1"/>
    <n v="0.83"/>
    <n v="0.79482900000000001"/>
    <n v="0.55083300000000002"/>
    <n v="0.16917099999999999"/>
    <n v="1050"/>
    <n v="2556"/>
    <n v="3606"/>
    <n v="31.009999999999998"/>
    <n v="36.458714000000001"/>
    <n v="55.083300000000001"/>
    <n v="11.334456999999999"/>
    <x v="2"/>
    <x v="0"/>
    <x v="1"/>
    <s v="July"/>
    <s v="Sunday"/>
  </r>
  <r>
    <n v="206"/>
    <x v="205"/>
    <n v="3"/>
    <n v="0"/>
    <n v="7"/>
    <n v="0"/>
    <n v="1"/>
    <x v="1"/>
    <x v="1"/>
    <n v="0.74333300000000002"/>
    <n v="0.72095799999999999"/>
    <n v="0.75708299999999995"/>
    <n v="9.0808299999999995E-2"/>
    <n v="568"/>
    <n v="3272"/>
    <n v="3840"/>
    <n v="26.936650999999998"/>
    <n v="31.583227999999998"/>
    <n v="75.708299999999994"/>
    <n v="6.0841560999999995"/>
    <x v="2"/>
    <x v="0"/>
    <x v="1"/>
    <s v="July"/>
    <s v="Monday"/>
  </r>
  <r>
    <n v="207"/>
    <x v="206"/>
    <n v="3"/>
    <n v="0"/>
    <n v="7"/>
    <n v="0"/>
    <n v="2"/>
    <x v="1"/>
    <x v="1"/>
    <n v="0.77166699999999999"/>
    <n v="0.69697900000000002"/>
    <n v="0.54083300000000001"/>
    <n v="0.20025799999999999"/>
    <n v="750"/>
    <n v="3840"/>
    <n v="4590"/>
    <n v="28.268349000000001"/>
    <n v="30.000613999999999"/>
    <n v="54.083300000000001"/>
    <n v="13.417285999999999"/>
    <x v="2"/>
    <x v="0"/>
    <x v="1"/>
    <s v="July"/>
    <s v="Tuesday"/>
  </r>
  <r>
    <n v="208"/>
    <x v="207"/>
    <n v="3"/>
    <n v="0"/>
    <n v="7"/>
    <n v="0"/>
    <n v="3"/>
    <x v="1"/>
    <x v="1"/>
    <n v="0.77500000000000002"/>
    <n v="0.69066700000000003"/>
    <n v="0.40291700000000003"/>
    <n v="0.18346299999999999"/>
    <n v="755"/>
    <n v="3901"/>
    <n v="4656"/>
    <n v="28.425000000000004"/>
    <n v="29.584022000000004"/>
    <n v="40.291700000000006"/>
    <n v="12.292020999999998"/>
    <x v="2"/>
    <x v="0"/>
    <x v="1"/>
    <s v="July"/>
    <s v="Wednesday"/>
  </r>
  <r>
    <n v="209"/>
    <x v="208"/>
    <n v="3"/>
    <n v="0"/>
    <n v="7"/>
    <n v="0"/>
    <n v="4"/>
    <x v="1"/>
    <x v="1"/>
    <n v="0.77916700000000005"/>
    <n v="0.7399"/>
    <n v="0.58333299999999999"/>
    <n v="0.178479"/>
    <n v="606"/>
    <n v="3784"/>
    <n v="4390"/>
    <n v="28.620849"/>
    <n v="32.833399999999997"/>
    <n v="58.333300000000001"/>
    <n v="11.958093"/>
    <x v="2"/>
    <x v="0"/>
    <x v="1"/>
    <s v="July"/>
    <s v="Thursday"/>
  </r>
  <r>
    <n v="210"/>
    <x v="209"/>
    <n v="3"/>
    <n v="0"/>
    <n v="7"/>
    <n v="0"/>
    <n v="5"/>
    <x v="1"/>
    <x v="1"/>
    <n v="0.83833299999999999"/>
    <n v="0.78596699999999997"/>
    <n v="0.54249999999999998"/>
    <n v="0.17413799999999999"/>
    <n v="670"/>
    <n v="3176"/>
    <n v="3846"/>
    <n v="31.401651000000001"/>
    <n v="35.873821999999997"/>
    <n v="54.25"/>
    <n v="11.667245999999999"/>
    <x v="2"/>
    <x v="0"/>
    <x v="1"/>
    <s v="July"/>
    <s v="Friday"/>
  </r>
  <r>
    <n v="211"/>
    <x v="210"/>
    <n v="3"/>
    <n v="0"/>
    <n v="7"/>
    <n v="0"/>
    <n v="6"/>
    <x v="0"/>
    <x v="1"/>
    <n v="0.80416699999999997"/>
    <n v="0.72853699999999999"/>
    <n v="0.465833"/>
    <n v="0.16853699999999999"/>
    <n v="1559"/>
    <n v="2916"/>
    <n v="4475"/>
    <n v="29.795848999999997"/>
    <n v="32.083441999999998"/>
    <n v="46.583300000000001"/>
    <n v="11.291979"/>
    <x v="2"/>
    <x v="0"/>
    <x v="1"/>
    <s v="July"/>
    <s v="Saturday"/>
  </r>
  <r>
    <n v="212"/>
    <x v="211"/>
    <n v="3"/>
    <n v="0"/>
    <n v="7"/>
    <n v="0"/>
    <n v="0"/>
    <x v="0"/>
    <x v="1"/>
    <n v="0.80583300000000002"/>
    <n v="0.729796"/>
    <n v="0.48083300000000001"/>
    <n v="0.16481299999999999"/>
    <n v="1524"/>
    <n v="2778"/>
    <n v="4302"/>
    <n v="29.874150999999998"/>
    <n v="32.166536000000001"/>
    <n v="48.083300000000001"/>
    <n v="11.042470999999999"/>
    <x v="2"/>
    <x v="0"/>
    <x v="1"/>
    <s v="July"/>
    <s v="Sunday"/>
  </r>
  <r>
    <n v="213"/>
    <x v="212"/>
    <n v="3"/>
    <n v="0"/>
    <n v="8"/>
    <n v="0"/>
    <n v="1"/>
    <x v="1"/>
    <x v="1"/>
    <n v="0.77166699999999999"/>
    <n v="0.70329200000000003"/>
    <n v="0.55083300000000002"/>
    <n v="0.156717"/>
    <n v="729"/>
    <n v="3537"/>
    <n v="4266"/>
    <n v="28.268349000000001"/>
    <n v="30.417272000000004"/>
    <n v="55.083300000000001"/>
    <n v="10.500038999999999"/>
    <x v="2"/>
    <x v="0"/>
    <x v="1"/>
    <s v="August"/>
    <s v="Monday"/>
  </r>
  <r>
    <n v="214"/>
    <x v="213"/>
    <n v="3"/>
    <n v="0"/>
    <n v="8"/>
    <n v="0"/>
    <n v="2"/>
    <x v="1"/>
    <x v="1"/>
    <n v="0.78333299999999995"/>
    <n v="0.70707100000000001"/>
    <n v="0.49125000000000002"/>
    <n v="0.20585000000000001"/>
    <n v="801"/>
    <n v="4044"/>
    <n v="4845"/>
    <n v="28.816651"/>
    <n v="30.666685999999999"/>
    <n v="49.125"/>
    <n v="13.79195"/>
    <x v="2"/>
    <x v="0"/>
    <x v="1"/>
    <s v="August"/>
    <s v="Tuesday"/>
  </r>
  <r>
    <n v="215"/>
    <x v="214"/>
    <n v="3"/>
    <n v="0"/>
    <n v="8"/>
    <n v="0"/>
    <n v="3"/>
    <x v="1"/>
    <x v="0"/>
    <n v="0.73166699999999996"/>
    <n v="0.67993700000000001"/>
    <n v="0.65749999999999997"/>
    <n v="0.13558300000000001"/>
    <n v="467"/>
    <n v="3107"/>
    <n v="3574"/>
    <n v="26.388348999999998"/>
    <n v="28.875841999999999"/>
    <n v="65.75"/>
    <n v="9.0840610000000002"/>
    <x v="2"/>
    <x v="0"/>
    <x v="0"/>
    <s v="August"/>
    <s v="Wednesday"/>
  </r>
  <r>
    <n v="216"/>
    <x v="215"/>
    <n v="3"/>
    <n v="0"/>
    <n v="8"/>
    <n v="0"/>
    <n v="4"/>
    <x v="1"/>
    <x v="0"/>
    <n v="0.71"/>
    <n v="0.66478800000000005"/>
    <n v="0.75749999999999995"/>
    <n v="0.19714999999999999"/>
    <n v="799"/>
    <n v="3777"/>
    <n v="4576"/>
    <n v="25.369999999999997"/>
    <n v="27.876008000000006"/>
    <n v="75.75"/>
    <n v="13.20905"/>
    <x v="2"/>
    <x v="0"/>
    <x v="0"/>
    <s v="August"/>
    <s v="Thursday"/>
  </r>
  <r>
    <n v="217"/>
    <x v="216"/>
    <n v="3"/>
    <n v="0"/>
    <n v="8"/>
    <n v="0"/>
    <n v="5"/>
    <x v="1"/>
    <x v="1"/>
    <n v="0.71083300000000005"/>
    <n v="0.65656700000000001"/>
    <n v="0.63083299999999998"/>
    <n v="0.184696"/>
    <n v="1023"/>
    <n v="3843"/>
    <n v="4866"/>
    <n v="25.409151000000001"/>
    <n v="27.333421999999999"/>
    <n v="63.083299999999994"/>
    <n v="12.374632"/>
    <x v="2"/>
    <x v="0"/>
    <x v="1"/>
    <s v="August"/>
    <s v="Friday"/>
  </r>
  <r>
    <n v="218"/>
    <x v="217"/>
    <n v="3"/>
    <n v="0"/>
    <n v="8"/>
    <n v="0"/>
    <n v="6"/>
    <x v="0"/>
    <x v="0"/>
    <n v="0.71666700000000005"/>
    <n v="0.67615400000000003"/>
    <n v="0.755"/>
    <n v="0.22825000000000001"/>
    <n v="1521"/>
    <n v="2773"/>
    <n v="4294"/>
    <n v="25.683349"/>
    <n v="28.626164000000003"/>
    <n v="75.5"/>
    <n v="15.29275"/>
    <x v="2"/>
    <x v="0"/>
    <x v="0"/>
    <s v="August"/>
    <s v="Saturday"/>
  </r>
  <r>
    <n v="219"/>
    <x v="218"/>
    <n v="3"/>
    <n v="0"/>
    <n v="8"/>
    <n v="0"/>
    <n v="0"/>
    <x v="0"/>
    <x v="1"/>
    <n v="0.74250000000000005"/>
    <n v="0.71529200000000004"/>
    <n v="0.75291699999999995"/>
    <n v="0.201487"/>
    <n v="1298"/>
    <n v="2487"/>
    <n v="3785"/>
    <n v="26.897500000000001"/>
    <n v="31.209272000000006"/>
    <n v="75.291699999999992"/>
    <n v="13.499629000000001"/>
    <x v="2"/>
    <x v="0"/>
    <x v="1"/>
    <s v="August"/>
    <s v="Sunday"/>
  </r>
  <r>
    <n v="220"/>
    <x v="219"/>
    <n v="3"/>
    <n v="0"/>
    <n v="8"/>
    <n v="0"/>
    <n v="1"/>
    <x v="1"/>
    <x v="1"/>
    <n v="0.76500000000000001"/>
    <n v="0.70328299999999999"/>
    <n v="0.59208300000000003"/>
    <n v="0.19217500000000001"/>
    <n v="846"/>
    <n v="3480"/>
    <n v="4326"/>
    <n v="27.954999999999998"/>
    <n v="30.416677999999997"/>
    <n v="59.208300000000001"/>
    <n v="12.875725000000001"/>
    <x v="2"/>
    <x v="0"/>
    <x v="1"/>
    <s v="August"/>
    <s v="Monday"/>
  </r>
  <r>
    <n v="221"/>
    <x v="220"/>
    <n v="3"/>
    <n v="0"/>
    <n v="8"/>
    <n v="0"/>
    <n v="2"/>
    <x v="1"/>
    <x v="1"/>
    <n v="0.77500000000000002"/>
    <n v="0.72412100000000001"/>
    <n v="0.57041699999999995"/>
    <n v="0.15112100000000001"/>
    <n v="907"/>
    <n v="3695"/>
    <n v="4602"/>
    <n v="28.425000000000004"/>
    <n v="31.791986000000001"/>
    <n v="57.041699999999992"/>
    <n v="10.125107"/>
    <x v="2"/>
    <x v="0"/>
    <x v="1"/>
    <s v="August"/>
    <s v="Tuesday"/>
  </r>
  <r>
    <n v="222"/>
    <x v="221"/>
    <n v="3"/>
    <n v="0"/>
    <n v="8"/>
    <n v="0"/>
    <n v="3"/>
    <x v="1"/>
    <x v="1"/>
    <n v="0.76666699999999999"/>
    <n v="0.68498300000000001"/>
    <n v="0.42416700000000002"/>
    <n v="0.20025799999999999"/>
    <n v="884"/>
    <n v="3896"/>
    <n v="4780"/>
    <n v="28.033349000000001"/>
    <n v="29.208877999999999"/>
    <n v="42.416699999999999"/>
    <n v="13.417285999999999"/>
    <x v="2"/>
    <x v="0"/>
    <x v="1"/>
    <s v="August"/>
    <s v="Wednesday"/>
  </r>
  <r>
    <n v="223"/>
    <x v="222"/>
    <n v="3"/>
    <n v="0"/>
    <n v="8"/>
    <n v="0"/>
    <n v="4"/>
    <x v="1"/>
    <x v="1"/>
    <n v="0.71750000000000003"/>
    <n v="0.65152100000000002"/>
    <n v="0.42375000000000002"/>
    <n v="0.164796"/>
    <n v="812"/>
    <n v="3980"/>
    <n v="4792"/>
    <n v="25.722500000000004"/>
    <n v="27.000385999999999"/>
    <n v="42.375"/>
    <n v="11.041332000000001"/>
    <x v="2"/>
    <x v="0"/>
    <x v="1"/>
    <s v="August"/>
    <s v="Thursday"/>
  </r>
  <r>
    <n v="224"/>
    <x v="223"/>
    <n v="3"/>
    <n v="0"/>
    <n v="8"/>
    <n v="0"/>
    <n v="5"/>
    <x v="1"/>
    <x v="1"/>
    <n v="0.70833299999999999"/>
    <n v="0.65404200000000001"/>
    <n v="0.41499999999999998"/>
    <n v="0.12562100000000001"/>
    <n v="1051"/>
    <n v="3854"/>
    <n v="4905"/>
    <n v="25.291651000000002"/>
    <n v="27.166772000000002"/>
    <n v="41.5"/>
    <n v="8.4166070000000008"/>
    <x v="2"/>
    <x v="0"/>
    <x v="1"/>
    <s v="August"/>
    <s v="Friday"/>
  </r>
  <r>
    <n v="225"/>
    <x v="224"/>
    <n v="3"/>
    <n v="0"/>
    <n v="8"/>
    <n v="0"/>
    <n v="6"/>
    <x v="0"/>
    <x v="0"/>
    <n v="0.68583300000000003"/>
    <n v="0.64585800000000004"/>
    <n v="0.72958299999999998"/>
    <n v="0.211454"/>
    <n v="1504"/>
    <n v="2646"/>
    <n v="4150"/>
    <n v="24.234151000000004"/>
    <n v="26.626628000000004"/>
    <n v="72.958299999999994"/>
    <n v="14.167418"/>
    <x v="2"/>
    <x v="0"/>
    <x v="0"/>
    <s v="August"/>
    <s v="Saturday"/>
  </r>
  <r>
    <n v="226"/>
    <x v="225"/>
    <n v="3"/>
    <n v="0"/>
    <n v="8"/>
    <n v="0"/>
    <n v="0"/>
    <x v="0"/>
    <x v="0"/>
    <n v="0.67666700000000002"/>
    <n v="0.62438800000000005"/>
    <n v="0.8175"/>
    <n v="0.222633"/>
    <n v="1338"/>
    <n v="2482"/>
    <n v="3820"/>
    <n v="23.803349000000001"/>
    <n v="25.209608000000003"/>
    <n v="81.75"/>
    <n v="14.916411"/>
    <x v="2"/>
    <x v="0"/>
    <x v="0"/>
    <s v="August"/>
    <s v="Sunday"/>
  </r>
  <r>
    <n v="227"/>
    <x v="226"/>
    <n v="3"/>
    <n v="0"/>
    <n v="8"/>
    <n v="0"/>
    <n v="1"/>
    <x v="1"/>
    <x v="1"/>
    <n v="0.66583300000000001"/>
    <n v="0.61616700000000002"/>
    <n v="0.71208300000000002"/>
    <n v="0.208954"/>
    <n v="775"/>
    <n v="3563"/>
    <n v="4338"/>
    <n v="23.294150999999999"/>
    <n v="24.667022000000003"/>
    <n v="71.208300000000008"/>
    <n v="13.999917999999999"/>
    <x v="2"/>
    <x v="0"/>
    <x v="1"/>
    <s v="August"/>
    <s v="Monday"/>
  </r>
  <r>
    <n v="228"/>
    <x v="227"/>
    <n v="3"/>
    <n v="0"/>
    <n v="8"/>
    <n v="0"/>
    <n v="2"/>
    <x v="1"/>
    <x v="1"/>
    <n v="0.70083300000000004"/>
    <n v="0.64583699999999999"/>
    <n v="0.57833299999999999"/>
    <n v="0.23632900000000001"/>
    <n v="721"/>
    <n v="4004"/>
    <n v="4725"/>
    <n v="24.939151000000003"/>
    <n v="26.625242"/>
    <n v="57.833300000000001"/>
    <n v="15.834043000000001"/>
    <x v="2"/>
    <x v="0"/>
    <x v="1"/>
    <s v="August"/>
    <s v="Tuesday"/>
  </r>
  <r>
    <n v="229"/>
    <x v="228"/>
    <n v="3"/>
    <n v="0"/>
    <n v="8"/>
    <n v="0"/>
    <n v="3"/>
    <x v="1"/>
    <x v="1"/>
    <n v="0.723333"/>
    <n v="0.66667100000000001"/>
    <n v="0.57541699999999996"/>
    <n v="0.14366699999999999"/>
    <n v="668"/>
    <n v="4026"/>
    <n v="4694"/>
    <n v="25.996651"/>
    <n v="28.000286000000003"/>
    <n v="57.541699999999999"/>
    <n v="9.6256889999999995"/>
    <x v="2"/>
    <x v="0"/>
    <x v="1"/>
    <s v="August"/>
    <s v="Wednesday"/>
  </r>
  <r>
    <n v="230"/>
    <x v="229"/>
    <n v="3"/>
    <n v="0"/>
    <n v="8"/>
    <n v="0"/>
    <n v="4"/>
    <x v="1"/>
    <x v="1"/>
    <n v="0.71166700000000005"/>
    <n v="0.66225800000000001"/>
    <n v="0.65458300000000003"/>
    <n v="0.233208"/>
    <n v="639"/>
    <n v="3166"/>
    <n v="3805"/>
    <n v="25.448349"/>
    <n v="27.709028000000004"/>
    <n v="65.458300000000008"/>
    <n v="15.624936"/>
    <x v="2"/>
    <x v="0"/>
    <x v="1"/>
    <s v="August"/>
    <s v="Thursday"/>
  </r>
  <r>
    <n v="231"/>
    <x v="230"/>
    <n v="3"/>
    <n v="0"/>
    <n v="8"/>
    <n v="0"/>
    <n v="5"/>
    <x v="1"/>
    <x v="0"/>
    <n v="0.68500000000000005"/>
    <n v="0.63322100000000003"/>
    <n v="0.72291700000000003"/>
    <n v="0.13930799999999999"/>
    <n v="797"/>
    <n v="3356"/>
    <n v="4153"/>
    <n v="24.195"/>
    <n v="25.792586"/>
    <n v="72.291700000000006"/>
    <n v="9.3336359999999985"/>
    <x v="2"/>
    <x v="0"/>
    <x v="0"/>
    <s v="August"/>
    <s v="Friday"/>
  </r>
  <r>
    <n v="232"/>
    <x v="231"/>
    <n v="3"/>
    <n v="0"/>
    <n v="8"/>
    <n v="0"/>
    <n v="6"/>
    <x v="0"/>
    <x v="1"/>
    <n v="0.69750000000000001"/>
    <n v="0.64899600000000002"/>
    <n v="0.67416699999999996"/>
    <n v="0.104467"/>
    <n v="1914"/>
    <n v="3277"/>
    <n v="5191"/>
    <n v="24.782499999999999"/>
    <n v="26.833736000000002"/>
    <n v="67.416699999999992"/>
    <n v="6.9992890000000001"/>
    <x v="2"/>
    <x v="0"/>
    <x v="1"/>
    <s v="August"/>
    <s v="Saturday"/>
  </r>
  <r>
    <n v="233"/>
    <x v="232"/>
    <n v="3"/>
    <n v="0"/>
    <n v="8"/>
    <n v="0"/>
    <n v="0"/>
    <x v="0"/>
    <x v="1"/>
    <n v="0.71083300000000005"/>
    <n v="0.67552500000000004"/>
    <n v="0.77"/>
    <n v="0.248754"/>
    <n v="1249"/>
    <n v="2624"/>
    <n v="3873"/>
    <n v="25.409151000000001"/>
    <n v="28.584650000000003"/>
    <n v="77"/>
    <n v="16.666518"/>
    <x v="2"/>
    <x v="0"/>
    <x v="1"/>
    <s v="August"/>
    <s v="Sunday"/>
  </r>
  <r>
    <n v="234"/>
    <x v="233"/>
    <n v="3"/>
    <n v="0"/>
    <n v="8"/>
    <n v="0"/>
    <n v="1"/>
    <x v="1"/>
    <x v="1"/>
    <n v="0.69166700000000003"/>
    <n v="0.63825399999999999"/>
    <n v="0.47"/>
    <n v="0.27675"/>
    <n v="833"/>
    <n v="3925"/>
    <n v="4758"/>
    <n v="24.508349000000003"/>
    <n v="26.124763999999999"/>
    <n v="47"/>
    <n v="18.542249999999999"/>
    <x v="2"/>
    <x v="0"/>
    <x v="1"/>
    <s v="August"/>
    <s v="Monday"/>
  </r>
  <r>
    <n v="235"/>
    <x v="234"/>
    <n v="3"/>
    <n v="0"/>
    <n v="8"/>
    <n v="0"/>
    <n v="2"/>
    <x v="1"/>
    <x v="1"/>
    <n v="0.64083299999999999"/>
    <n v="0.60606700000000002"/>
    <n v="0.45541700000000002"/>
    <n v="0.146763"/>
    <n v="1281"/>
    <n v="4614"/>
    <n v="5895"/>
    <n v="22.119150999999999"/>
    <n v="24.000422"/>
    <n v="45.541699999999999"/>
    <n v="9.8331210000000002"/>
    <x v="2"/>
    <x v="0"/>
    <x v="1"/>
    <s v="August"/>
    <s v="Tuesday"/>
  </r>
  <r>
    <n v="236"/>
    <x v="235"/>
    <n v="3"/>
    <n v="0"/>
    <n v="8"/>
    <n v="0"/>
    <n v="3"/>
    <x v="1"/>
    <x v="1"/>
    <n v="0.67333299999999996"/>
    <n v="0.63069200000000003"/>
    <n v="0.60499999999999998"/>
    <n v="0.253108"/>
    <n v="949"/>
    <n v="4181"/>
    <n v="5130"/>
    <n v="23.646650999999999"/>
    <n v="25.625672000000002"/>
    <n v="60.5"/>
    <n v="16.958235999999999"/>
    <x v="2"/>
    <x v="0"/>
    <x v="1"/>
    <s v="August"/>
    <s v="Wednesday"/>
  </r>
  <r>
    <n v="237"/>
    <x v="236"/>
    <n v="3"/>
    <n v="0"/>
    <n v="8"/>
    <n v="0"/>
    <n v="4"/>
    <x v="1"/>
    <x v="0"/>
    <n v="0.68416699999999997"/>
    <n v="0.64585400000000004"/>
    <n v="0.77166699999999999"/>
    <n v="0.21083299999999999"/>
    <n v="435"/>
    <n v="3107"/>
    <n v="3542"/>
    <n v="24.155848999999996"/>
    <n v="26.626364000000002"/>
    <n v="77.166700000000006"/>
    <n v="14.125810999999999"/>
    <x v="2"/>
    <x v="0"/>
    <x v="0"/>
    <s v="August"/>
    <s v="Thursday"/>
  </r>
  <r>
    <n v="238"/>
    <x v="237"/>
    <n v="3"/>
    <n v="0"/>
    <n v="8"/>
    <n v="0"/>
    <n v="5"/>
    <x v="1"/>
    <x v="1"/>
    <n v="0.7"/>
    <n v="0.65973300000000001"/>
    <n v="0.76124999999999998"/>
    <n v="8.3962499999999995E-2"/>
    <n v="768"/>
    <n v="3893"/>
    <n v="4661"/>
    <n v="24.9"/>
    <n v="27.542377999999999"/>
    <n v="76.125"/>
    <n v="5.6254874999999993"/>
    <x v="2"/>
    <x v="0"/>
    <x v="1"/>
    <s v="August"/>
    <s v="Friday"/>
  </r>
  <r>
    <n v="239"/>
    <x v="238"/>
    <n v="3"/>
    <n v="0"/>
    <n v="8"/>
    <n v="0"/>
    <n v="6"/>
    <x v="0"/>
    <x v="0"/>
    <n v="0.68"/>
    <n v="0.63555600000000001"/>
    <n v="0.85"/>
    <n v="0.37561699999999998"/>
    <n v="226"/>
    <n v="889"/>
    <n v="1115"/>
    <n v="23.96"/>
    <n v="25.946696000000003"/>
    <n v="85"/>
    <n v="25.166338999999997"/>
    <x v="2"/>
    <x v="0"/>
    <x v="0"/>
    <s v="August"/>
    <s v="Saturday"/>
  </r>
  <r>
    <n v="240"/>
    <x v="239"/>
    <n v="3"/>
    <n v="0"/>
    <n v="8"/>
    <n v="0"/>
    <n v="0"/>
    <x v="0"/>
    <x v="1"/>
    <n v="0.70705899999999999"/>
    <n v="0.64795899999999995"/>
    <n v="0.56176499999999996"/>
    <n v="0.30465900000000001"/>
    <n v="1415"/>
    <n v="2919"/>
    <n v="4334"/>
    <n v="25.231772999999997"/>
    <n v="26.765293999999997"/>
    <n v="56.176499999999997"/>
    <n v="20.412153"/>
    <x v="2"/>
    <x v="0"/>
    <x v="1"/>
    <s v="August"/>
    <s v="Sunday"/>
  </r>
  <r>
    <n v="241"/>
    <x v="240"/>
    <n v="3"/>
    <n v="0"/>
    <n v="8"/>
    <n v="0"/>
    <n v="1"/>
    <x v="1"/>
    <x v="1"/>
    <n v="0.63666699999999998"/>
    <n v="0.607958"/>
    <n v="0.55458300000000005"/>
    <n v="0.15982499999999999"/>
    <n v="729"/>
    <n v="3905"/>
    <n v="4634"/>
    <n v="21.923348999999998"/>
    <n v="24.125228"/>
    <n v="55.458300000000008"/>
    <n v="10.708275"/>
    <x v="2"/>
    <x v="0"/>
    <x v="1"/>
    <s v="August"/>
    <s v="Monday"/>
  </r>
  <r>
    <n v="242"/>
    <x v="241"/>
    <n v="3"/>
    <n v="0"/>
    <n v="8"/>
    <n v="0"/>
    <n v="2"/>
    <x v="1"/>
    <x v="1"/>
    <n v="0.63916700000000004"/>
    <n v="0.59470400000000001"/>
    <n v="0.54833299999999996"/>
    <n v="0.12500800000000001"/>
    <n v="775"/>
    <n v="4429"/>
    <n v="5204"/>
    <n v="22.040849000000001"/>
    <n v="23.250464000000001"/>
    <n v="54.833299999999994"/>
    <n v="8.3755360000000003"/>
    <x v="2"/>
    <x v="0"/>
    <x v="1"/>
    <s v="August"/>
    <s v="Tuesday"/>
  </r>
  <r>
    <n v="243"/>
    <x v="242"/>
    <n v="3"/>
    <n v="0"/>
    <n v="8"/>
    <n v="0"/>
    <n v="3"/>
    <x v="1"/>
    <x v="1"/>
    <n v="0.656667"/>
    <n v="0.61112100000000003"/>
    <n v="0.59791700000000003"/>
    <n v="8.3333299999999999E-2"/>
    <n v="688"/>
    <n v="4370"/>
    <n v="5058"/>
    <n v="22.863348999999999"/>
    <n v="24.333986000000003"/>
    <n v="59.791700000000006"/>
    <n v="5.5833310999999997"/>
    <x v="2"/>
    <x v="0"/>
    <x v="1"/>
    <s v="August"/>
    <s v="Wednesday"/>
  </r>
  <r>
    <n v="244"/>
    <x v="243"/>
    <n v="3"/>
    <n v="0"/>
    <n v="9"/>
    <n v="0"/>
    <n v="4"/>
    <x v="1"/>
    <x v="1"/>
    <n v="0.65500000000000003"/>
    <n v="0.61492100000000005"/>
    <n v="0.63916700000000004"/>
    <n v="0.14179600000000001"/>
    <n v="783"/>
    <n v="4332"/>
    <n v="5115"/>
    <n v="22.785"/>
    <n v="24.584786000000001"/>
    <n v="63.916700000000006"/>
    <n v="9.5003320000000002"/>
    <x v="2"/>
    <x v="0"/>
    <x v="1"/>
    <s v="September"/>
    <s v="Thursday"/>
  </r>
  <r>
    <n v="245"/>
    <x v="244"/>
    <n v="3"/>
    <n v="0"/>
    <n v="9"/>
    <n v="0"/>
    <n v="5"/>
    <x v="1"/>
    <x v="0"/>
    <n v="0.64333300000000004"/>
    <n v="0.60480800000000001"/>
    <n v="0.72708300000000003"/>
    <n v="0.139929"/>
    <n v="875"/>
    <n v="3852"/>
    <n v="4727"/>
    <n v="22.236651000000002"/>
    <n v="23.917327999999998"/>
    <n v="72.708300000000008"/>
    <n v="9.3752429999999993"/>
    <x v="2"/>
    <x v="0"/>
    <x v="0"/>
    <s v="September"/>
    <s v="Friday"/>
  </r>
  <r>
    <n v="246"/>
    <x v="245"/>
    <n v="3"/>
    <n v="0"/>
    <n v="9"/>
    <n v="0"/>
    <n v="6"/>
    <x v="0"/>
    <x v="1"/>
    <n v="0.66916699999999996"/>
    <n v="0.63321300000000003"/>
    <n v="0.71666700000000005"/>
    <n v="0.18532499999999999"/>
    <n v="1935"/>
    <n v="2549"/>
    <n v="4484"/>
    <n v="23.450848999999998"/>
    <n v="25.792058000000004"/>
    <n v="71.666700000000006"/>
    <n v="12.416774999999999"/>
    <x v="2"/>
    <x v="0"/>
    <x v="1"/>
    <s v="September"/>
    <s v="Saturday"/>
  </r>
  <r>
    <n v="247"/>
    <x v="246"/>
    <n v="3"/>
    <n v="0"/>
    <n v="9"/>
    <n v="0"/>
    <n v="0"/>
    <x v="0"/>
    <x v="1"/>
    <n v="0.70916699999999999"/>
    <n v="0.66542900000000005"/>
    <n v="0.74208300000000005"/>
    <n v="0.20646700000000001"/>
    <n v="2521"/>
    <n v="2419"/>
    <n v="4940"/>
    <n v="25.330849000000001"/>
    <n v="27.918314000000002"/>
    <n v="74.208300000000008"/>
    <n v="13.833289000000001"/>
    <x v="2"/>
    <x v="0"/>
    <x v="1"/>
    <s v="September"/>
    <s v="Sunday"/>
  </r>
  <r>
    <n v="248"/>
    <x v="247"/>
    <n v="3"/>
    <n v="0"/>
    <n v="9"/>
    <n v="1"/>
    <n v="1"/>
    <x v="0"/>
    <x v="0"/>
    <n v="0.67333299999999996"/>
    <n v="0.62564600000000004"/>
    <n v="0.79041700000000004"/>
    <n v="0.212696"/>
    <n v="1236"/>
    <n v="2115"/>
    <n v="3351"/>
    <n v="23.646650999999999"/>
    <n v="25.292636000000002"/>
    <n v="79.041700000000006"/>
    <n v="14.250632"/>
    <x v="2"/>
    <x v="0"/>
    <x v="0"/>
    <s v="September"/>
    <s v="Monday"/>
  </r>
  <r>
    <n v="249"/>
    <x v="248"/>
    <n v="3"/>
    <n v="0"/>
    <n v="9"/>
    <n v="0"/>
    <n v="2"/>
    <x v="1"/>
    <x v="2"/>
    <n v="0.54"/>
    <n v="0.51519999999999999"/>
    <n v="0.886957"/>
    <n v="0.343943"/>
    <n v="204"/>
    <n v="2506"/>
    <n v="2710"/>
    <n v="17.380000000000003"/>
    <n v="18.0032"/>
    <n v="88.695700000000002"/>
    <n v="23.044180999999998"/>
    <x v="2"/>
    <x v="0"/>
    <x v="2"/>
    <s v="September"/>
    <s v="Tuesday"/>
  </r>
  <r>
    <n v="250"/>
    <x v="249"/>
    <n v="3"/>
    <n v="0"/>
    <n v="9"/>
    <n v="0"/>
    <n v="3"/>
    <x v="1"/>
    <x v="2"/>
    <n v="0.59916700000000001"/>
    <n v="0.54422899999999996"/>
    <n v="0.91708299999999998"/>
    <n v="9.7020800000000004E-2"/>
    <n v="118"/>
    <n v="1878"/>
    <n v="1996"/>
    <n v="20.160848999999999"/>
    <n v="19.919114"/>
    <n v="91.708299999999994"/>
    <n v="6.5003936000000007"/>
    <x v="2"/>
    <x v="0"/>
    <x v="2"/>
    <s v="September"/>
    <s v="Wednesday"/>
  </r>
  <r>
    <n v="251"/>
    <x v="250"/>
    <n v="3"/>
    <n v="0"/>
    <n v="9"/>
    <n v="0"/>
    <n v="4"/>
    <x v="1"/>
    <x v="2"/>
    <n v="0.63391299999999995"/>
    <n v="0.55536099999999999"/>
    <n v="0.93956499999999998"/>
    <n v="0.192748"/>
    <n v="153"/>
    <n v="1689"/>
    <n v="1842"/>
    <n v="21.793910999999998"/>
    <n v="20.653826000000002"/>
    <n v="93.956500000000005"/>
    <n v="12.914116"/>
    <x v="2"/>
    <x v="0"/>
    <x v="2"/>
    <s v="September"/>
    <s v="Thursday"/>
  </r>
  <r>
    <n v="252"/>
    <x v="251"/>
    <n v="3"/>
    <n v="0"/>
    <n v="9"/>
    <n v="0"/>
    <n v="5"/>
    <x v="1"/>
    <x v="0"/>
    <n v="0.65"/>
    <n v="0.57894599999999996"/>
    <n v="0.89791699999999997"/>
    <n v="0.124379"/>
    <n v="417"/>
    <n v="3127"/>
    <n v="3544"/>
    <n v="22.55"/>
    <n v="22.210435999999994"/>
    <n v="89.791699999999992"/>
    <n v="8.3333930000000009"/>
    <x v="2"/>
    <x v="0"/>
    <x v="0"/>
    <s v="September"/>
    <s v="Friday"/>
  </r>
  <r>
    <n v="253"/>
    <x v="252"/>
    <n v="3"/>
    <n v="0"/>
    <n v="9"/>
    <n v="0"/>
    <n v="6"/>
    <x v="0"/>
    <x v="1"/>
    <n v="0.66"/>
    <n v="0.607962"/>
    <n v="0.75375000000000003"/>
    <n v="0.15360799999999999"/>
    <n v="1750"/>
    <n v="3595"/>
    <n v="5345"/>
    <n v="23.020000000000003"/>
    <n v="24.125492000000001"/>
    <n v="75.375"/>
    <n v="10.291736"/>
    <x v="2"/>
    <x v="0"/>
    <x v="1"/>
    <s v="September"/>
    <s v="Saturday"/>
  </r>
  <r>
    <n v="254"/>
    <x v="253"/>
    <n v="3"/>
    <n v="0"/>
    <n v="9"/>
    <n v="0"/>
    <n v="0"/>
    <x v="0"/>
    <x v="1"/>
    <n v="0.65333300000000005"/>
    <n v="0.60922900000000002"/>
    <n v="0.71375"/>
    <n v="0.115054"/>
    <n v="1633"/>
    <n v="3413"/>
    <n v="5046"/>
    <n v="22.706651000000001"/>
    <n v="24.209114"/>
    <n v="71.375"/>
    <n v="7.7086180000000004"/>
    <x v="2"/>
    <x v="0"/>
    <x v="1"/>
    <s v="September"/>
    <s v="Sunday"/>
  </r>
  <r>
    <n v="255"/>
    <x v="254"/>
    <n v="3"/>
    <n v="0"/>
    <n v="9"/>
    <n v="0"/>
    <n v="1"/>
    <x v="1"/>
    <x v="1"/>
    <n v="0.64434800000000003"/>
    <n v="0.60213000000000005"/>
    <n v="0.69217399999999996"/>
    <n v="8.8913000000000006E-2"/>
    <n v="690"/>
    <n v="4023"/>
    <n v="4713"/>
    <n v="22.284356000000002"/>
    <n v="23.740580000000001"/>
    <n v="69.217399999999998"/>
    <n v="5.9571710000000007"/>
    <x v="2"/>
    <x v="0"/>
    <x v="1"/>
    <s v="September"/>
    <s v="Monday"/>
  </r>
  <r>
    <n v="256"/>
    <x v="255"/>
    <n v="3"/>
    <n v="0"/>
    <n v="9"/>
    <n v="0"/>
    <n v="2"/>
    <x v="1"/>
    <x v="1"/>
    <n v="0.65083299999999999"/>
    <n v="0.60355400000000003"/>
    <n v="0.71250000000000002"/>
    <n v="0.14180400000000001"/>
    <n v="701"/>
    <n v="4062"/>
    <n v="4763"/>
    <n v="22.589151000000001"/>
    <n v="23.834564"/>
    <n v="71.25"/>
    <n v="9.5008680000000005"/>
    <x v="2"/>
    <x v="0"/>
    <x v="1"/>
    <s v="September"/>
    <s v="Tuesday"/>
  </r>
  <r>
    <n v="257"/>
    <x v="256"/>
    <n v="3"/>
    <n v="0"/>
    <n v="9"/>
    <n v="0"/>
    <n v="3"/>
    <x v="1"/>
    <x v="1"/>
    <n v="0.67333299999999996"/>
    <n v="0.62690000000000001"/>
    <n v="0.69708300000000001"/>
    <n v="0.1673"/>
    <n v="647"/>
    <n v="4138"/>
    <n v="4785"/>
    <n v="23.646650999999999"/>
    <n v="25.375399999999999"/>
    <n v="69.708299999999994"/>
    <n v="11.209099999999999"/>
    <x v="2"/>
    <x v="0"/>
    <x v="1"/>
    <s v="September"/>
    <s v="Wednesday"/>
  </r>
  <r>
    <n v="258"/>
    <x v="257"/>
    <n v="3"/>
    <n v="0"/>
    <n v="9"/>
    <n v="0"/>
    <n v="4"/>
    <x v="1"/>
    <x v="0"/>
    <n v="0.57750000000000001"/>
    <n v="0.55367100000000002"/>
    <n v="0.70916699999999999"/>
    <n v="0.271146"/>
    <n v="428"/>
    <n v="3231"/>
    <n v="3659"/>
    <n v="19.142500000000002"/>
    <n v="20.542286000000004"/>
    <n v="70.916700000000006"/>
    <n v="18.166782000000001"/>
    <x v="2"/>
    <x v="0"/>
    <x v="0"/>
    <s v="September"/>
    <s v="Thursday"/>
  </r>
  <r>
    <n v="259"/>
    <x v="258"/>
    <n v="3"/>
    <n v="0"/>
    <n v="9"/>
    <n v="0"/>
    <n v="5"/>
    <x v="1"/>
    <x v="0"/>
    <n v="0.469167"/>
    <n v="0.46147500000000002"/>
    <n v="0.59041699999999997"/>
    <n v="0.164183"/>
    <n v="742"/>
    <n v="4018"/>
    <n v="4760"/>
    <n v="14.050848999999999"/>
    <n v="14.457350000000002"/>
    <n v="59.041699999999999"/>
    <n v="11.000261"/>
    <x v="2"/>
    <x v="0"/>
    <x v="0"/>
    <s v="September"/>
    <s v="Friday"/>
  </r>
  <r>
    <n v="260"/>
    <x v="259"/>
    <n v="3"/>
    <n v="0"/>
    <n v="9"/>
    <n v="0"/>
    <n v="6"/>
    <x v="0"/>
    <x v="0"/>
    <n v="0.49166700000000002"/>
    <n v="0.47851199999999999"/>
    <n v="0.718333"/>
    <n v="0.18967500000000001"/>
    <n v="1434"/>
    <n v="3077"/>
    <n v="4511"/>
    <n v="15.108349"/>
    <n v="15.581792"/>
    <n v="71.833299999999994"/>
    <n v="12.708225000000001"/>
    <x v="2"/>
    <x v="0"/>
    <x v="0"/>
    <s v="September"/>
    <s v="Saturday"/>
  </r>
  <r>
    <n v="261"/>
    <x v="260"/>
    <n v="3"/>
    <n v="0"/>
    <n v="9"/>
    <n v="0"/>
    <n v="0"/>
    <x v="0"/>
    <x v="1"/>
    <n v="0.50749999999999995"/>
    <n v="0.490537"/>
    <n v="0.69499999999999995"/>
    <n v="0.178483"/>
    <n v="1353"/>
    <n v="2921"/>
    <n v="4274"/>
    <n v="15.852499999999999"/>
    <n v="16.375442"/>
    <n v="69.5"/>
    <n v="11.958361"/>
    <x v="2"/>
    <x v="0"/>
    <x v="1"/>
    <s v="September"/>
    <s v="Sunday"/>
  </r>
  <r>
    <n v="262"/>
    <x v="261"/>
    <n v="3"/>
    <n v="0"/>
    <n v="9"/>
    <n v="0"/>
    <n v="1"/>
    <x v="1"/>
    <x v="0"/>
    <n v="0.54916699999999996"/>
    <n v="0.52967500000000001"/>
    <n v="0.69"/>
    <n v="0.15174199999999999"/>
    <n v="691"/>
    <n v="3848"/>
    <n v="4539"/>
    <n v="17.810848999999997"/>
    <n v="18.958550000000002"/>
    <n v="69"/>
    <n v="10.166713999999999"/>
    <x v="2"/>
    <x v="0"/>
    <x v="0"/>
    <s v="September"/>
    <s v="Monday"/>
  </r>
  <r>
    <n v="263"/>
    <x v="262"/>
    <n v="3"/>
    <n v="0"/>
    <n v="9"/>
    <n v="0"/>
    <n v="2"/>
    <x v="1"/>
    <x v="0"/>
    <n v="0.56166700000000003"/>
    <n v="0.53221700000000005"/>
    <n v="0.88124999999999998"/>
    <n v="0.13495399999999999"/>
    <n v="438"/>
    <n v="3203"/>
    <n v="3641"/>
    <n v="18.398349"/>
    <n v="19.126322000000002"/>
    <n v="88.125"/>
    <n v="9.041917999999999"/>
    <x v="2"/>
    <x v="0"/>
    <x v="0"/>
    <s v="September"/>
    <s v="Tuesday"/>
  </r>
  <r>
    <n v="264"/>
    <x v="263"/>
    <n v="3"/>
    <n v="0"/>
    <n v="9"/>
    <n v="0"/>
    <n v="3"/>
    <x v="1"/>
    <x v="0"/>
    <n v="0.59499999999999997"/>
    <n v="0.55053300000000005"/>
    <n v="0.9"/>
    <n v="9.6404199999999995E-2"/>
    <n v="539"/>
    <n v="3813"/>
    <n v="4352"/>
    <n v="19.965"/>
    <n v="20.335178000000006"/>
    <n v="90"/>
    <n v="6.4590813999999996"/>
    <x v="2"/>
    <x v="0"/>
    <x v="0"/>
    <s v="September"/>
    <s v="Wednesday"/>
  </r>
  <r>
    <n v="265"/>
    <x v="264"/>
    <n v="3"/>
    <n v="0"/>
    <n v="9"/>
    <n v="0"/>
    <n v="4"/>
    <x v="1"/>
    <x v="0"/>
    <n v="0.62833300000000003"/>
    <n v="0.55496299999999998"/>
    <n v="0.90208299999999997"/>
    <n v="0.12812499999999999"/>
    <n v="555"/>
    <n v="4240"/>
    <n v="4795"/>
    <n v="21.531651"/>
    <n v="20.627558000000001"/>
    <n v="90.208299999999994"/>
    <n v="8.5843749999999996"/>
    <x v="2"/>
    <x v="0"/>
    <x v="0"/>
    <s v="September"/>
    <s v="Thursday"/>
  </r>
  <r>
    <n v="266"/>
    <x v="265"/>
    <n v="4"/>
    <n v="0"/>
    <n v="9"/>
    <n v="0"/>
    <n v="5"/>
    <x v="1"/>
    <x v="0"/>
    <n v="0.60916700000000001"/>
    <n v="0.52212499999999995"/>
    <n v="0.97250000000000003"/>
    <n v="7.8366699999999997E-2"/>
    <n v="258"/>
    <n v="2137"/>
    <n v="2395"/>
    <n v="20.630849000000001"/>
    <n v="18.460249999999995"/>
    <n v="97.25"/>
    <n v="5.2505689000000002"/>
    <x v="3"/>
    <x v="0"/>
    <x v="0"/>
    <s v="September"/>
    <s v="Friday"/>
  </r>
  <r>
    <n v="267"/>
    <x v="266"/>
    <n v="4"/>
    <n v="0"/>
    <n v="9"/>
    <n v="0"/>
    <n v="6"/>
    <x v="0"/>
    <x v="0"/>
    <n v="0.60666699999999996"/>
    <n v="0.56441200000000002"/>
    <n v="0.86250000000000004"/>
    <n v="7.8383300000000003E-2"/>
    <n v="1776"/>
    <n v="3647"/>
    <n v="5423"/>
    <n v="20.513348999999998"/>
    <n v="21.251192000000003"/>
    <n v="86.25"/>
    <n v="5.2516810999999999"/>
    <x v="3"/>
    <x v="0"/>
    <x v="0"/>
    <s v="September"/>
    <s v="Saturday"/>
  </r>
  <r>
    <n v="268"/>
    <x v="267"/>
    <n v="4"/>
    <n v="0"/>
    <n v="9"/>
    <n v="0"/>
    <n v="0"/>
    <x v="0"/>
    <x v="0"/>
    <n v="0.63416700000000004"/>
    <n v="0.57263699999999995"/>
    <n v="0.84499999999999997"/>
    <n v="5.0379199999999999E-2"/>
    <n v="1544"/>
    <n v="3466"/>
    <n v="5010"/>
    <n v="21.805849000000002"/>
    <n v="21.794041999999997"/>
    <n v="84.5"/>
    <n v="3.3754064000000001"/>
    <x v="3"/>
    <x v="0"/>
    <x v="0"/>
    <s v="September"/>
    <s v="Sunday"/>
  </r>
  <r>
    <n v="269"/>
    <x v="268"/>
    <n v="4"/>
    <n v="0"/>
    <n v="9"/>
    <n v="0"/>
    <n v="1"/>
    <x v="1"/>
    <x v="0"/>
    <n v="0.64916700000000005"/>
    <n v="0.58904199999999995"/>
    <n v="0.848333"/>
    <n v="0.11070000000000001"/>
    <n v="684"/>
    <n v="3946"/>
    <n v="4630"/>
    <n v="22.510849000000004"/>
    <n v="22.876771999999995"/>
    <n v="84.833299999999994"/>
    <n v="7.4169"/>
    <x v="3"/>
    <x v="0"/>
    <x v="0"/>
    <s v="September"/>
    <s v="Monday"/>
  </r>
  <r>
    <n v="270"/>
    <x v="269"/>
    <n v="4"/>
    <n v="0"/>
    <n v="9"/>
    <n v="0"/>
    <n v="2"/>
    <x v="1"/>
    <x v="0"/>
    <n v="0.63666699999999998"/>
    <n v="0.57452499999999995"/>
    <n v="0.88541700000000001"/>
    <n v="0.118171"/>
    <n v="477"/>
    <n v="3643"/>
    <n v="4120"/>
    <n v="21.923348999999998"/>
    <n v="21.91865"/>
    <n v="88.541700000000006"/>
    <n v="7.9174569999999997"/>
    <x v="3"/>
    <x v="0"/>
    <x v="0"/>
    <s v="September"/>
    <s v="Tuesday"/>
  </r>
  <r>
    <n v="271"/>
    <x v="270"/>
    <n v="4"/>
    <n v="0"/>
    <n v="9"/>
    <n v="0"/>
    <n v="3"/>
    <x v="1"/>
    <x v="0"/>
    <n v="0.63500000000000001"/>
    <n v="0.57515799999999995"/>
    <n v="0.84875"/>
    <n v="0.14862900000000001"/>
    <n v="480"/>
    <n v="3427"/>
    <n v="3907"/>
    <n v="21.844999999999999"/>
    <n v="21.960427999999993"/>
    <n v="84.875"/>
    <n v="9.9581430000000015"/>
    <x v="3"/>
    <x v="0"/>
    <x v="0"/>
    <s v="September"/>
    <s v="Wednesday"/>
  </r>
  <r>
    <n v="272"/>
    <x v="271"/>
    <n v="4"/>
    <n v="0"/>
    <n v="9"/>
    <n v="0"/>
    <n v="4"/>
    <x v="1"/>
    <x v="1"/>
    <n v="0.61666699999999997"/>
    <n v="0.57451200000000002"/>
    <n v="0.69916699999999998"/>
    <n v="0.17288300000000001"/>
    <n v="653"/>
    <n v="4186"/>
    <n v="4839"/>
    <n v="20.983348999999997"/>
    <n v="21.917791999999999"/>
    <n v="69.916699999999992"/>
    <n v="11.583161"/>
    <x v="3"/>
    <x v="0"/>
    <x v="1"/>
    <s v="September"/>
    <s v="Thursday"/>
  </r>
  <r>
    <n v="273"/>
    <x v="272"/>
    <n v="4"/>
    <n v="0"/>
    <n v="9"/>
    <n v="0"/>
    <n v="5"/>
    <x v="1"/>
    <x v="1"/>
    <n v="0.56416699999999997"/>
    <n v="0.54482900000000001"/>
    <n v="0.64749999999999996"/>
    <n v="0.20647499999999999"/>
    <n v="830"/>
    <n v="4372"/>
    <n v="5202"/>
    <n v="18.515848999999999"/>
    <n v="19.958714000000001"/>
    <n v="64.75"/>
    <n v="13.833824999999999"/>
    <x v="3"/>
    <x v="0"/>
    <x v="1"/>
    <s v="September"/>
    <s v="Friday"/>
  </r>
  <r>
    <n v="274"/>
    <x v="273"/>
    <n v="4"/>
    <n v="0"/>
    <n v="10"/>
    <n v="0"/>
    <n v="6"/>
    <x v="0"/>
    <x v="0"/>
    <n v="0.41"/>
    <n v="0.41286299999999998"/>
    <n v="0.75375000000000003"/>
    <n v="0.292296"/>
    <n v="480"/>
    <n v="1949"/>
    <n v="2429"/>
    <n v="11.27"/>
    <n v="11.248957999999998"/>
    <n v="75.375"/>
    <n v="19.583832000000001"/>
    <x v="3"/>
    <x v="0"/>
    <x v="0"/>
    <s v="October"/>
    <s v="Saturday"/>
  </r>
  <r>
    <n v="275"/>
    <x v="274"/>
    <n v="4"/>
    <n v="0"/>
    <n v="10"/>
    <n v="0"/>
    <n v="0"/>
    <x v="0"/>
    <x v="0"/>
    <n v="0.35666700000000001"/>
    <n v="0.34531699999999999"/>
    <n v="0.79166700000000001"/>
    <n v="0.22201299999999999"/>
    <n v="616"/>
    <n v="2302"/>
    <n v="2918"/>
    <n v="8.7633490000000016"/>
    <n v="6.7909219999999983"/>
    <n v="79.166700000000006"/>
    <n v="14.874870999999999"/>
    <x v="3"/>
    <x v="0"/>
    <x v="0"/>
    <s v="October"/>
    <s v="Sunday"/>
  </r>
  <r>
    <n v="276"/>
    <x v="275"/>
    <n v="4"/>
    <n v="0"/>
    <n v="10"/>
    <n v="0"/>
    <n v="1"/>
    <x v="1"/>
    <x v="0"/>
    <n v="0.38416699999999998"/>
    <n v="0.39204600000000001"/>
    <n v="0.76083299999999998"/>
    <n v="8.3345799999999998E-2"/>
    <n v="330"/>
    <n v="3240"/>
    <n v="3570"/>
    <n v="10.055848999999998"/>
    <n v="9.8750360000000015"/>
    <n v="76.083299999999994"/>
    <n v="5.5841685999999999"/>
    <x v="3"/>
    <x v="0"/>
    <x v="0"/>
    <s v="October"/>
    <s v="Monday"/>
  </r>
  <r>
    <n v="277"/>
    <x v="276"/>
    <n v="4"/>
    <n v="0"/>
    <n v="10"/>
    <n v="0"/>
    <n v="2"/>
    <x v="1"/>
    <x v="1"/>
    <n v="0.48416700000000001"/>
    <n v="0.472858"/>
    <n v="0.71"/>
    <n v="0.20585400000000001"/>
    <n v="486"/>
    <n v="3970"/>
    <n v="4456"/>
    <n v="14.755849000000001"/>
    <n v="15.208628000000001"/>
    <n v="71"/>
    <n v="13.792218"/>
    <x v="3"/>
    <x v="0"/>
    <x v="1"/>
    <s v="October"/>
    <s v="Tuesday"/>
  </r>
  <r>
    <n v="278"/>
    <x v="277"/>
    <n v="4"/>
    <n v="0"/>
    <n v="10"/>
    <n v="0"/>
    <n v="3"/>
    <x v="1"/>
    <x v="1"/>
    <n v="0.53833299999999995"/>
    <n v="0.527138"/>
    <n v="0.64791699999999997"/>
    <n v="0.17724999999999999"/>
    <n v="559"/>
    <n v="4267"/>
    <n v="4826"/>
    <n v="17.301650999999996"/>
    <n v="18.791108000000001"/>
    <n v="64.791699999999992"/>
    <n v="11.87575"/>
    <x v="3"/>
    <x v="0"/>
    <x v="1"/>
    <s v="October"/>
    <s v="Wednesday"/>
  </r>
  <r>
    <n v="279"/>
    <x v="278"/>
    <n v="4"/>
    <n v="0"/>
    <n v="10"/>
    <n v="0"/>
    <n v="4"/>
    <x v="1"/>
    <x v="1"/>
    <n v="0.49416700000000002"/>
    <n v="0.48042499999999999"/>
    <n v="0.62083299999999997"/>
    <n v="0.13495399999999999"/>
    <n v="639"/>
    <n v="4126"/>
    <n v="4765"/>
    <n v="15.225849"/>
    <n v="15.70805"/>
    <n v="62.083299999999994"/>
    <n v="9.041917999999999"/>
    <x v="3"/>
    <x v="0"/>
    <x v="1"/>
    <s v="October"/>
    <s v="Thursday"/>
  </r>
  <r>
    <n v="280"/>
    <x v="279"/>
    <n v="4"/>
    <n v="0"/>
    <n v="10"/>
    <n v="0"/>
    <n v="5"/>
    <x v="1"/>
    <x v="1"/>
    <n v="0.51083299999999998"/>
    <n v="0.50440399999999996"/>
    <n v="0.68416699999999997"/>
    <n v="2.23917E-2"/>
    <n v="949"/>
    <n v="4036"/>
    <n v="4985"/>
    <n v="16.009150999999999"/>
    <n v="17.290664"/>
    <n v="68.416699999999992"/>
    <n v="1.5002439000000001"/>
    <x v="3"/>
    <x v="0"/>
    <x v="1"/>
    <s v="October"/>
    <s v="Friday"/>
  </r>
  <r>
    <n v="281"/>
    <x v="280"/>
    <n v="4"/>
    <n v="0"/>
    <n v="10"/>
    <n v="0"/>
    <n v="6"/>
    <x v="0"/>
    <x v="1"/>
    <n v="0.52166699999999999"/>
    <n v="0.51324199999999998"/>
    <n v="0.70125000000000004"/>
    <n v="4.5404199999999999E-2"/>
    <n v="2235"/>
    <n v="3174"/>
    <n v="5409"/>
    <n v="16.518349000000001"/>
    <n v="17.873971999999995"/>
    <n v="70.125"/>
    <n v="3.0420813999999998"/>
    <x v="3"/>
    <x v="0"/>
    <x v="1"/>
    <s v="October"/>
    <s v="Saturday"/>
  </r>
  <r>
    <n v="282"/>
    <x v="281"/>
    <n v="4"/>
    <n v="0"/>
    <n v="10"/>
    <n v="0"/>
    <n v="0"/>
    <x v="0"/>
    <x v="1"/>
    <n v="0.54083300000000001"/>
    <n v="0.52398299999999998"/>
    <n v="0.72750000000000004"/>
    <n v="6.3450000000000006E-2"/>
    <n v="2397"/>
    <n v="3114"/>
    <n v="5511"/>
    <n v="17.419150999999999"/>
    <n v="18.582878000000001"/>
    <n v="72.75"/>
    <n v="4.2511500000000009"/>
    <x v="3"/>
    <x v="0"/>
    <x v="1"/>
    <s v="October"/>
    <s v="Sunday"/>
  </r>
  <r>
    <n v="283"/>
    <x v="282"/>
    <n v="4"/>
    <n v="0"/>
    <n v="10"/>
    <n v="1"/>
    <n v="1"/>
    <x v="0"/>
    <x v="1"/>
    <n v="0.57083300000000003"/>
    <n v="0.54292499999999999"/>
    <n v="0.73375000000000001"/>
    <n v="4.23042E-2"/>
    <n v="1514"/>
    <n v="3603"/>
    <n v="5117"/>
    <n v="18.829151000000003"/>
    <n v="19.83305"/>
    <n v="73.375"/>
    <n v="2.8343813999999998"/>
    <x v="3"/>
    <x v="0"/>
    <x v="1"/>
    <s v="October"/>
    <s v="Monday"/>
  </r>
  <r>
    <n v="284"/>
    <x v="283"/>
    <n v="4"/>
    <n v="0"/>
    <n v="10"/>
    <n v="0"/>
    <n v="2"/>
    <x v="1"/>
    <x v="0"/>
    <n v="0.56666700000000003"/>
    <n v="0.54609600000000003"/>
    <n v="0.80874999999999997"/>
    <n v="0.143042"/>
    <n v="667"/>
    <n v="3896"/>
    <n v="4563"/>
    <n v="18.633349000000003"/>
    <n v="20.042335999999999"/>
    <n v="80.875"/>
    <n v="9.5838140000000003"/>
    <x v="3"/>
    <x v="0"/>
    <x v="0"/>
    <s v="October"/>
    <s v="Tuesday"/>
  </r>
  <r>
    <n v="285"/>
    <x v="284"/>
    <n v="4"/>
    <n v="0"/>
    <n v="10"/>
    <n v="0"/>
    <n v="3"/>
    <x v="1"/>
    <x v="2"/>
    <n v="0.54333299999999995"/>
    <n v="0.51771699999999998"/>
    <n v="0.90625"/>
    <n v="0.24815000000000001"/>
    <n v="217"/>
    <n v="2199"/>
    <n v="2416"/>
    <n v="17.536650999999999"/>
    <n v="18.169322000000001"/>
    <n v="90.625"/>
    <n v="16.626049999999999"/>
    <x v="3"/>
    <x v="0"/>
    <x v="2"/>
    <s v="October"/>
    <s v="Wednesday"/>
  </r>
  <r>
    <n v="286"/>
    <x v="285"/>
    <n v="4"/>
    <n v="0"/>
    <n v="10"/>
    <n v="0"/>
    <n v="4"/>
    <x v="1"/>
    <x v="0"/>
    <n v="0.589167"/>
    <n v="0.55180399999999996"/>
    <n v="0.89666699999999999"/>
    <n v="0.141787"/>
    <n v="290"/>
    <n v="2623"/>
    <n v="2913"/>
    <n v="19.690849"/>
    <n v="20.419063999999999"/>
    <n v="89.666700000000006"/>
    <n v="9.4997290000000003"/>
    <x v="3"/>
    <x v="0"/>
    <x v="0"/>
    <s v="October"/>
    <s v="Thursday"/>
  </r>
  <r>
    <n v="287"/>
    <x v="286"/>
    <n v="4"/>
    <n v="0"/>
    <n v="10"/>
    <n v="0"/>
    <n v="5"/>
    <x v="1"/>
    <x v="0"/>
    <n v="0.55083300000000002"/>
    <n v="0.52967500000000001"/>
    <n v="0.71625000000000005"/>
    <n v="0.223883"/>
    <n v="529"/>
    <n v="3115"/>
    <n v="3644"/>
    <n v="17.889151000000002"/>
    <n v="18.958550000000002"/>
    <n v="71.625"/>
    <n v="15.000161"/>
    <x v="3"/>
    <x v="0"/>
    <x v="0"/>
    <s v="October"/>
    <s v="Friday"/>
  </r>
  <r>
    <n v="288"/>
    <x v="287"/>
    <n v="4"/>
    <n v="0"/>
    <n v="10"/>
    <n v="0"/>
    <n v="6"/>
    <x v="0"/>
    <x v="1"/>
    <n v="0.50666699999999998"/>
    <n v="0.49872499999999997"/>
    <n v="0.48333300000000001"/>
    <n v="0.25808300000000001"/>
    <n v="1899"/>
    <n v="3318"/>
    <n v="5217"/>
    <n v="15.813348999999999"/>
    <n v="16.915849999999999"/>
    <n v="48.333300000000001"/>
    <n v="17.291561000000002"/>
    <x v="3"/>
    <x v="0"/>
    <x v="1"/>
    <s v="October"/>
    <s v="Saturday"/>
  </r>
  <r>
    <n v="289"/>
    <x v="288"/>
    <n v="4"/>
    <n v="0"/>
    <n v="10"/>
    <n v="0"/>
    <n v="0"/>
    <x v="0"/>
    <x v="1"/>
    <n v="0.51166699999999998"/>
    <n v="0.50315399999999999"/>
    <n v="0.48666700000000002"/>
    <n v="0.281717"/>
    <n v="1748"/>
    <n v="3293"/>
    <n v="5041"/>
    <n v="16.048348999999998"/>
    <n v="17.208163999999996"/>
    <n v="48.666699999999999"/>
    <n v="18.875039000000001"/>
    <x v="3"/>
    <x v="0"/>
    <x v="1"/>
    <s v="October"/>
    <s v="Sunday"/>
  </r>
  <r>
    <n v="290"/>
    <x v="289"/>
    <n v="4"/>
    <n v="0"/>
    <n v="10"/>
    <n v="0"/>
    <n v="1"/>
    <x v="1"/>
    <x v="1"/>
    <n v="0.53416699999999995"/>
    <n v="0.51072499999999998"/>
    <n v="0.57958299999999996"/>
    <n v="0.17537900000000001"/>
    <n v="713"/>
    <n v="3857"/>
    <n v="4570"/>
    <n v="17.105848999999999"/>
    <n v="17.707850000000001"/>
    <n v="57.958299999999994"/>
    <n v="11.750393000000001"/>
    <x v="3"/>
    <x v="0"/>
    <x v="1"/>
    <s v="October"/>
    <s v="Monday"/>
  </r>
  <r>
    <n v="291"/>
    <x v="290"/>
    <n v="4"/>
    <n v="0"/>
    <n v="10"/>
    <n v="0"/>
    <n v="2"/>
    <x v="1"/>
    <x v="0"/>
    <n v="0.53249999999999997"/>
    <n v="0.52272099999999999"/>
    <n v="0.70166700000000004"/>
    <n v="0.110087"/>
    <n v="637"/>
    <n v="4111"/>
    <n v="4748"/>
    <n v="17.0275"/>
    <n v="18.499586000000001"/>
    <n v="70.166700000000006"/>
    <n v="7.3758290000000004"/>
    <x v="3"/>
    <x v="0"/>
    <x v="0"/>
    <s v="October"/>
    <s v="Tuesday"/>
  </r>
  <r>
    <n v="292"/>
    <x v="291"/>
    <n v="4"/>
    <n v="0"/>
    <n v="10"/>
    <n v="0"/>
    <n v="3"/>
    <x v="1"/>
    <x v="2"/>
    <n v="0.54173899999999997"/>
    <n v="0.51384799999999997"/>
    <n v="0.89521700000000004"/>
    <n v="0.243339"/>
    <n v="254"/>
    <n v="2170"/>
    <n v="2424"/>
    <n v="17.461732999999999"/>
    <n v="17.913967999999997"/>
    <n v="89.52170000000001"/>
    <n v="16.303712999999998"/>
    <x v="3"/>
    <x v="0"/>
    <x v="2"/>
    <s v="October"/>
    <s v="Wednesday"/>
  </r>
  <r>
    <n v="293"/>
    <x v="292"/>
    <n v="4"/>
    <n v="0"/>
    <n v="10"/>
    <n v="0"/>
    <n v="4"/>
    <x v="1"/>
    <x v="1"/>
    <n v="0.47583300000000001"/>
    <n v="0.46652500000000002"/>
    <n v="0.63624999999999998"/>
    <n v="0.42227500000000001"/>
    <n v="471"/>
    <n v="3724"/>
    <n v="4195"/>
    <n v="14.364151"/>
    <n v="14.790650000000003"/>
    <n v="63.625"/>
    <n v="28.292425000000001"/>
    <x v="3"/>
    <x v="0"/>
    <x v="1"/>
    <s v="October"/>
    <s v="Thursday"/>
  </r>
  <r>
    <n v="294"/>
    <x v="293"/>
    <n v="4"/>
    <n v="0"/>
    <n v="10"/>
    <n v="0"/>
    <n v="5"/>
    <x v="1"/>
    <x v="1"/>
    <n v="0.42749999999999999"/>
    <n v="0.42359599999999997"/>
    <n v="0.57416699999999998"/>
    <n v="0.22139600000000001"/>
    <n v="676"/>
    <n v="3628"/>
    <n v="4304"/>
    <n v="12.092500000000001"/>
    <n v="11.957335999999998"/>
    <n v="57.416699999999999"/>
    <n v="14.833532"/>
    <x v="3"/>
    <x v="0"/>
    <x v="1"/>
    <s v="October"/>
    <s v="Friday"/>
  </r>
  <r>
    <n v="295"/>
    <x v="294"/>
    <n v="4"/>
    <n v="0"/>
    <n v="10"/>
    <n v="0"/>
    <n v="6"/>
    <x v="0"/>
    <x v="1"/>
    <n v="0.42249999999999999"/>
    <n v="0.42549199999999998"/>
    <n v="0.62916700000000003"/>
    <n v="9.2666700000000005E-2"/>
    <n v="1499"/>
    <n v="2809"/>
    <n v="4308"/>
    <n v="11.857499999999998"/>
    <n v="12.082471999999999"/>
    <n v="62.916700000000006"/>
    <n v="6.2086689000000002"/>
    <x v="3"/>
    <x v="0"/>
    <x v="1"/>
    <s v="October"/>
    <s v="Saturday"/>
  </r>
  <r>
    <n v="296"/>
    <x v="295"/>
    <n v="4"/>
    <n v="0"/>
    <n v="10"/>
    <n v="0"/>
    <n v="0"/>
    <x v="0"/>
    <x v="1"/>
    <n v="0.42166700000000001"/>
    <n v="0.42233300000000001"/>
    <n v="0.74124999999999996"/>
    <n v="9.9512500000000004E-2"/>
    <n v="1619"/>
    <n v="2762"/>
    <n v="4381"/>
    <n v="11.818349000000001"/>
    <n v="11.873978000000001"/>
    <n v="74.125"/>
    <n v="6.6673375000000004"/>
    <x v="3"/>
    <x v="0"/>
    <x v="1"/>
    <s v="October"/>
    <s v="Sunday"/>
  </r>
  <r>
    <n v="297"/>
    <x v="296"/>
    <n v="4"/>
    <n v="0"/>
    <n v="10"/>
    <n v="0"/>
    <n v="1"/>
    <x v="1"/>
    <x v="1"/>
    <n v="0.46333299999999999"/>
    <n v="0.457067"/>
    <n v="0.77208299999999996"/>
    <n v="0.11879199999999999"/>
    <n v="699"/>
    <n v="3488"/>
    <n v="4187"/>
    <n v="13.776651000000001"/>
    <n v="14.166422000000001"/>
    <n v="77.208299999999994"/>
    <n v="7.9590639999999997"/>
    <x v="3"/>
    <x v="0"/>
    <x v="1"/>
    <s v="October"/>
    <s v="Monday"/>
  </r>
  <r>
    <n v="298"/>
    <x v="297"/>
    <n v="4"/>
    <n v="0"/>
    <n v="10"/>
    <n v="0"/>
    <n v="2"/>
    <x v="1"/>
    <x v="1"/>
    <n v="0.471667"/>
    <n v="0.46337499999999998"/>
    <n v="0.62291700000000005"/>
    <n v="0.166658"/>
    <n v="695"/>
    <n v="3992"/>
    <n v="4687"/>
    <n v="14.168348999999999"/>
    <n v="14.582749999999997"/>
    <n v="62.291700000000006"/>
    <n v="11.166086"/>
    <x v="3"/>
    <x v="0"/>
    <x v="1"/>
    <s v="October"/>
    <s v="Tuesday"/>
  </r>
  <r>
    <n v="299"/>
    <x v="298"/>
    <n v="4"/>
    <n v="0"/>
    <n v="10"/>
    <n v="0"/>
    <n v="3"/>
    <x v="1"/>
    <x v="0"/>
    <n v="0.48416700000000001"/>
    <n v="0.47284599999999999"/>
    <n v="0.72041699999999997"/>
    <n v="0.148642"/>
    <n v="404"/>
    <n v="3490"/>
    <n v="3894"/>
    <n v="14.755849000000001"/>
    <n v="15.207836"/>
    <n v="72.041699999999992"/>
    <n v="9.9590139999999998"/>
    <x v="3"/>
    <x v="0"/>
    <x v="0"/>
    <s v="October"/>
    <s v="Wednesday"/>
  </r>
  <r>
    <n v="300"/>
    <x v="299"/>
    <n v="4"/>
    <n v="0"/>
    <n v="10"/>
    <n v="0"/>
    <n v="4"/>
    <x v="1"/>
    <x v="0"/>
    <n v="0.47"/>
    <n v="0.45704600000000001"/>
    <n v="0.812917"/>
    <n v="0.19776299999999999"/>
    <n v="240"/>
    <n v="2419"/>
    <n v="2659"/>
    <n v="14.09"/>
    <n v="14.165036000000001"/>
    <n v="81.291700000000006"/>
    <n v="13.250121"/>
    <x v="3"/>
    <x v="0"/>
    <x v="0"/>
    <s v="October"/>
    <s v="Thursday"/>
  </r>
  <r>
    <n v="301"/>
    <x v="300"/>
    <n v="4"/>
    <n v="0"/>
    <n v="10"/>
    <n v="0"/>
    <n v="5"/>
    <x v="1"/>
    <x v="0"/>
    <n v="0.33083299999999999"/>
    <n v="0.31881199999999998"/>
    <n v="0.58583300000000005"/>
    <n v="0.22947899999999999"/>
    <n v="456"/>
    <n v="3291"/>
    <n v="3747"/>
    <n v="7.5491510000000002"/>
    <n v="5.0415919999999979"/>
    <n v="58.583300000000008"/>
    <n v="15.375093"/>
    <x v="3"/>
    <x v="0"/>
    <x v="0"/>
    <s v="October"/>
    <s v="Friday"/>
  </r>
  <r>
    <n v="302"/>
    <x v="301"/>
    <n v="4"/>
    <n v="0"/>
    <n v="10"/>
    <n v="0"/>
    <n v="6"/>
    <x v="0"/>
    <x v="2"/>
    <n v="0.25416699999999998"/>
    <n v="0.227913"/>
    <n v="0.88249999999999995"/>
    <n v="0.35137099999999999"/>
    <n v="57"/>
    <n v="570"/>
    <n v="627"/>
    <n v="3.9458489999999991"/>
    <n v="-0.95774199999999965"/>
    <n v="88.25"/>
    <n v="23.541857"/>
    <x v="3"/>
    <x v="0"/>
    <x v="2"/>
    <s v="October"/>
    <s v="Saturday"/>
  </r>
  <r>
    <n v="303"/>
    <x v="302"/>
    <n v="4"/>
    <n v="0"/>
    <n v="10"/>
    <n v="0"/>
    <n v="0"/>
    <x v="0"/>
    <x v="1"/>
    <n v="0.31916699999999998"/>
    <n v="0.32132899999999998"/>
    <n v="0.62375000000000003"/>
    <n v="0.176617"/>
    <n v="885"/>
    <n v="2446"/>
    <n v="3331"/>
    <n v="7.0008489999999988"/>
    <n v="5.2077139999999993"/>
    <n v="62.375"/>
    <n v="11.833339"/>
    <x v="3"/>
    <x v="0"/>
    <x v="1"/>
    <s v="October"/>
    <s v="Sunday"/>
  </r>
  <r>
    <n v="304"/>
    <x v="303"/>
    <n v="4"/>
    <n v="0"/>
    <n v="10"/>
    <n v="0"/>
    <n v="1"/>
    <x v="1"/>
    <x v="1"/>
    <n v="0.34"/>
    <n v="0.35606300000000002"/>
    <n v="0.70333299999999999"/>
    <n v="0.10635"/>
    <n v="362"/>
    <n v="3307"/>
    <n v="3669"/>
    <n v="7.98"/>
    <n v="7.5001580000000025"/>
    <n v="70.333299999999994"/>
    <n v="7.1254499999999998"/>
    <x v="3"/>
    <x v="0"/>
    <x v="1"/>
    <s v="October"/>
    <s v="Monday"/>
  </r>
  <r>
    <n v="305"/>
    <x v="304"/>
    <n v="4"/>
    <n v="0"/>
    <n v="11"/>
    <n v="0"/>
    <n v="2"/>
    <x v="1"/>
    <x v="1"/>
    <n v="0.40083299999999999"/>
    <n v="0.397088"/>
    <n v="0.68374999999999997"/>
    <n v="0.135571"/>
    <n v="410"/>
    <n v="3658"/>
    <n v="4068"/>
    <n v="10.839151000000001"/>
    <n v="10.207808"/>
    <n v="68.375"/>
    <n v="9.0832569999999997"/>
    <x v="3"/>
    <x v="0"/>
    <x v="1"/>
    <s v="November"/>
    <s v="Tuesday"/>
  </r>
  <r>
    <n v="306"/>
    <x v="305"/>
    <n v="4"/>
    <n v="0"/>
    <n v="11"/>
    <n v="0"/>
    <n v="3"/>
    <x v="1"/>
    <x v="1"/>
    <n v="0.3775"/>
    <n v="0.39013300000000001"/>
    <n v="0.71875"/>
    <n v="8.2091700000000004E-2"/>
    <n v="370"/>
    <n v="3816"/>
    <n v="4186"/>
    <n v="9.7424999999999997"/>
    <n v="9.7487780000000015"/>
    <n v="71.875"/>
    <n v="5.5001439000000003"/>
    <x v="3"/>
    <x v="0"/>
    <x v="1"/>
    <s v="November"/>
    <s v="Wednesday"/>
  </r>
  <r>
    <n v="307"/>
    <x v="306"/>
    <n v="4"/>
    <n v="0"/>
    <n v="11"/>
    <n v="0"/>
    <n v="4"/>
    <x v="1"/>
    <x v="1"/>
    <n v="0.408333"/>
    <n v="0.40592099999999998"/>
    <n v="0.70208300000000001"/>
    <n v="0.13681699999999999"/>
    <n v="318"/>
    <n v="3656"/>
    <n v="3974"/>
    <n v="11.191651"/>
    <n v="10.790785999999997"/>
    <n v="70.208300000000008"/>
    <n v="9.1667389999999997"/>
    <x v="3"/>
    <x v="0"/>
    <x v="1"/>
    <s v="November"/>
    <s v="Thursday"/>
  </r>
  <r>
    <n v="308"/>
    <x v="307"/>
    <n v="4"/>
    <n v="0"/>
    <n v="11"/>
    <n v="0"/>
    <n v="5"/>
    <x v="1"/>
    <x v="0"/>
    <n v="0.403333"/>
    <n v="0.40339199999999997"/>
    <n v="0.62250000000000005"/>
    <n v="0.27177899999999999"/>
    <n v="470"/>
    <n v="3576"/>
    <n v="4046"/>
    <n v="10.956651000000001"/>
    <n v="10.623871999999999"/>
    <n v="62.250000000000007"/>
    <n v="18.209192999999999"/>
    <x v="3"/>
    <x v="0"/>
    <x v="0"/>
    <s v="November"/>
    <s v="Friday"/>
  </r>
  <r>
    <n v="309"/>
    <x v="308"/>
    <n v="4"/>
    <n v="0"/>
    <n v="11"/>
    <n v="0"/>
    <n v="6"/>
    <x v="0"/>
    <x v="1"/>
    <n v="0.32666699999999999"/>
    <n v="0.32385399999999998"/>
    <n v="0.51916700000000005"/>
    <n v="0.18906200000000001"/>
    <n v="1156"/>
    <n v="2770"/>
    <n v="3926"/>
    <n v="7.3533489999999997"/>
    <n v="5.3743639999999999"/>
    <n v="51.916700000000006"/>
    <n v="12.667154"/>
    <x v="3"/>
    <x v="0"/>
    <x v="1"/>
    <s v="November"/>
    <s v="Saturday"/>
  </r>
  <r>
    <n v="310"/>
    <x v="309"/>
    <n v="4"/>
    <n v="0"/>
    <n v="11"/>
    <n v="0"/>
    <n v="0"/>
    <x v="0"/>
    <x v="1"/>
    <n v="0.348333"/>
    <n v="0.36235800000000001"/>
    <n v="0.73458299999999999"/>
    <n v="9.2054200000000003E-2"/>
    <n v="952"/>
    <n v="2697"/>
    <n v="3649"/>
    <n v="8.371651"/>
    <n v="7.9156280000000017"/>
    <n v="73.458299999999994"/>
    <n v="6.1676314000000003"/>
    <x v="3"/>
    <x v="0"/>
    <x v="1"/>
    <s v="November"/>
    <s v="Sunday"/>
  </r>
  <r>
    <n v="311"/>
    <x v="310"/>
    <n v="4"/>
    <n v="0"/>
    <n v="11"/>
    <n v="0"/>
    <n v="1"/>
    <x v="1"/>
    <x v="1"/>
    <n v="0.39500000000000002"/>
    <n v="0.40087099999999998"/>
    <n v="0.75875000000000004"/>
    <n v="5.7224999999999998E-2"/>
    <n v="373"/>
    <n v="3662"/>
    <n v="4035"/>
    <n v="10.565000000000001"/>
    <n v="10.457485999999999"/>
    <n v="75.875"/>
    <n v="3.8340749999999999"/>
    <x v="3"/>
    <x v="0"/>
    <x v="1"/>
    <s v="November"/>
    <s v="Monday"/>
  </r>
  <r>
    <n v="312"/>
    <x v="311"/>
    <n v="4"/>
    <n v="0"/>
    <n v="11"/>
    <n v="0"/>
    <n v="2"/>
    <x v="1"/>
    <x v="1"/>
    <n v="0.408333"/>
    <n v="0.412246"/>
    <n v="0.72166699999999995"/>
    <n v="6.9037500000000002E-2"/>
    <n v="376"/>
    <n v="3829"/>
    <n v="4205"/>
    <n v="11.191651"/>
    <n v="11.208235999999999"/>
    <n v="72.166699999999992"/>
    <n v="4.6255125000000001"/>
    <x v="3"/>
    <x v="0"/>
    <x v="1"/>
    <s v="November"/>
    <s v="Tuesday"/>
  </r>
  <r>
    <n v="313"/>
    <x v="312"/>
    <n v="4"/>
    <n v="0"/>
    <n v="11"/>
    <n v="0"/>
    <n v="3"/>
    <x v="1"/>
    <x v="1"/>
    <n v="0.4"/>
    <n v="0.40907900000000003"/>
    <n v="0.75833300000000003"/>
    <n v="6.2195800000000002E-2"/>
    <n v="305"/>
    <n v="3804"/>
    <n v="4109"/>
    <n v="10.8"/>
    <n v="10.999214000000002"/>
    <n v="75.833300000000008"/>
    <n v="4.1671186000000002"/>
    <x v="3"/>
    <x v="0"/>
    <x v="1"/>
    <s v="November"/>
    <s v="Wednesday"/>
  </r>
  <r>
    <n v="314"/>
    <x v="313"/>
    <n v="4"/>
    <n v="0"/>
    <n v="11"/>
    <n v="0"/>
    <n v="4"/>
    <x v="1"/>
    <x v="0"/>
    <n v="0.38"/>
    <n v="0.37372100000000003"/>
    <n v="0.81333299999999997"/>
    <n v="0.18906700000000001"/>
    <n v="190"/>
    <n v="2743"/>
    <n v="2933"/>
    <n v="9.86"/>
    <n v="8.6655860000000011"/>
    <n v="81.333299999999994"/>
    <n v="12.667489000000002"/>
    <x v="3"/>
    <x v="0"/>
    <x v="0"/>
    <s v="November"/>
    <s v="Thursday"/>
  </r>
  <r>
    <n v="315"/>
    <x v="314"/>
    <n v="4"/>
    <n v="0"/>
    <n v="11"/>
    <n v="1"/>
    <n v="5"/>
    <x v="0"/>
    <x v="1"/>
    <n v="0.32416699999999998"/>
    <n v="0.30681700000000001"/>
    <n v="0.44624999999999998"/>
    <n v="0.31467499999999998"/>
    <n v="440"/>
    <n v="2928"/>
    <n v="3368"/>
    <n v="7.235849"/>
    <n v="4.2499220000000015"/>
    <n v="44.625"/>
    <n v="21.083224999999999"/>
    <x v="3"/>
    <x v="0"/>
    <x v="1"/>
    <s v="November"/>
    <s v="Friday"/>
  </r>
  <r>
    <n v="316"/>
    <x v="315"/>
    <n v="4"/>
    <n v="0"/>
    <n v="11"/>
    <n v="0"/>
    <n v="6"/>
    <x v="0"/>
    <x v="1"/>
    <n v="0.35666700000000001"/>
    <n v="0.35794199999999998"/>
    <n v="0.55291699999999999"/>
    <n v="0.212062"/>
    <n v="1275"/>
    <n v="2792"/>
    <n v="4067"/>
    <n v="8.7633490000000016"/>
    <n v="7.624171999999998"/>
    <n v="55.291699999999999"/>
    <n v="14.208154"/>
    <x v="3"/>
    <x v="0"/>
    <x v="1"/>
    <s v="November"/>
    <s v="Saturday"/>
  </r>
  <r>
    <n v="317"/>
    <x v="316"/>
    <n v="4"/>
    <n v="0"/>
    <n v="11"/>
    <n v="0"/>
    <n v="0"/>
    <x v="0"/>
    <x v="1"/>
    <n v="0.44083299999999997"/>
    <n v="0.43054999999999999"/>
    <n v="0.45833299999999999"/>
    <n v="0.281721"/>
    <n v="1004"/>
    <n v="2713"/>
    <n v="3717"/>
    <n v="12.719151"/>
    <n v="12.4163"/>
    <n v="45.833300000000001"/>
    <n v="18.875306999999999"/>
    <x v="3"/>
    <x v="0"/>
    <x v="1"/>
    <s v="November"/>
    <s v="Sunday"/>
  </r>
  <r>
    <n v="318"/>
    <x v="317"/>
    <n v="4"/>
    <n v="0"/>
    <n v="11"/>
    <n v="0"/>
    <n v="1"/>
    <x v="1"/>
    <x v="1"/>
    <n v="0.53"/>
    <n v="0.52461199999999997"/>
    <n v="0.58708300000000002"/>
    <n v="0.30659599999999998"/>
    <n v="595"/>
    <n v="3891"/>
    <n v="4486"/>
    <n v="16.91"/>
    <n v="18.624392"/>
    <n v="58.708300000000001"/>
    <n v="20.541931999999999"/>
    <x v="3"/>
    <x v="0"/>
    <x v="1"/>
    <s v="November"/>
    <s v="Monday"/>
  </r>
  <r>
    <n v="319"/>
    <x v="318"/>
    <n v="4"/>
    <n v="0"/>
    <n v="11"/>
    <n v="0"/>
    <n v="2"/>
    <x v="1"/>
    <x v="0"/>
    <n v="0.53"/>
    <n v="0.507579"/>
    <n v="0.68874999999999997"/>
    <n v="0.199633"/>
    <n v="449"/>
    <n v="3746"/>
    <n v="4195"/>
    <n v="16.91"/>
    <n v="17.500214"/>
    <n v="68.875"/>
    <n v="13.375411"/>
    <x v="3"/>
    <x v="0"/>
    <x v="0"/>
    <s v="November"/>
    <s v="Tuesday"/>
  </r>
  <r>
    <n v="320"/>
    <x v="319"/>
    <n v="4"/>
    <n v="0"/>
    <n v="11"/>
    <n v="0"/>
    <n v="3"/>
    <x v="1"/>
    <x v="2"/>
    <n v="0.45666699999999999"/>
    <n v="0.451988"/>
    <n v="0.93"/>
    <n v="0.13682900000000001"/>
    <n v="145"/>
    <n v="1672"/>
    <n v="1817"/>
    <n v="13.463349000000001"/>
    <n v="13.831208"/>
    <n v="93"/>
    <n v="9.1675430000000002"/>
    <x v="3"/>
    <x v="0"/>
    <x v="2"/>
    <s v="November"/>
    <s v="Wednesday"/>
  </r>
  <r>
    <n v="321"/>
    <x v="320"/>
    <n v="4"/>
    <n v="0"/>
    <n v="11"/>
    <n v="0"/>
    <n v="4"/>
    <x v="1"/>
    <x v="0"/>
    <n v="0.341667"/>
    <n v="0.32322099999999998"/>
    <n v="0.57583300000000004"/>
    <n v="0.30536200000000002"/>
    <n v="139"/>
    <n v="2914"/>
    <n v="3053"/>
    <n v="8.0583489999999998"/>
    <n v="5.3325859999999992"/>
    <n v="57.583300000000001"/>
    <n v="20.459254000000001"/>
    <x v="3"/>
    <x v="0"/>
    <x v="0"/>
    <s v="November"/>
    <s v="Thursday"/>
  </r>
  <r>
    <n v="322"/>
    <x v="321"/>
    <n v="4"/>
    <n v="0"/>
    <n v="11"/>
    <n v="0"/>
    <n v="5"/>
    <x v="1"/>
    <x v="1"/>
    <n v="0.27416699999999999"/>
    <n v="0.27272099999999999"/>
    <n v="0.41"/>
    <n v="0.16853299999999999"/>
    <n v="245"/>
    <n v="3147"/>
    <n v="3392"/>
    <n v="4.8858490000000003"/>
    <n v="1.9995860000000008"/>
    <n v="41"/>
    <n v="11.291710999999999"/>
    <x v="3"/>
    <x v="0"/>
    <x v="1"/>
    <s v="November"/>
    <s v="Friday"/>
  </r>
  <r>
    <n v="323"/>
    <x v="322"/>
    <n v="4"/>
    <n v="0"/>
    <n v="11"/>
    <n v="0"/>
    <n v="6"/>
    <x v="0"/>
    <x v="1"/>
    <n v="0.32916699999999999"/>
    <n v="0.32448300000000002"/>
    <n v="0.50208299999999995"/>
    <n v="0.224496"/>
    <n v="943"/>
    <n v="2720"/>
    <n v="3663"/>
    <n v="7.4708489999999994"/>
    <n v="5.4158780000000029"/>
    <n v="50.208299999999994"/>
    <n v="15.041232000000001"/>
    <x v="3"/>
    <x v="0"/>
    <x v="1"/>
    <s v="November"/>
    <s v="Saturday"/>
  </r>
  <r>
    <n v="324"/>
    <x v="323"/>
    <n v="4"/>
    <n v="0"/>
    <n v="11"/>
    <n v="0"/>
    <n v="0"/>
    <x v="0"/>
    <x v="0"/>
    <n v="0.46333299999999999"/>
    <n v="0.45705800000000002"/>
    <n v="0.68458300000000005"/>
    <n v="0.18595"/>
    <n v="787"/>
    <n v="2733"/>
    <n v="3520"/>
    <n v="13.776651000000001"/>
    <n v="14.165828000000001"/>
    <n v="68.458300000000008"/>
    <n v="12.45865"/>
    <x v="3"/>
    <x v="0"/>
    <x v="0"/>
    <s v="November"/>
    <s v="Sunday"/>
  </r>
  <r>
    <n v="325"/>
    <x v="324"/>
    <n v="4"/>
    <n v="0"/>
    <n v="11"/>
    <n v="0"/>
    <n v="1"/>
    <x v="1"/>
    <x v="2"/>
    <n v="0.44750000000000001"/>
    <n v="0.44506200000000001"/>
    <n v="0.91"/>
    <n v="0.13805400000000001"/>
    <n v="220"/>
    <n v="2545"/>
    <n v="2765"/>
    <n v="13.032499999999999"/>
    <n v="13.374092000000001"/>
    <n v="91"/>
    <n v="9.2496179999999999"/>
    <x v="3"/>
    <x v="0"/>
    <x v="2"/>
    <s v="November"/>
    <s v="Monday"/>
  </r>
  <r>
    <n v="326"/>
    <x v="325"/>
    <n v="4"/>
    <n v="0"/>
    <n v="11"/>
    <n v="0"/>
    <n v="2"/>
    <x v="1"/>
    <x v="2"/>
    <n v="0.41666700000000001"/>
    <n v="0.42169600000000002"/>
    <n v="0.96250000000000002"/>
    <n v="0.11879199999999999"/>
    <n v="69"/>
    <n v="1538"/>
    <n v="1607"/>
    <n v="11.583349000000002"/>
    <n v="11.831936000000002"/>
    <n v="96.25"/>
    <n v="7.9590639999999997"/>
    <x v="3"/>
    <x v="0"/>
    <x v="2"/>
    <s v="November"/>
    <s v="Tuesday"/>
  </r>
  <r>
    <n v="327"/>
    <x v="326"/>
    <n v="4"/>
    <n v="0"/>
    <n v="11"/>
    <n v="0"/>
    <n v="3"/>
    <x v="1"/>
    <x v="0"/>
    <n v="0.44083299999999997"/>
    <n v="0.430537"/>
    <n v="0.75791699999999995"/>
    <n v="0.33582499999999998"/>
    <n v="112"/>
    <n v="2454"/>
    <n v="2566"/>
    <n v="12.719151"/>
    <n v="12.415441999999999"/>
    <n v="75.791699999999992"/>
    <n v="22.500274999999998"/>
    <x v="3"/>
    <x v="0"/>
    <x v="0"/>
    <s v="November"/>
    <s v="Wednesday"/>
  </r>
  <r>
    <n v="328"/>
    <x v="327"/>
    <n v="4"/>
    <n v="0"/>
    <n v="11"/>
    <n v="1"/>
    <n v="4"/>
    <x v="0"/>
    <x v="1"/>
    <n v="0.37333300000000003"/>
    <n v="0.372471"/>
    <n v="0.54916699999999996"/>
    <n v="0.16730400000000001"/>
    <n v="560"/>
    <n v="935"/>
    <n v="1495"/>
    <n v="9.5466510000000007"/>
    <n v="8.5830860000000015"/>
    <n v="54.916699999999999"/>
    <n v="11.209368000000001"/>
    <x v="3"/>
    <x v="0"/>
    <x v="1"/>
    <s v="November"/>
    <s v="Thursday"/>
  </r>
  <r>
    <n v="329"/>
    <x v="328"/>
    <n v="4"/>
    <n v="0"/>
    <n v="11"/>
    <n v="0"/>
    <n v="5"/>
    <x v="1"/>
    <x v="1"/>
    <n v="0.375"/>
    <n v="0.38067099999999998"/>
    <n v="0.64375000000000004"/>
    <n v="9.8895800000000006E-2"/>
    <n v="1095"/>
    <n v="1697"/>
    <n v="2792"/>
    <n v="9.625"/>
    <n v="9.1242859999999979"/>
    <n v="64.375"/>
    <n v="6.6260186000000001"/>
    <x v="3"/>
    <x v="0"/>
    <x v="1"/>
    <s v="November"/>
    <s v="Friday"/>
  </r>
  <r>
    <n v="330"/>
    <x v="329"/>
    <n v="4"/>
    <n v="0"/>
    <n v="11"/>
    <n v="0"/>
    <n v="6"/>
    <x v="0"/>
    <x v="1"/>
    <n v="0.37583299999999997"/>
    <n v="0.38508700000000001"/>
    <n v="0.68166700000000002"/>
    <n v="6.8420800000000004E-2"/>
    <n v="1249"/>
    <n v="1819"/>
    <n v="3068"/>
    <n v="9.6641510000000004"/>
    <n v="9.4157420000000016"/>
    <n v="68.166700000000006"/>
    <n v="4.5841935999999999"/>
    <x v="3"/>
    <x v="0"/>
    <x v="1"/>
    <s v="November"/>
    <s v="Saturday"/>
  </r>
  <r>
    <n v="331"/>
    <x v="330"/>
    <n v="4"/>
    <n v="0"/>
    <n v="11"/>
    <n v="0"/>
    <n v="0"/>
    <x v="0"/>
    <x v="1"/>
    <n v="0.45916699999999999"/>
    <n v="0.45579999999999998"/>
    <n v="0.69833299999999998"/>
    <n v="0.208954"/>
    <n v="810"/>
    <n v="2261"/>
    <n v="3071"/>
    <n v="13.580849000000001"/>
    <n v="14.082799999999999"/>
    <n v="69.833299999999994"/>
    <n v="13.999917999999999"/>
    <x v="3"/>
    <x v="0"/>
    <x v="1"/>
    <s v="November"/>
    <s v="Sunday"/>
  </r>
  <r>
    <n v="332"/>
    <x v="331"/>
    <n v="4"/>
    <n v="0"/>
    <n v="11"/>
    <n v="0"/>
    <n v="1"/>
    <x v="1"/>
    <x v="1"/>
    <n v="0.50347799999999998"/>
    <n v="0.490122"/>
    <n v="0.74304300000000001"/>
    <n v="0.142122"/>
    <n v="253"/>
    <n v="3614"/>
    <n v="3867"/>
    <n v="15.663466"/>
    <n v="16.348052000000003"/>
    <n v="74.304299999999998"/>
    <n v="9.5221739999999997"/>
    <x v="3"/>
    <x v="0"/>
    <x v="1"/>
    <s v="November"/>
    <s v="Monday"/>
  </r>
  <r>
    <n v="333"/>
    <x v="332"/>
    <n v="4"/>
    <n v="0"/>
    <n v="11"/>
    <n v="0"/>
    <n v="2"/>
    <x v="1"/>
    <x v="0"/>
    <n v="0.45833299999999999"/>
    <n v="0.45137500000000003"/>
    <n v="0.83083300000000004"/>
    <n v="0.25809199999999999"/>
    <n v="96"/>
    <n v="2818"/>
    <n v="2914"/>
    <n v="13.541650999999998"/>
    <n v="13.790750000000003"/>
    <n v="83.083300000000008"/>
    <n v="17.292164"/>
    <x v="3"/>
    <x v="0"/>
    <x v="0"/>
    <s v="November"/>
    <s v="Tuesday"/>
  </r>
  <r>
    <n v="334"/>
    <x v="333"/>
    <n v="4"/>
    <n v="0"/>
    <n v="11"/>
    <n v="0"/>
    <n v="3"/>
    <x v="1"/>
    <x v="1"/>
    <n v="0.32500000000000001"/>
    <n v="0.31122100000000003"/>
    <n v="0.61333300000000002"/>
    <n v="0.27115800000000001"/>
    <n v="188"/>
    <n v="3425"/>
    <n v="3613"/>
    <n v="7.2750000000000004"/>
    <n v="4.5405860000000011"/>
    <n v="61.333300000000001"/>
    <n v="18.167586"/>
    <x v="3"/>
    <x v="0"/>
    <x v="1"/>
    <s v="November"/>
    <s v="Wednesday"/>
  </r>
  <r>
    <n v="335"/>
    <x v="334"/>
    <n v="4"/>
    <n v="0"/>
    <n v="12"/>
    <n v="0"/>
    <n v="4"/>
    <x v="1"/>
    <x v="1"/>
    <n v="0.3125"/>
    <n v="0.30555399999999999"/>
    <n v="0.52458300000000002"/>
    <n v="0.22015799999999999"/>
    <n v="182"/>
    <n v="3545"/>
    <n v="3727"/>
    <n v="6.6875"/>
    <n v="4.166564000000001"/>
    <n v="52.458300000000001"/>
    <n v="14.750586"/>
    <x v="3"/>
    <x v="0"/>
    <x v="1"/>
    <s v="December"/>
    <s v="Thursday"/>
  </r>
  <r>
    <n v="336"/>
    <x v="335"/>
    <n v="4"/>
    <n v="0"/>
    <n v="12"/>
    <n v="0"/>
    <n v="5"/>
    <x v="1"/>
    <x v="1"/>
    <n v="0.31416699999999997"/>
    <n v="0.33143299999999998"/>
    <n v="0.62583299999999997"/>
    <n v="0.100754"/>
    <n v="268"/>
    <n v="3672"/>
    <n v="3940"/>
    <n v="6.7658489999999993"/>
    <n v="5.8745779999999996"/>
    <n v="62.583299999999994"/>
    <n v="6.7505179999999996"/>
    <x v="3"/>
    <x v="0"/>
    <x v="1"/>
    <s v="December"/>
    <s v="Friday"/>
  </r>
  <r>
    <n v="337"/>
    <x v="336"/>
    <n v="4"/>
    <n v="0"/>
    <n v="12"/>
    <n v="0"/>
    <n v="6"/>
    <x v="0"/>
    <x v="1"/>
    <n v="0.29916700000000002"/>
    <n v="0.31060399999999999"/>
    <n v="0.61291700000000005"/>
    <n v="9.5783300000000002E-2"/>
    <n v="706"/>
    <n v="2908"/>
    <n v="3614"/>
    <n v="6.060849000000001"/>
    <n v="4.4998639999999988"/>
    <n v="61.291700000000006"/>
    <n v="6.4174810999999998"/>
    <x v="3"/>
    <x v="0"/>
    <x v="1"/>
    <s v="December"/>
    <s v="Saturday"/>
  </r>
  <r>
    <n v="338"/>
    <x v="337"/>
    <n v="4"/>
    <n v="0"/>
    <n v="12"/>
    <n v="0"/>
    <n v="0"/>
    <x v="0"/>
    <x v="1"/>
    <n v="0.33083299999999999"/>
    <n v="0.34910000000000002"/>
    <n v="0.77583299999999999"/>
    <n v="8.39583E-2"/>
    <n v="634"/>
    <n v="2851"/>
    <n v="3485"/>
    <n v="7.5491510000000002"/>
    <n v="7.0406000000000013"/>
    <n v="77.583299999999994"/>
    <n v="5.6252060999999998"/>
    <x v="3"/>
    <x v="0"/>
    <x v="1"/>
    <s v="December"/>
    <s v="Sunday"/>
  </r>
  <r>
    <n v="339"/>
    <x v="338"/>
    <n v="4"/>
    <n v="0"/>
    <n v="12"/>
    <n v="0"/>
    <n v="1"/>
    <x v="1"/>
    <x v="0"/>
    <n v="0.38583299999999998"/>
    <n v="0.39392500000000003"/>
    <n v="0.82708300000000001"/>
    <n v="6.2208300000000001E-2"/>
    <n v="233"/>
    <n v="3578"/>
    <n v="3811"/>
    <n v="10.134150999999999"/>
    <n v="9.9990500000000004"/>
    <n v="82.708300000000008"/>
    <n v="4.1679561000000005"/>
    <x v="3"/>
    <x v="0"/>
    <x v="0"/>
    <s v="December"/>
    <s v="Monday"/>
  </r>
  <r>
    <n v="340"/>
    <x v="339"/>
    <n v="4"/>
    <n v="0"/>
    <n v="12"/>
    <n v="0"/>
    <n v="2"/>
    <x v="1"/>
    <x v="2"/>
    <n v="0.46250000000000002"/>
    <n v="0.45639999999999997"/>
    <n v="0.94958299999999995"/>
    <n v="0.23258300000000001"/>
    <n v="126"/>
    <n v="2468"/>
    <n v="2594"/>
    <n v="13.737500000000001"/>
    <n v="14.122399999999999"/>
    <n v="94.958299999999994"/>
    <n v="15.583061000000001"/>
    <x v="3"/>
    <x v="0"/>
    <x v="2"/>
    <s v="December"/>
    <s v="Tuesday"/>
  </r>
  <r>
    <n v="341"/>
    <x v="340"/>
    <n v="4"/>
    <n v="0"/>
    <n v="12"/>
    <n v="0"/>
    <n v="3"/>
    <x v="1"/>
    <x v="2"/>
    <n v="0.41"/>
    <n v="0.40024599999999999"/>
    <n v="0.97041699999999997"/>
    <n v="0.26617499999999999"/>
    <n v="50"/>
    <n v="655"/>
    <n v="705"/>
    <n v="11.27"/>
    <n v="10.416235999999998"/>
    <n v="97.041699999999992"/>
    <n v="17.833725000000001"/>
    <x v="3"/>
    <x v="0"/>
    <x v="2"/>
    <s v="December"/>
    <s v="Wednesday"/>
  </r>
  <r>
    <n v="342"/>
    <x v="341"/>
    <n v="4"/>
    <n v="0"/>
    <n v="12"/>
    <n v="0"/>
    <n v="4"/>
    <x v="1"/>
    <x v="1"/>
    <n v="0.26583299999999999"/>
    <n v="0.256938"/>
    <n v="0.57999999999999996"/>
    <n v="0.24005799999999999"/>
    <n v="150"/>
    <n v="3172"/>
    <n v="3322"/>
    <n v="4.4941509999999987"/>
    <n v="0.95790799999999976"/>
    <n v="57.999999999999993"/>
    <n v="16.083886"/>
    <x v="3"/>
    <x v="0"/>
    <x v="1"/>
    <s v="December"/>
    <s v="Thursday"/>
  </r>
  <r>
    <n v="343"/>
    <x v="342"/>
    <n v="4"/>
    <n v="0"/>
    <n v="12"/>
    <n v="0"/>
    <n v="5"/>
    <x v="1"/>
    <x v="1"/>
    <n v="0.29083300000000001"/>
    <n v="0.31754199999999999"/>
    <n v="0.69583300000000003"/>
    <n v="8.2716700000000004E-2"/>
    <n v="261"/>
    <n v="3359"/>
    <n v="3620"/>
    <n v="5.6691510000000012"/>
    <n v="4.9577719999999985"/>
    <n v="69.583300000000008"/>
    <n v="5.5420189000000004"/>
    <x v="3"/>
    <x v="0"/>
    <x v="1"/>
    <s v="December"/>
    <s v="Friday"/>
  </r>
  <r>
    <n v="344"/>
    <x v="343"/>
    <n v="4"/>
    <n v="0"/>
    <n v="12"/>
    <n v="0"/>
    <n v="6"/>
    <x v="0"/>
    <x v="1"/>
    <n v="0.27500000000000002"/>
    <n v="0.26641199999999998"/>
    <n v="0.50749999999999995"/>
    <n v="0.23322100000000001"/>
    <n v="502"/>
    <n v="2688"/>
    <n v="3190"/>
    <n v="4.9250000000000007"/>
    <n v="1.5831920000000004"/>
    <n v="50.749999999999993"/>
    <n v="15.625807"/>
    <x v="3"/>
    <x v="0"/>
    <x v="1"/>
    <s v="December"/>
    <s v="Saturday"/>
  </r>
  <r>
    <n v="345"/>
    <x v="344"/>
    <n v="4"/>
    <n v="0"/>
    <n v="12"/>
    <n v="0"/>
    <n v="0"/>
    <x v="0"/>
    <x v="1"/>
    <n v="0.220833"/>
    <n v="0.25315399999999999"/>
    <n v="0.49"/>
    <n v="6.6541699999999995E-2"/>
    <n v="377"/>
    <n v="2366"/>
    <n v="2743"/>
    <n v="2.3791510000000002"/>
    <n v="0.70816400000000002"/>
    <n v="49"/>
    <n v="4.4582938999999993"/>
    <x v="3"/>
    <x v="0"/>
    <x v="1"/>
    <s v="December"/>
    <s v="Sunday"/>
  </r>
  <r>
    <n v="346"/>
    <x v="345"/>
    <n v="4"/>
    <n v="0"/>
    <n v="12"/>
    <n v="0"/>
    <n v="1"/>
    <x v="1"/>
    <x v="1"/>
    <n v="0.23833299999999999"/>
    <n v="0.27019599999999999"/>
    <n v="0.67083300000000001"/>
    <n v="6.3450000000000006E-2"/>
    <n v="143"/>
    <n v="3167"/>
    <n v="3310"/>
    <n v="3.201651"/>
    <n v="1.8329360000000001"/>
    <n v="67.083300000000008"/>
    <n v="4.2511500000000009"/>
    <x v="3"/>
    <x v="0"/>
    <x v="1"/>
    <s v="December"/>
    <s v="Monday"/>
  </r>
  <r>
    <n v="347"/>
    <x v="346"/>
    <n v="4"/>
    <n v="0"/>
    <n v="12"/>
    <n v="0"/>
    <n v="2"/>
    <x v="1"/>
    <x v="1"/>
    <n v="0.28249999999999997"/>
    <n v="0.30113800000000002"/>
    <n v="0.59"/>
    <n v="0.14055000000000001"/>
    <n v="155"/>
    <n v="3368"/>
    <n v="3523"/>
    <n v="5.2774999999999981"/>
    <n v="3.8751080000000009"/>
    <n v="59"/>
    <n v="9.4168500000000002"/>
    <x v="3"/>
    <x v="0"/>
    <x v="1"/>
    <s v="December"/>
    <s v="Tuesday"/>
  </r>
  <r>
    <n v="348"/>
    <x v="347"/>
    <n v="4"/>
    <n v="0"/>
    <n v="12"/>
    <n v="0"/>
    <n v="3"/>
    <x v="1"/>
    <x v="0"/>
    <n v="0.3175"/>
    <n v="0.338362"/>
    <n v="0.66374999999999995"/>
    <n v="6.09583E-2"/>
    <n v="178"/>
    <n v="3562"/>
    <n v="3740"/>
    <n v="6.9224999999999994"/>
    <n v="6.3318919999999999"/>
    <n v="66.375"/>
    <n v="4.0842061000000003"/>
    <x v="3"/>
    <x v="0"/>
    <x v="0"/>
    <s v="December"/>
    <s v="Wednesday"/>
  </r>
  <r>
    <n v="349"/>
    <x v="348"/>
    <n v="4"/>
    <n v="0"/>
    <n v="12"/>
    <n v="0"/>
    <n v="4"/>
    <x v="1"/>
    <x v="0"/>
    <n v="0.42249999999999999"/>
    <n v="0.41223700000000002"/>
    <n v="0.63416700000000004"/>
    <n v="0.268042"/>
    <n v="181"/>
    <n v="3528"/>
    <n v="3709"/>
    <n v="11.857499999999998"/>
    <n v="11.207642"/>
    <n v="63.416700000000006"/>
    <n v="17.958814"/>
    <x v="3"/>
    <x v="0"/>
    <x v="0"/>
    <s v="December"/>
    <s v="Thursday"/>
  </r>
  <r>
    <n v="350"/>
    <x v="349"/>
    <n v="4"/>
    <n v="0"/>
    <n v="12"/>
    <n v="0"/>
    <n v="5"/>
    <x v="1"/>
    <x v="0"/>
    <n v="0.375"/>
    <n v="0.35982500000000001"/>
    <n v="0.500417"/>
    <n v="0.260575"/>
    <n v="178"/>
    <n v="3399"/>
    <n v="3577"/>
    <n v="9.625"/>
    <n v="7.7484500000000018"/>
    <n v="50.041699999999999"/>
    <n v="17.458525000000002"/>
    <x v="3"/>
    <x v="0"/>
    <x v="0"/>
    <s v="December"/>
    <s v="Friday"/>
  </r>
  <r>
    <n v="351"/>
    <x v="350"/>
    <n v="4"/>
    <n v="0"/>
    <n v="12"/>
    <n v="0"/>
    <n v="6"/>
    <x v="0"/>
    <x v="0"/>
    <n v="0.25833299999999998"/>
    <n v="0.24937100000000001"/>
    <n v="0.56083300000000003"/>
    <n v="0.24316699999999999"/>
    <n v="275"/>
    <n v="2464"/>
    <n v="2739"/>
    <n v="4.1416509999999995"/>
    <n v="0.45848600000000062"/>
    <n v="56.083300000000001"/>
    <n v="16.292189"/>
    <x v="3"/>
    <x v="0"/>
    <x v="0"/>
    <s v="December"/>
    <s v="Saturday"/>
  </r>
  <r>
    <n v="352"/>
    <x v="351"/>
    <n v="4"/>
    <n v="0"/>
    <n v="12"/>
    <n v="0"/>
    <n v="0"/>
    <x v="0"/>
    <x v="1"/>
    <n v="0.23833299999999999"/>
    <n v="0.24557899999999999"/>
    <n v="0.58625000000000005"/>
    <n v="0.16977900000000001"/>
    <n v="220"/>
    <n v="2211"/>
    <n v="2431"/>
    <n v="3.201651"/>
    <n v="0.20821399999999812"/>
    <n v="58.625000000000007"/>
    <n v="11.375193000000001"/>
    <x v="3"/>
    <x v="0"/>
    <x v="1"/>
    <s v="December"/>
    <s v="Sunday"/>
  </r>
  <r>
    <n v="353"/>
    <x v="352"/>
    <n v="4"/>
    <n v="0"/>
    <n v="12"/>
    <n v="0"/>
    <n v="1"/>
    <x v="1"/>
    <x v="1"/>
    <n v="0.276667"/>
    <n v="0.28093299999999999"/>
    <n v="0.63749999999999996"/>
    <n v="0.17289599999999999"/>
    <n v="260"/>
    <n v="3143"/>
    <n v="3403"/>
    <n v="5.003349"/>
    <n v="2.5415779999999977"/>
    <n v="63.749999999999993"/>
    <n v="11.584031999999999"/>
    <x v="3"/>
    <x v="0"/>
    <x v="1"/>
    <s v="December"/>
    <s v="Monday"/>
  </r>
  <r>
    <n v="354"/>
    <x v="353"/>
    <n v="4"/>
    <n v="0"/>
    <n v="12"/>
    <n v="0"/>
    <n v="2"/>
    <x v="1"/>
    <x v="0"/>
    <n v="0.38583299999999998"/>
    <n v="0.39645399999999997"/>
    <n v="0.59541699999999997"/>
    <n v="6.1570800000000002E-2"/>
    <n v="216"/>
    <n v="3534"/>
    <n v="3750"/>
    <n v="10.134150999999999"/>
    <n v="10.165963999999999"/>
    <n v="59.541699999999999"/>
    <n v="4.1252436000000001"/>
    <x v="3"/>
    <x v="0"/>
    <x v="0"/>
    <s v="December"/>
    <s v="Tuesday"/>
  </r>
  <r>
    <n v="355"/>
    <x v="354"/>
    <n v="1"/>
    <n v="0"/>
    <n v="12"/>
    <n v="0"/>
    <n v="3"/>
    <x v="1"/>
    <x v="0"/>
    <n v="0.42833300000000002"/>
    <n v="0.42801699999999998"/>
    <n v="0.85833300000000001"/>
    <n v="0.22140000000000001"/>
    <n v="107"/>
    <n v="2553"/>
    <n v="2660"/>
    <n v="12.131651000000002"/>
    <n v="12.249122"/>
    <n v="85.833300000000008"/>
    <n v="14.8338"/>
    <x v="0"/>
    <x v="0"/>
    <x v="0"/>
    <s v="December"/>
    <s v="Wednesday"/>
  </r>
  <r>
    <n v="356"/>
    <x v="355"/>
    <n v="1"/>
    <n v="0"/>
    <n v="12"/>
    <n v="0"/>
    <n v="4"/>
    <x v="1"/>
    <x v="0"/>
    <n v="0.42333300000000001"/>
    <n v="0.42612100000000003"/>
    <n v="0.75749999999999995"/>
    <n v="4.7274999999999998E-2"/>
    <n v="227"/>
    <n v="2841"/>
    <n v="3068"/>
    <n v="11.896651000000002"/>
    <n v="12.123986000000002"/>
    <n v="75.75"/>
    <n v="3.1674249999999997"/>
    <x v="0"/>
    <x v="0"/>
    <x v="0"/>
    <s v="December"/>
    <s v="Thursday"/>
  </r>
  <r>
    <n v="357"/>
    <x v="356"/>
    <n v="1"/>
    <n v="0"/>
    <n v="12"/>
    <n v="0"/>
    <n v="5"/>
    <x v="1"/>
    <x v="1"/>
    <n v="0.37333300000000003"/>
    <n v="0.37751299999999999"/>
    <n v="0.68625000000000003"/>
    <n v="0.27424599999999999"/>
    <n v="163"/>
    <n v="2046"/>
    <n v="2209"/>
    <n v="9.5466510000000007"/>
    <n v="8.9158580000000001"/>
    <n v="68.625"/>
    <n v="18.374482"/>
    <x v="0"/>
    <x v="0"/>
    <x v="1"/>
    <s v="December"/>
    <s v="Friday"/>
  </r>
  <r>
    <n v="358"/>
    <x v="357"/>
    <n v="1"/>
    <n v="0"/>
    <n v="12"/>
    <n v="0"/>
    <n v="6"/>
    <x v="0"/>
    <x v="1"/>
    <n v="0.30249999999999999"/>
    <n v="0.29924200000000001"/>
    <n v="0.54249999999999998"/>
    <n v="0.190304"/>
    <n v="155"/>
    <n v="856"/>
    <n v="1011"/>
    <n v="6.2174999999999994"/>
    <n v="3.7499719999999996"/>
    <n v="54.25"/>
    <n v="12.750368"/>
    <x v="0"/>
    <x v="0"/>
    <x v="1"/>
    <s v="December"/>
    <s v="Saturday"/>
  </r>
  <r>
    <n v="359"/>
    <x v="358"/>
    <n v="1"/>
    <n v="0"/>
    <n v="12"/>
    <n v="0"/>
    <n v="0"/>
    <x v="0"/>
    <x v="1"/>
    <n v="0.274783"/>
    <n v="0.27996100000000002"/>
    <n v="0.68130400000000002"/>
    <n v="0.15509100000000001"/>
    <n v="303"/>
    <n v="451"/>
    <n v="754"/>
    <n v="4.9148010000000006"/>
    <n v="2.4774260000000012"/>
    <n v="68.130400000000009"/>
    <n v="10.391097"/>
    <x v="0"/>
    <x v="0"/>
    <x v="1"/>
    <s v="December"/>
    <s v="Sunday"/>
  </r>
  <r>
    <n v="360"/>
    <x v="359"/>
    <n v="1"/>
    <n v="0"/>
    <n v="12"/>
    <n v="1"/>
    <n v="1"/>
    <x v="0"/>
    <x v="1"/>
    <n v="0.321739"/>
    <n v="0.31553500000000001"/>
    <n v="0.50695699999999999"/>
    <n v="0.23946500000000001"/>
    <n v="430"/>
    <n v="887"/>
    <n v="1317"/>
    <n v="7.121732999999999"/>
    <n v="4.8253100000000018"/>
    <n v="50.695700000000002"/>
    <n v="16.044155"/>
    <x v="0"/>
    <x v="0"/>
    <x v="1"/>
    <s v="December"/>
    <s v="Monday"/>
  </r>
  <r>
    <n v="361"/>
    <x v="360"/>
    <n v="1"/>
    <n v="0"/>
    <n v="12"/>
    <n v="0"/>
    <n v="2"/>
    <x v="1"/>
    <x v="0"/>
    <n v="0.32500000000000001"/>
    <n v="0.32763300000000001"/>
    <n v="0.76249999999999996"/>
    <n v="0.18845000000000001"/>
    <n v="103"/>
    <n v="1059"/>
    <n v="1162"/>
    <n v="7.2750000000000004"/>
    <n v="5.6237780000000015"/>
    <n v="76.25"/>
    <n v="12.626150000000001"/>
    <x v="0"/>
    <x v="0"/>
    <x v="0"/>
    <s v="December"/>
    <s v="Tuesday"/>
  </r>
  <r>
    <n v="362"/>
    <x v="361"/>
    <n v="1"/>
    <n v="0"/>
    <n v="12"/>
    <n v="0"/>
    <n v="3"/>
    <x v="1"/>
    <x v="1"/>
    <n v="0.29913000000000001"/>
    <n v="0.279974"/>
    <n v="0.50391300000000006"/>
    <n v="0.29396099999999997"/>
    <n v="255"/>
    <n v="2047"/>
    <n v="2302"/>
    <n v="6.0591100000000004"/>
    <n v="2.4782839999999986"/>
    <n v="50.391300000000008"/>
    <n v="19.695386999999997"/>
    <x v="0"/>
    <x v="0"/>
    <x v="1"/>
    <s v="December"/>
    <s v="Wednesday"/>
  </r>
  <r>
    <n v="363"/>
    <x v="362"/>
    <n v="1"/>
    <n v="0"/>
    <n v="12"/>
    <n v="0"/>
    <n v="4"/>
    <x v="1"/>
    <x v="1"/>
    <n v="0.248333"/>
    <n v="0.26389200000000002"/>
    <n v="0.57416699999999998"/>
    <n v="0.119412"/>
    <n v="254"/>
    <n v="2169"/>
    <n v="2423"/>
    <n v="3.6716510000000007"/>
    <n v="1.4168720000000015"/>
    <n v="57.416699999999999"/>
    <n v="8.0006040000000009"/>
    <x v="0"/>
    <x v="0"/>
    <x v="1"/>
    <s v="December"/>
    <s v="Thursday"/>
  </r>
  <r>
    <n v="364"/>
    <x v="363"/>
    <n v="1"/>
    <n v="0"/>
    <n v="12"/>
    <n v="0"/>
    <n v="5"/>
    <x v="1"/>
    <x v="1"/>
    <n v="0.31166700000000003"/>
    <n v="0.31881199999999998"/>
    <n v="0.63666699999999998"/>
    <n v="0.13433700000000001"/>
    <n v="491"/>
    <n v="2508"/>
    <n v="2999"/>
    <n v="6.6483490000000014"/>
    <n v="5.0415919999999979"/>
    <n v="63.666699999999999"/>
    <n v="9.0005790000000001"/>
    <x v="0"/>
    <x v="0"/>
    <x v="1"/>
    <s v="December"/>
    <s v="Friday"/>
  </r>
  <r>
    <n v="365"/>
    <x v="364"/>
    <n v="1"/>
    <n v="0"/>
    <n v="12"/>
    <n v="0"/>
    <n v="6"/>
    <x v="0"/>
    <x v="1"/>
    <n v="0.41"/>
    <n v="0.41412100000000002"/>
    <n v="0.61583299999999996"/>
    <n v="0.22015399999999999"/>
    <n v="665"/>
    <n v="1820"/>
    <n v="2485"/>
    <n v="11.27"/>
    <n v="11.331986000000001"/>
    <n v="61.583299999999994"/>
    <n v="14.750318"/>
    <x v="0"/>
    <x v="0"/>
    <x v="1"/>
    <s v="December"/>
    <s v="Saturday"/>
  </r>
  <r>
    <n v="366"/>
    <x v="365"/>
    <n v="1"/>
    <n v="1"/>
    <n v="1"/>
    <n v="0"/>
    <n v="0"/>
    <x v="0"/>
    <x v="1"/>
    <n v="0.37"/>
    <n v="0.37562099999999998"/>
    <n v="0.6925"/>
    <n v="0.192167"/>
    <n v="686"/>
    <n v="1608"/>
    <n v="2294"/>
    <n v="9.39"/>
    <n v="8.7909860000000002"/>
    <n v="69.25"/>
    <n v="12.875189000000001"/>
    <x v="0"/>
    <x v="1"/>
    <x v="1"/>
    <s v="January"/>
    <s v="Sunday"/>
  </r>
  <r>
    <n v="367"/>
    <x v="366"/>
    <n v="1"/>
    <n v="1"/>
    <n v="1"/>
    <n v="1"/>
    <n v="1"/>
    <x v="0"/>
    <x v="1"/>
    <n v="0.27304299999999998"/>
    <n v="0.25230399999999997"/>
    <n v="0.38130399999999998"/>
    <n v="0.32966499999999999"/>
    <n v="244"/>
    <n v="1707"/>
    <n v="1951"/>
    <n v="4.8330209999999987"/>
    <n v="0.65206399999999931"/>
    <n v="38.130399999999995"/>
    <n v="22.087554999999998"/>
    <x v="0"/>
    <x v="1"/>
    <x v="1"/>
    <s v="January"/>
    <s v="Monday"/>
  </r>
  <r>
    <n v="368"/>
    <x v="367"/>
    <n v="1"/>
    <n v="1"/>
    <n v="1"/>
    <n v="0"/>
    <n v="2"/>
    <x v="1"/>
    <x v="1"/>
    <n v="0.15"/>
    <n v="0.126275"/>
    <n v="0.44124999999999998"/>
    <n v="0.36567100000000002"/>
    <n v="89"/>
    <n v="2147"/>
    <n v="2236"/>
    <n v="-0.95000000000000018"/>
    <n v="-7.6658500000000007"/>
    <n v="44.125"/>
    <n v="24.499957000000002"/>
    <x v="0"/>
    <x v="1"/>
    <x v="1"/>
    <s v="January"/>
    <s v="Tuesday"/>
  </r>
  <r>
    <n v="369"/>
    <x v="368"/>
    <n v="1"/>
    <n v="1"/>
    <n v="1"/>
    <n v="0"/>
    <n v="3"/>
    <x v="1"/>
    <x v="0"/>
    <n v="0.1075"/>
    <n v="0.119337"/>
    <n v="0.41458299999999998"/>
    <n v="0.1847"/>
    <n v="95"/>
    <n v="2273"/>
    <n v="2368"/>
    <n v="-2.9474999999999998"/>
    <n v="-8.1237580000000005"/>
    <n v="41.458300000000001"/>
    <n v="12.3749"/>
    <x v="0"/>
    <x v="1"/>
    <x v="0"/>
    <s v="January"/>
    <s v="Wednesday"/>
  </r>
  <r>
    <n v="370"/>
    <x v="369"/>
    <n v="1"/>
    <n v="1"/>
    <n v="1"/>
    <n v="0"/>
    <n v="4"/>
    <x v="1"/>
    <x v="1"/>
    <n v="0.26583299999999999"/>
    <n v="0.27841199999999999"/>
    <n v="0.52416700000000005"/>
    <n v="0.12998699999999999"/>
    <n v="140"/>
    <n v="3132"/>
    <n v="3272"/>
    <n v="4.4941509999999987"/>
    <n v="2.3751919999999984"/>
    <n v="52.416700000000006"/>
    <n v="8.709128999999999"/>
    <x v="0"/>
    <x v="1"/>
    <x v="1"/>
    <s v="January"/>
    <s v="Thursday"/>
  </r>
  <r>
    <n v="371"/>
    <x v="370"/>
    <n v="1"/>
    <n v="1"/>
    <n v="1"/>
    <n v="0"/>
    <n v="5"/>
    <x v="1"/>
    <x v="1"/>
    <n v="0.33416699999999999"/>
    <n v="0.34026699999999999"/>
    <n v="0.54208299999999998"/>
    <n v="0.167908"/>
    <n v="307"/>
    <n v="3791"/>
    <n v="4098"/>
    <n v="7.7058489999999988"/>
    <n v="6.4576220000000006"/>
    <n v="54.208300000000001"/>
    <n v="11.249836"/>
    <x v="0"/>
    <x v="1"/>
    <x v="1"/>
    <s v="January"/>
    <s v="Friday"/>
  </r>
  <r>
    <n v="372"/>
    <x v="371"/>
    <n v="1"/>
    <n v="1"/>
    <n v="1"/>
    <n v="0"/>
    <n v="6"/>
    <x v="0"/>
    <x v="1"/>
    <n v="0.39333299999999999"/>
    <n v="0.39077899999999999"/>
    <n v="0.531667"/>
    <n v="0.174758"/>
    <n v="1070"/>
    <n v="3451"/>
    <n v="4521"/>
    <n v="10.486650999999998"/>
    <n v="9.7914139999999996"/>
    <n v="53.166699999999999"/>
    <n v="11.708786"/>
    <x v="0"/>
    <x v="1"/>
    <x v="1"/>
    <s v="January"/>
    <s v="Saturday"/>
  </r>
  <r>
    <n v="373"/>
    <x v="372"/>
    <n v="1"/>
    <n v="1"/>
    <n v="1"/>
    <n v="0"/>
    <n v="0"/>
    <x v="0"/>
    <x v="1"/>
    <n v="0.33750000000000002"/>
    <n v="0.340258"/>
    <n v="0.46500000000000002"/>
    <n v="0.19154199999999999"/>
    <n v="599"/>
    <n v="2826"/>
    <n v="3425"/>
    <n v="7.8625000000000007"/>
    <n v="6.4570280000000011"/>
    <n v="46.5"/>
    <n v="12.833314"/>
    <x v="0"/>
    <x v="1"/>
    <x v="1"/>
    <s v="January"/>
    <s v="Sunday"/>
  </r>
  <r>
    <n v="374"/>
    <x v="373"/>
    <n v="1"/>
    <n v="1"/>
    <n v="1"/>
    <n v="0"/>
    <n v="1"/>
    <x v="1"/>
    <x v="0"/>
    <n v="0.22416700000000001"/>
    <n v="0.247479"/>
    <n v="0.70166700000000004"/>
    <n v="9.8900000000000002E-2"/>
    <n v="106"/>
    <n v="2270"/>
    <n v="2376"/>
    <n v="2.5358490000000007"/>
    <n v="0.33361400000000074"/>
    <n v="70.166700000000006"/>
    <n v="6.6263000000000005"/>
    <x v="0"/>
    <x v="1"/>
    <x v="0"/>
    <s v="January"/>
    <s v="Monday"/>
  </r>
  <r>
    <n v="375"/>
    <x v="374"/>
    <n v="1"/>
    <n v="1"/>
    <n v="1"/>
    <n v="0"/>
    <n v="2"/>
    <x v="1"/>
    <x v="1"/>
    <n v="0.30869600000000003"/>
    <n v="0.318826"/>
    <n v="0.64652200000000004"/>
    <n v="0.187552"/>
    <n v="173"/>
    <n v="3425"/>
    <n v="3598"/>
    <n v="6.5087120000000009"/>
    <n v="5.0425159999999991"/>
    <n v="64.652200000000008"/>
    <n v="12.565984"/>
    <x v="0"/>
    <x v="1"/>
    <x v="1"/>
    <s v="January"/>
    <s v="Tuesday"/>
  </r>
  <r>
    <n v="376"/>
    <x v="375"/>
    <n v="1"/>
    <n v="1"/>
    <n v="1"/>
    <n v="0"/>
    <n v="3"/>
    <x v="1"/>
    <x v="0"/>
    <n v="0.27416699999999999"/>
    <n v="0.28282099999999999"/>
    <n v="0.84750000000000003"/>
    <n v="0.131221"/>
    <n v="92"/>
    <n v="2085"/>
    <n v="2177"/>
    <n v="4.8858490000000003"/>
    <n v="2.6661859999999997"/>
    <n v="84.75"/>
    <n v="8.7918070000000004"/>
    <x v="0"/>
    <x v="1"/>
    <x v="0"/>
    <s v="January"/>
    <s v="Wednesday"/>
  </r>
  <r>
    <n v="377"/>
    <x v="376"/>
    <n v="1"/>
    <n v="1"/>
    <n v="1"/>
    <n v="0"/>
    <n v="4"/>
    <x v="1"/>
    <x v="0"/>
    <n v="0.38250000000000001"/>
    <n v="0.381938"/>
    <n v="0.80291699999999999"/>
    <n v="0.18096699999999999"/>
    <n v="269"/>
    <n v="3828"/>
    <n v="4097"/>
    <n v="9.9774999999999991"/>
    <n v="9.2079079999999998"/>
    <n v="80.291700000000006"/>
    <n v="12.124789"/>
    <x v="0"/>
    <x v="1"/>
    <x v="0"/>
    <s v="January"/>
    <s v="Thursday"/>
  </r>
  <r>
    <n v="378"/>
    <x v="377"/>
    <n v="1"/>
    <n v="1"/>
    <n v="1"/>
    <n v="0"/>
    <n v="5"/>
    <x v="1"/>
    <x v="1"/>
    <n v="0.27416699999999999"/>
    <n v="0.249362"/>
    <n v="0.50749999999999995"/>
    <n v="0.378108"/>
    <n v="174"/>
    <n v="3040"/>
    <n v="3214"/>
    <n v="4.8858490000000003"/>
    <n v="0.45789200000000108"/>
    <n v="50.749999999999993"/>
    <n v="25.333235999999999"/>
    <x v="0"/>
    <x v="1"/>
    <x v="1"/>
    <s v="January"/>
    <s v="Friday"/>
  </r>
  <r>
    <n v="379"/>
    <x v="378"/>
    <n v="1"/>
    <n v="1"/>
    <n v="1"/>
    <n v="0"/>
    <n v="6"/>
    <x v="0"/>
    <x v="1"/>
    <n v="0.18"/>
    <n v="0.183087"/>
    <n v="0.45750000000000002"/>
    <n v="0.18718299999999999"/>
    <n v="333"/>
    <n v="2160"/>
    <n v="2493"/>
    <n v="0.45999999999999908"/>
    <n v="-3.9162579999999991"/>
    <n v="45.75"/>
    <n v="12.541260999999999"/>
    <x v="0"/>
    <x v="1"/>
    <x v="1"/>
    <s v="January"/>
    <s v="Saturday"/>
  </r>
  <r>
    <n v="380"/>
    <x v="379"/>
    <n v="1"/>
    <n v="1"/>
    <n v="1"/>
    <n v="0"/>
    <n v="0"/>
    <x v="0"/>
    <x v="1"/>
    <n v="0.16666700000000001"/>
    <n v="0.16162499999999999"/>
    <n v="0.41916700000000001"/>
    <n v="0.25125799999999998"/>
    <n v="284"/>
    <n v="2027"/>
    <n v="2311"/>
    <n v="-0.16665099999999988"/>
    <n v="-5.3327500000000008"/>
    <n v="41.916699999999999"/>
    <n v="16.834285999999999"/>
    <x v="0"/>
    <x v="1"/>
    <x v="1"/>
    <s v="January"/>
    <s v="Sunday"/>
  </r>
  <r>
    <n v="381"/>
    <x v="380"/>
    <n v="1"/>
    <n v="1"/>
    <n v="1"/>
    <n v="1"/>
    <n v="1"/>
    <x v="0"/>
    <x v="1"/>
    <n v="0.19"/>
    <n v="0.190663"/>
    <n v="0.52249999999999996"/>
    <n v="0.23135800000000001"/>
    <n v="217"/>
    <n v="2081"/>
    <n v="2298"/>
    <n v="0.92999999999999972"/>
    <n v="-3.4162420000000004"/>
    <n v="52.25"/>
    <n v="15.500986000000001"/>
    <x v="0"/>
    <x v="1"/>
    <x v="1"/>
    <s v="January"/>
    <s v="Monday"/>
  </r>
  <r>
    <n v="382"/>
    <x v="381"/>
    <n v="1"/>
    <n v="1"/>
    <n v="1"/>
    <n v="0"/>
    <n v="2"/>
    <x v="1"/>
    <x v="0"/>
    <n v="0.37304300000000001"/>
    <n v="0.36427799999999999"/>
    <n v="0.71608700000000003"/>
    <n v="0.34913"/>
    <n v="127"/>
    <n v="2808"/>
    <n v="2935"/>
    <n v="9.5330210000000015"/>
    <n v="8.0423480000000005"/>
    <n v="71.608699999999999"/>
    <n v="23.39171"/>
    <x v="0"/>
    <x v="1"/>
    <x v="0"/>
    <s v="January"/>
    <s v="Tuesday"/>
  </r>
  <r>
    <n v="383"/>
    <x v="382"/>
    <n v="1"/>
    <n v="1"/>
    <n v="1"/>
    <n v="0"/>
    <n v="3"/>
    <x v="1"/>
    <x v="1"/>
    <n v="0.30333300000000002"/>
    <n v="0.275254"/>
    <n v="0.44333299999999998"/>
    <n v="0.41542899999999999"/>
    <n v="109"/>
    <n v="3267"/>
    <n v="3376"/>
    <n v="6.2566510000000015"/>
    <n v="2.1667640000000006"/>
    <n v="44.333299999999994"/>
    <n v="27.833742999999998"/>
    <x v="0"/>
    <x v="1"/>
    <x v="1"/>
    <s v="January"/>
    <s v="Wednesday"/>
  </r>
  <r>
    <n v="384"/>
    <x v="383"/>
    <n v="1"/>
    <n v="1"/>
    <n v="1"/>
    <n v="0"/>
    <n v="4"/>
    <x v="1"/>
    <x v="1"/>
    <n v="0.19"/>
    <n v="0.19003800000000001"/>
    <n v="0.4975"/>
    <n v="0.22015799999999999"/>
    <n v="130"/>
    <n v="3162"/>
    <n v="3292"/>
    <n v="0.92999999999999972"/>
    <n v="-3.4574919999999985"/>
    <n v="49.75"/>
    <n v="14.750586"/>
    <x v="0"/>
    <x v="1"/>
    <x v="1"/>
    <s v="January"/>
    <s v="Thursday"/>
  </r>
  <r>
    <n v="385"/>
    <x v="384"/>
    <n v="1"/>
    <n v="1"/>
    <n v="1"/>
    <n v="0"/>
    <n v="5"/>
    <x v="1"/>
    <x v="0"/>
    <n v="0.2175"/>
    <n v="0.22095799999999999"/>
    <n v="0.45"/>
    <n v="0.20275000000000001"/>
    <n v="115"/>
    <n v="3048"/>
    <n v="3163"/>
    <n v="2.2225000000000001"/>
    <n v="-1.4167720000000017"/>
    <n v="45"/>
    <n v="13.584250000000001"/>
    <x v="0"/>
    <x v="1"/>
    <x v="0"/>
    <s v="January"/>
    <s v="Friday"/>
  </r>
  <r>
    <n v="386"/>
    <x v="385"/>
    <n v="1"/>
    <n v="1"/>
    <n v="1"/>
    <n v="0"/>
    <n v="6"/>
    <x v="0"/>
    <x v="0"/>
    <n v="0.17333299999999999"/>
    <n v="0.174875"/>
    <n v="0.83125000000000004"/>
    <n v="0.22264200000000001"/>
    <n v="67"/>
    <n v="1234"/>
    <n v="1301"/>
    <n v="0.14665099999999853"/>
    <n v="-4.4582499999999996"/>
    <n v="83.125"/>
    <n v="14.917014"/>
    <x v="0"/>
    <x v="1"/>
    <x v="0"/>
    <s v="January"/>
    <s v="Saturday"/>
  </r>
  <r>
    <n v="387"/>
    <x v="386"/>
    <n v="1"/>
    <n v="1"/>
    <n v="1"/>
    <n v="0"/>
    <n v="0"/>
    <x v="0"/>
    <x v="0"/>
    <n v="0.16250000000000001"/>
    <n v="0.16225000000000001"/>
    <n v="0.79625000000000001"/>
    <n v="0.19963800000000001"/>
    <n v="196"/>
    <n v="1781"/>
    <n v="1977"/>
    <n v="-0.36249999999999982"/>
    <n v="-5.2914999999999992"/>
    <n v="79.625"/>
    <n v="13.375746000000001"/>
    <x v="0"/>
    <x v="1"/>
    <x v="0"/>
    <s v="January"/>
    <s v="Sunday"/>
  </r>
  <r>
    <n v="388"/>
    <x v="387"/>
    <n v="1"/>
    <n v="1"/>
    <n v="1"/>
    <n v="0"/>
    <n v="1"/>
    <x v="1"/>
    <x v="0"/>
    <n v="0.218333"/>
    <n v="0.243058"/>
    <n v="0.91125"/>
    <n v="0.110708"/>
    <n v="145"/>
    <n v="2287"/>
    <n v="2432"/>
    <n v="2.2616510000000005"/>
    <n v="4.1827999999998866E-2"/>
    <n v="91.125"/>
    <n v="7.4174360000000004"/>
    <x v="0"/>
    <x v="1"/>
    <x v="0"/>
    <s v="January"/>
    <s v="Monday"/>
  </r>
  <r>
    <n v="389"/>
    <x v="388"/>
    <n v="1"/>
    <n v="1"/>
    <n v="1"/>
    <n v="0"/>
    <n v="2"/>
    <x v="1"/>
    <x v="1"/>
    <n v="0.34250000000000003"/>
    <n v="0.34910799999999997"/>
    <n v="0.83583300000000005"/>
    <n v="0.123767"/>
    <n v="439"/>
    <n v="3900"/>
    <n v="4339"/>
    <n v="8.0975000000000001"/>
    <n v="7.0411279999999969"/>
    <n v="83.583300000000008"/>
    <n v="8.292389"/>
    <x v="0"/>
    <x v="1"/>
    <x v="1"/>
    <s v="January"/>
    <s v="Tuesday"/>
  </r>
  <r>
    <n v="390"/>
    <x v="389"/>
    <n v="1"/>
    <n v="1"/>
    <n v="1"/>
    <n v="0"/>
    <n v="3"/>
    <x v="1"/>
    <x v="1"/>
    <n v="0.29416700000000001"/>
    <n v="0.294821"/>
    <n v="0.64375000000000004"/>
    <n v="0.16107099999999999"/>
    <n v="467"/>
    <n v="3803"/>
    <n v="4270"/>
    <n v="5.8258489999999998"/>
    <n v="3.4581860000000013"/>
    <n v="64.375"/>
    <n v="10.791756999999999"/>
    <x v="0"/>
    <x v="1"/>
    <x v="1"/>
    <s v="January"/>
    <s v="Wednesday"/>
  </r>
  <r>
    <n v="391"/>
    <x v="390"/>
    <n v="1"/>
    <n v="1"/>
    <n v="1"/>
    <n v="0"/>
    <n v="4"/>
    <x v="1"/>
    <x v="0"/>
    <n v="0.341667"/>
    <n v="0.35604999999999998"/>
    <n v="0.76958300000000002"/>
    <n v="7.3395799999999997E-2"/>
    <n v="244"/>
    <n v="3831"/>
    <n v="4075"/>
    <n v="8.0583489999999998"/>
    <n v="7.4992999999999981"/>
    <n v="76.958300000000008"/>
    <n v="4.9175186000000002"/>
    <x v="0"/>
    <x v="1"/>
    <x v="0"/>
    <s v="January"/>
    <s v="Thursday"/>
  </r>
  <r>
    <n v="392"/>
    <x v="391"/>
    <n v="1"/>
    <n v="1"/>
    <n v="1"/>
    <n v="0"/>
    <n v="5"/>
    <x v="1"/>
    <x v="0"/>
    <n v="0.42499999999999999"/>
    <n v="0.415383"/>
    <n v="0.74124999999999996"/>
    <n v="0.342667"/>
    <n v="269"/>
    <n v="3187"/>
    <n v="3456"/>
    <n v="11.974999999999998"/>
    <n v="11.415278000000001"/>
    <n v="74.125"/>
    <n v="22.958689"/>
    <x v="0"/>
    <x v="1"/>
    <x v="0"/>
    <s v="January"/>
    <s v="Friday"/>
  </r>
  <r>
    <n v="393"/>
    <x v="392"/>
    <n v="1"/>
    <n v="1"/>
    <n v="1"/>
    <n v="0"/>
    <n v="6"/>
    <x v="0"/>
    <x v="1"/>
    <n v="0.31583299999999997"/>
    <n v="0.32637899999999997"/>
    <n v="0.54333299999999995"/>
    <n v="0.21082899999999999"/>
    <n v="775"/>
    <n v="3248"/>
    <n v="4023"/>
    <n v="6.8441509999999983"/>
    <n v="5.541013999999997"/>
    <n v="54.333299999999994"/>
    <n v="14.125542999999999"/>
    <x v="0"/>
    <x v="1"/>
    <x v="1"/>
    <s v="January"/>
    <s v="Saturday"/>
  </r>
  <r>
    <n v="394"/>
    <x v="393"/>
    <n v="1"/>
    <n v="1"/>
    <n v="1"/>
    <n v="0"/>
    <n v="0"/>
    <x v="0"/>
    <x v="1"/>
    <n v="0.28249999999999997"/>
    <n v="0.27272099999999999"/>
    <n v="0.31125000000000003"/>
    <n v="0.24005000000000001"/>
    <n v="558"/>
    <n v="2685"/>
    <n v="3243"/>
    <n v="5.2774999999999981"/>
    <n v="1.9995860000000008"/>
    <n v="31.125000000000004"/>
    <n v="16.083349999999999"/>
    <x v="0"/>
    <x v="1"/>
    <x v="1"/>
    <s v="January"/>
    <s v="Sunday"/>
  </r>
  <r>
    <n v="395"/>
    <x v="394"/>
    <n v="1"/>
    <n v="1"/>
    <n v="1"/>
    <n v="0"/>
    <n v="1"/>
    <x v="1"/>
    <x v="1"/>
    <n v="0.26916699999999999"/>
    <n v="0.262625"/>
    <n v="0.40083299999999999"/>
    <n v="0.21579200000000001"/>
    <n v="126"/>
    <n v="3498"/>
    <n v="3624"/>
    <n v="4.6508489999999991"/>
    <n v="1.3332499999999996"/>
    <n v="40.083300000000001"/>
    <n v="14.458064"/>
    <x v="0"/>
    <x v="1"/>
    <x v="1"/>
    <s v="January"/>
    <s v="Monday"/>
  </r>
  <r>
    <n v="396"/>
    <x v="395"/>
    <n v="1"/>
    <n v="1"/>
    <n v="1"/>
    <n v="0"/>
    <n v="2"/>
    <x v="1"/>
    <x v="1"/>
    <n v="0.39"/>
    <n v="0.38131700000000002"/>
    <n v="0.41666700000000001"/>
    <n v="0.26181700000000002"/>
    <n v="324"/>
    <n v="4185"/>
    <n v="4509"/>
    <n v="10.330000000000002"/>
    <n v="9.1669219999999996"/>
    <n v="41.666699999999999"/>
    <n v="17.541739"/>
    <x v="0"/>
    <x v="1"/>
    <x v="1"/>
    <s v="January"/>
    <s v="Tuesday"/>
  </r>
  <r>
    <n v="397"/>
    <x v="396"/>
    <n v="1"/>
    <n v="1"/>
    <n v="2"/>
    <n v="0"/>
    <n v="3"/>
    <x v="1"/>
    <x v="1"/>
    <n v="0.469167"/>
    <n v="0.46653800000000001"/>
    <n v="0.50791699999999995"/>
    <n v="0.18906700000000001"/>
    <n v="304"/>
    <n v="4275"/>
    <n v="4579"/>
    <n v="14.050848999999999"/>
    <n v="14.791508"/>
    <n v="50.791699999999992"/>
    <n v="12.667489000000002"/>
    <x v="0"/>
    <x v="1"/>
    <x v="1"/>
    <s v="February"/>
    <s v="Wednesday"/>
  </r>
  <r>
    <n v="398"/>
    <x v="397"/>
    <n v="1"/>
    <n v="1"/>
    <n v="2"/>
    <n v="0"/>
    <n v="4"/>
    <x v="1"/>
    <x v="0"/>
    <n v="0.39916699999999999"/>
    <n v="0.39897100000000002"/>
    <n v="0.67291699999999999"/>
    <n v="0.18718699999999999"/>
    <n v="190"/>
    <n v="3571"/>
    <n v="3761"/>
    <n v="10.760849"/>
    <n v="10.332086"/>
    <n v="67.291699999999992"/>
    <n v="12.541528999999999"/>
    <x v="0"/>
    <x v="1"/>
    <x v="0"/>
    <s v="February"/>
    <s v="Thursday"/>
  </r>
  <r>
    <n v="399"/>
    <x v="398"/>
    <n v="1"/>
    <n v="1"/>
    <n v="2"/>
    <n v="0"/>
    <n v="5"/>
    <x v="1"/>
    <x v="1"/>
    <n v="0.31333299999999997"/>
    <n v="0.30934600000000001"/>
    <n v="0.526667"/>
    <n v="0.17849599999999999"/>
    <n v="310"/>
    <n v="3841"/>
    <n v="4151"/>
    <n v="6.7266509999999986"/>
    <n v="4.416836"/>
    <n v="52.666699999999999"/>
    <n v="11.959232"/>
    <x v="0"/>
    <x v="1"/>
    <x v="1"/>
    <s v="February"/>
    <s v="Friday"/>
  </r>
  <r>
    <n v="400"/>
    <x v="399"/>
    <n v="1"/>
    <n v="1"/>
    <n v="2"/>
    <n v="0"/>
    <n v="6"/>
    <x v="0"/>
    <x v="0"/>
    <n v="0.26416699999999999"/>
    <n v="0.272725"/>
    <n v="0.77958300000000003"/>
    <n v="0.121896"/>
    <n v="384"/>
    <n v="2448"/>
    <n v="2832"/>
    <n v="4.4158489999999997"/>
    <n v="1.9998499999999986"/>
    <n v="77.958300000000008"/>
    <n v="8.1670320000000007"/>
    <x v="0"/>
    <x v="1"/>
    <x v="0"/>
    <s v="February"/>
    <s v="Saturday"/>
  </r>
  <r>
    <n v="401"/>
    <x v="400"/>
    <n v="1"/>
    <n v="1"/>
    <n v="2"/>
    <n v="0"/>
    <n v="0"/>
    <x v="0"/>
    <x v="0"/>
    <n v="0.26583299999999999"/>
    <n v="0.26452100000000001"/>
    <n v="0.687917"/>
    <n v="0.17599600000000001"/>
    <n v="318"/>
    <n v="2629"/>
    <n v="2947"/>
    <n v="4.4941509999999987"/>
    <n v="1.4583860000000008"/>
    <n v="68.791700000000006"/>
    <n v="11.791732000000001"/>
    <x v="0"/>
    <x v="1"/>
    <x v="0"/>
    <s v="February"/>
    <s v="Sunday"/>
  </r>
  <r>
    <n v="402"/>
    <x v="401"/>
    <n v="1"/>
    <n v="1"/>
    <n v="2"/>
    <n v="0"/>
    <n v="1"/>
    <x v="1"/>
    <x v="1"/>
    <n v="0.282609"/>
    <n v="0.29642600000000002"/>
    <n v="0.622174"/>
    <n v="0.15379999999999999"/>
    <n v="206"/>
    <n v="3578"/>
    <n v="3784"/>
    <n v="5.2826229999999992"/>
    <n v="3.5641160000000021"/>
    <n v="62.217399999999998"/>
    <n v="10.304599999999999"/>
    <x v="0"/>
    <x v="1"/>
    <x v="1"/>
    <s v="February"/>
    <s v="Monday"/>
  </r>
  <r>
    <n v="403"/>
    <x v="402"/>
    <n v="1"/>
    <n v="1"/>
    <n v="2"/>
    <n v="0"/>
    <n v="2"/>
    <x v="1"/>
    <x v="1"/>
    <n v="0.35416700000000001"/>
    <n v="0.36110399999999998"/>
    <n v="0.49625000000000002"/>
    <n v="0.14737900000000001"/>
    <n v="199"/>
    <n v="4176"/>
    <n v="4375"/>
    <n v="8.6458490000000019"/>
    <n v="7.8328639999999972"/>
    <n v="49.625"/>
    <n v="9.8743930000000013"/>
    <x v="0"/>
    <x v="1"/>
    <x v="1"/>
    <s v="February"/>
    <s v="Tuesday"/>
  </r>
  <r>
    <n v="404"/>
    <x v="403"/>
    <n v="1"/>
    <n v="1"/>
    <n v="2"/>
    <n v="0"/>
    <n v="3"/>
    <x v="1"/>
    <x v="0"/>
    <n v="0.25666699999999998"/>
    <n v="0.26642100000000002"/>
    <n v="0.72291700000000003"/>
    <n v="0.13372100000000001"/>
    <n v="109"/>
    <n v="2693"/>
    <n v="2802"/>
    <n v="4.0633489999999988"/>
    <n v="1.5837859999999999"/>
    <n v="72.291700000000006"/>
    <n v="8.9593070000000008"/>
    <x v="0"/>
    <x v="1"/>
    <x v="0"/>
    <s v="February"/>
    <s v="Wednesday"/>
  </r>
  <r>
    <n v="405"/>
    <x v="404"/>
    <n v="1"/>
    <n v="1"/>
    <n v="2"/>
    <n v="0"/>
    <n v="4"/>
    <x v="1"/>
    <x v="1"/>
    <n v="0.26500000000000001"/>
    <n v="0.261988"/>
    <n v="0.562083"/>
    <n v="0.19403699999999999"/>
    <n v="163"/>
    <n v="3667"/>
    <n v="3830"/>
    <n v="4.4550000000000001"/>
    <n v="1.291208000000001"/>
    <n v="56.208300000000001"/>
    <n v="13.000478999999999"/>
    <x v="0"/>
    <x v="1"/>
    <x v="1"/>
    <s v="February"/>
    <s v="Thursday"/>
  </r>
  <r>
    <n v="406"/>
    <x v="405"/>
    <n v="1"/>
    <n v="1"/>
    <n v="2"/>
    <n v="0"/>
    <n v="5"/>
    <x v="1"/>
    <x v="0"/>
    <n v="0.280833"/>
    <n v="0.29355799999999999"/>
    <n v="0.54"/>
    <n v="0.11692900000000001"/>
    <n v="227"/>
    <n v="3604"/>
    <n v="3831"/>
    <n v="5.1991510000000005"/>
    <n v="3.3748280000000008"/>
    <n v="54"/>
    <n v="7.8342430000000007"/>
    <x v="0"/>
    <x v="1"/>
    <x v="0"/>
    <s v="February"/>
    <s v="Friday"/>
  </r>
  <r>
    <n v="407"/>
    <x v="406"/>
    <n v="1"/>
    <n v="1"/>
    <n v="2"/>
    <n v="0"/>
    <n v="6"/>
    <x v="0"/>
    <x v="2"/>
    <n v="0.22416700000000001"/>
    <n v="0.210867"/>
    <n v="0.73124999999999996"/>
    <n v="0.289796"/>
    <n v="192"/>
    <n v="1977"/>
    <n v="2169"/>
    <n v="2.5358490000000007"/>
    <n v="-2.0827779999999994"/>
    <n v="73.125"/>
    <n v="19.416332000000001"/>
    <x v="0"/>
    <x v="1"/>
    <x v="2"/>
    <s v="February"/>
    <s v="Saturday"/>
  </r>
  <r>
    <n v="408"/>
    <x v="407"/>
    <n v="1"/>
    <n v="1"/>
    <n v="2"/>
    <n v="0"/>
    <n v="0"/>
    <x v="0"/>
    <x v="1"/>
    <n v="0.1275"/>
    <n v="0.101658"/>
    <n v="0.46458300000000002"/>
    <n v="0.40921200000000002"/>
    <n v="73"/>
    <n v="1456"/>
    <n v="1529"/>
    <n v="-2.0075000000000003"/>
    <n v="-9.2905720000000009"/>
    <n v="46.458300000000001"/>
    <n v="27.417204000000002"/>
    <x v="0"/>
    <x v="1"/>
    <x v="1"/>
    <s v="February"/>
    <s v="Sunday"/>
  </r>
  <r>
    <n v="409"/>
    <x v="408"/>
    <n v="1"/>
    <n v="1"/>
    <n v="2"/>
    <n v="0"/>
    <n v="1"/>
    <x v="1"/>
    <x v="1"/>
    <n v="0.2225"/>
    <n v="0.227913"/>
    <n v="0.41125"/>
    <n v="0.16728299999999999"/>
    <n v="94"/>
    <n v="3328"/>
    <n v="3422"/>
    <n v="2.4574999999999996"/>
    <n v="-0.95774199999999965"/>
    <n v="41.125"/>
    <n v="11.207960999999999"/>
    <x v="0"/>
    <x v="1"/>
    <x v="1"/>
    <s v="February"/>
    <s v="Monday"/>
  </r>
  <r>
    <n v="410"/>
    <x v="409"/>
    <n v="1"/>
    <n v="1"/>
    <n v="2"/>
    <n v="0"/>
    <n v="2"/>
    <x v="1"/>
    <x v="0"/>
    <n v="0.31916699999999998"/>
    <n v="0.33394600000000002"/>
    <n v="0.50875000000000004"/>
    <n v="0.141179"/>
    <n v="135"/>
    <n v="3787"/>
    <n v="3922"/>
    <n v="7.0008489999999988"/>
    <n v="6.0404359999999997"/>
    <n v="50.875"/>
    <n v="9.4589929999999995"/>
    <x v="0"/>
    <x v="1"/>
    <x v="0"/>
    <s v="February"/>
    <s v="Tuesday"/>
  </r>
  <r>
    <n v="411"/>
    <x v="410"/>
    <n v="1"/>
    <n v="1"/>
    <n v="2"/>
    <n v="0"/>
    <n v="3"/>
    <x v="1"/>
    <x v="1"/>
    <n v="0.348333"/>
    <n v="0.35162900000000002"/>
    <n v="0.53125"/>
    <n v="0.18160000000000001"/>
    <n v="141"/>
    <n v="4028"/>
    <n v="4169"/>
    <n v="8.371651"/>
    <n v="7.2075140000000033"/>
    <n v="53.125"/>
    <n v="12.167200000000001"/>
    <x v="0"/>
    <x v="1"/>
    <x v="1"/>
    <s v="February"/>
    <s v="Wednesday"/>
  </r>
  <r>
    <n v="412"/>
    <x v="411"/>
    <n v="1"/>
    <n v="1"/>
    <n v="2"/>
    <n v="0"/>
    <n v="4"/>
    <x v="1"/>
    <x v="0"/>
    <n v="0.31666699999999998"/>
    <n v="0.33016200000000001"/>
    <n v="0.75291699999999995"/>
    <n v="9.1425000000000006E-2"/>
    <n v="74"/>
    <n v="2931"/>
    <n v="3005"/>
    <n v="6.8833489999999991"/>
    <n v="5.790692"/>
    <n v="75.291699999999992"/>
    <n v="6.1254750000000007"/>
    <x v="0"/>
    <x v="1"/>
    <x v="0"/>
    <s v="February"/>
    <s v="Thursday"/>
  </r>
  <r>
    <n v="413"/>
    <x v="412"/>
    <n v="1"/>
    <n v="1"/>
    <n v="2"/>
    <n v="0"/>
    <n v="5"/>
    <x v="1"/>
    <x v="1"/>
    <n v="0.343333"/>
    <n v="0.35162900000000002"/>
    <n v="0.63458300000000001"/>
    <n v="0.205846"/>
    <n v="349"/>
    <n v="3805"/>
    <n v="4154"/>
    <n v="8.1366510000000005"/>
    <n v="7.2075140000000033"/>
    <n v="63.458300000000001"/>
    <n v="13.791682"/>
    <x v="0"/>
    <x v="1"/>
    <x v="1"/>
    <s v="February"/>
    <s v="Friday"/>
  </r>
  <r>
    <n v="414"/>
    <x v="413"/>
    <n v="1"/>
    <n v="1"/>
    <n v="2"/>
    <n v="0"/>
    <n v="6"/>
    <x v="0"/>
    <x v="1"/>
    <n v="0.346667"/>
    <n v="0.35542499999999999"/>
    <n v="0.53458300000000003"/>
    <n v="0.19092899999999999"/>
    <n v="1435"/>
    <n v="2883"/>
    <n v="4318"/>
    <n v="8.2933489999999992"/>
    <n v="7.4580500000000001"/>
    <n v="53.458300000000001"/>
    <n v="12.792242999999999"/>
    <x v="0"/>
    <x v="1"/>
    <x v="1"/>
    <s v="February"/>
    <s v="Saturday"/>
  </r>
  <r>
    <n v="415"/>
    <x v="414"/>
    <n v="1"/>
    <n v="1"/>
    <n v="2"/>
    <n v="0"/>
    <n v="0"/>
    <x v="0"/>
    <x v="0"/>
    <n v="0.28000000000000003"/>
    <n v="0.26578800000000002"/>
    <n v="0.51583299999999999"/>
    <n v="0.253112"/>
    <n v="618"/>
    <n v="2071"/>
    <n v="2689"/>
    <n v="5.1600000000000019"/>
    <n v="1.5420080000000027"/>
    <n v="51.583300000000001"/>
    <n v="16.958504000000001"/>
    <x v="0"/>
    <x v="1"/>
    <x v="0"/>
    <s v="February"/>
    <s v="Sunday"/>
  </r>
  <r>
    <n v="416"/>
    <x v="415"/>
    <n v="1"/>
    <n v="1"/>
    <n v="2"/>
    <n v="1"/>
    <n v="1"/>
    <x v="0"/>
    <x v="1"/>
    <n v="0.28000000000000003"/>
    <n v="0.273391"/>
    <n v="0.507826"/>
    <n v="0.22908300000000001"/>
    <n v="502"/>
    <n v="2627"/>
    <n v="3129"/>
    <n v="5.1600000000000019"/>
    <n v="2.043806"/>
    <n v="50.782600000000002"/>
    <n v="15.348561"/>
    <x v="0"/>
    <x v="1"/>
    <x v="1"/>
    <s v="February"/>
    <s v="Monday"/>
  </r>
  <r>
    <n v="417"/>
    <x v="416"/>
    <n v="1"/>
    <n v="1"/>
    <n v="2"/>
    <n v="0"/>
    <n v="2"/>
    <x v="1"/>
    <x v="1"/>
    <n v="0.28782600000000003"/>
    <n v="0.29511300000000001"/>
    <n v="0.59434799999999999"/>
    <n v="0.20571700000000001"/>
    <n v="163"/>
    <n v="3614"/>
    <n v="3777"/>
    <n v="5.5278220000000005"/>
    <n v="3.4774580000000022"/>
    <n v="59.434799999999996"/>
    <n v="13.783039"/>
    <x v="0"/>
    <x v="1"/>
    <x v="1"/>
    <s v="February"/>
    <s v="Tuesday"/>
  </r>
  <r>
    <n v="418"/>
    <x v="417"/>
    <n v="1"/>
    <n v="1"/>
    <n v="2"/>
    <n v="0"/>
    <n v="3"/>
    <x v="1"/>
    <x v="1"/>
    <n v="0.39583299999999999"/>
    <n v="0.39266699999999999"/>
    <n v="0.56791700000000001"/>
    <n v="0.23447100000000001"/>
    <n v="394"/>
    <n v="4379"/>
    <n v="4773"/>
    <n v="10.604150999999998"/>
    <n v="9.9160219999999981"/>
    <n v="56.791699999999999"/>
    <n v="15.709557"/>
    <x v="0"/>
    <x v="1"/>
    <x v="1"/>
    <s v="February"/>
    <s v="Wednesday"/>
  </r>
  <r>
    <n v="419"/>
    <x v="418"/>
    <n v="1"/>
    <n v="1"/>
    <n v="2"/>
    <n v="0"/>
    <n v="4"/>
    <x v="1"/>
    <x v="1"/>
    <n v="0.45416699999999999"/>
    <n v="0.44444600000000001"/>
    <n v="0.55458300000000005"/>
    <n v="0.190913"/>
    <n v="516"/>
    <n v="4546"/>
    <n v="5062"/>
    <n v="13.345849000000001"/>
    <n v="13.333435999999999"/>
    <n v="55.458300000000008"/>
    <n v="12.791171"/>
    <x v="0"/>
    <x v="1"/>
    <x v="1"/>
    <s v="February"/>
    <s v="Thursday"/>
  </r>
  <r>
    <n v="420"/>
    <x v="419"/>
    <n v="1"/>
    <n v="1"/>
    <n v="2"/>
    <n v="0"/>
    <n v="5"/>
    <x v="1"/>
    <x v="0"/>
    <n v="0.40749999999999997"/>
    <n v="0.41097099999999998"/>
    <n v="0.73750000000000004"/>
    <n v="0.237567"/>
    <n v="246"/>
    <n v="3241"/>
    <n v="3487"/>
    <n v="11.1525"/>
    <n v="11.124085999999998"/>
    <n v="73.75"/>
    <n v="15.916988999999999"/>
    <x v="0"/>
    <x v="1"/>
    <x v="0"/>
    <s v="February"/>
    <s v="Friday"/>
  </r>
  <r>
    <n v="421"/>
    <x v="420"/>
    <n v="1"/>
    <n v="1"/>
    <n v="2"/>
    <n v="0"/>
    <n v="6"/>
    <x v="0"/>
    <x v="1"/>
    <n v="0.29083300000000001"/>
    <n v="0.25567499999999999"/>
    <n v="0.39583299999999999"/>
    <n v="0.42164200000000002"/>
    <n v="317"/>
    <n v="2415"/>
    <n v="2732"/>
    <n v="5.6691510000000012"/>
    <n v="0.87454999999999927"/>
    <n v="39.583300000000001"/>
    <n v="28.250014"/>
    <x v="0"/>
    <x v="1"/>
    <x v="1"/>
    <s v="February"/>
    <s v="Saturday"/>
  </r>
  <r>
    <n v="422"/>
    <x v="421"/>
    <n v="1"/>
    <n v="1"/>
    <n v="2"/>
    <n v="0"/>
    <n v="0"/>
    <x v="0"/>
    <x v="1"/>
    <n v="0.279167"/>
    <n v="0.26830799999999999"/>
    <n v="0.41"/>
    <n v="0.20522899999999999"/>
    <n v="515"/>
    <n v="2874"/>
    <n v="3389"/>
    <n v="5.1208489999999998"/>
    <n v="1.7083279999999981"/>
    <n v="41"/>
    <n v="13.750342999999999"/>
    <x v="0"/>
    <x v="1"/>
    <x v="1"/>
    <s v="February"/>
    <s v="Sunday"/>
  </r>
  <r>
    <n v="423"/>
    <x v="422"/>
    <n v="1"/>
    <n v="1"/>
    <n v="2"/>
    <n v="0"/>
    <n v="1"/>
    <x v="1"/>
    <x v="1"/>
    <n v="0.36666700000000002"/>
    <n v="0.35795399999999999"/>
    <n v="0.49083300000000002"/>
    <n v="0.26803300000000002"/>
    <n v="253"/>
    <n v="4069"/>
    <n v="4322"/>
    <n v="9.2333490000000005"/>
    <n v="7.6249639999999985"/>
    <n v="49.083300000000001"/>
    <n v="17.958211000000002"/>
    <x v="0"/>
    <x v="1"/>
    <x v="1"/>
    <s v="February"/>
    <s v="Monday"/>
  </r>
  <r>
    <n v="424"/>
    <x v="423"/>
    <n v="1"/>
    <n v="1"/>
    <n v="2"/>
    <n v="0"/>
    <n v="2"/>
    <x v="1"/>
    <x v="1"/>
    <n v="0.35916700000000001"/>
    <n v="0.35352499999999998"/>
    <n v="0.39583299999999999"/>
    <n v="0.19341700000000001"/>
    <n v="229"/>
    <n v="4134"/>
    <n v="4363"/>
    <n v="8.8808490000000013"/>
    <n v="7.3326499999999974"/>
    <n v="39.583300000000001"/>
    <n v="12.958939000000001"/>
    <x v="0"/>
    <x v="1"/>
    <x v="1"/>
    <s v="February"/>
    <s v="Tuesday"/>
  </r>
  <r>
    <n v="425"/>
    <x v="424"/>
    <n v="1"/>
    <n v="1"/>
    <n v="2"/>
    <n v="0"/>
    <n v="3"/>
    <x v="1"/>
    <x v="0"/>
    <n v="0.34434799999999999"/>
    <n v="0.34847"/>
    <n v="0.80478300000000003"/>
    <n v="0.179117"/>
    <n v="65"/>
    <n v="1769"/>
    <n v="1834"/>
    <n v="8.1843560000000011"/>
    <n v="6.9990200000000016"/>
    <n v="80.478300000000004"/>
    <n v="12.000838999999999"/>
    <x v="0"/>
    <x v="1"/>
    <x v="0"/>
    <s v="February"/>
    <s v="Wednesday"/>
  </r>
  <r>
    <n v="426"/>
    <x v="425"/>
    <n v="1"/>
    <n v="1"/>
    <n v="3"/>
    <n v="0"/>
    <n v="4"/>
    <x v="1"/>
    <x v="1"/>
    <n v="0.48583300000000001"/>
    <n v="0.47537099999999999"/>
    <n v="0.61541699999999999"/>
    <n v="0.22698699999999999"/>
    <n v="325"/>
    <n v="4665"/>
    <n v="4990"/>
    <n v="14.834151000000002"/>
    <n v="15.374485999999997"/>
    <n v="61.541699999999999"/>
    <n v="15.208129"/>
    <x v="0"/>
    <x v="1"/>
    <x v="1"/>
    <s v="March"/>
    <s v="Thursday"/>
  </r>
  <r>
    <n v="427"/>
    <x v="426"/>
    <n v="1"/>
    <n v="1"/>
    <n v="3"/>
    <n v="0"/>
    <n v="5"/>
    <x v="1"/>
    <x v="0"/>
    <n v="0.35333300000000001"/>
    <n v="0.359842"/>
    <n v="0.65708299999999997"/>
    <n v="0.14490400000000001"/>
    <n v="246"/>
    <n v="2948"/>
    <n v="3194"/>
    <n v="8.6066509999999994"/>
    <n v="7.7495720000000006"/>
    <n v="65.708299999999994"/>
    <n v="9.7085679999999996"/>
    <x v="0"/>
    <x v="1"/>
    <x v="0"/>
    <s v="March"/>
    <s v="Friday"/>
  </r>
  <r>
    <n v="428"/>
    <x v="427"/>
    <n v="1"/>
    <n v="1"/>
    <n v="3"/>
    <n v="0"/>
    <n v="6"/>
    <x v="0"/>
    <x v="0"/>
    <n v="0.41416700000000001"/>
    <n v="0.41349200000000003"/>
    <n v="0.62124999999999997"/>
    <n v="0.161079"/>
    <n v="956"/>
    <n v="3110"/>
    <n v="4066"/>
    <n v="11.465848999999999"/>
    <n v="11.290472000000001"/>
    <n v="62.125"/>
    <n v="10.792293000000001"/>
    <x v="0"/>
    <x v="1"/>
    <x v="0"/>
    <s v="March"/>
    <s v="Saturday"/>
  </r>
  <r>
    <n v="429"/>
    <x v="428"/>
    <n v="1"/>
    <n v="1"/>
    <n v="3"/>
    <n v="0"/>
    <n v="0"/>
    <x v="0"/>
    <x v="1"/>
    <n v="0.32583299999999998"/>
    <n v="0.30302099999999998"/>
    <n v="0.403333"/>
    <n v="0.33457100000000001"/>
    <n v="710"/>
    <n v="2713"/>
    <n v="3423"/>
    <n v="7.314150999999999"/>
    <n v="3.9993859999999977"/>
    <n v="40.333300000000001"/>
    <n v="22.416257000000002"/>
    <x v="0"/>
    <x v="1"/>
    <x v="1"/>
    <s v="March"/>
    <s v="Sunday"/>
  </r>
  <r>
    <n v="430"/>
    <x v="429"/>
    <n v="1"/>
    <n v="1"/>
    <n v="3"/>
    <n v="0"/>
    <n v="1"/>
    <x v="1"/>
    <x v="1"/>
    <n v="0.24333299999999999"/>
    <n v="0.241171"/>
    <n v="0.50624999999999998"/>
    <n v="0.22885800000000001"/>
    <n v="203"/>
    <n v="3130"/>
    <n v="3333"/>
    <n v="3.4366509999999995"/>
    <n v="-8.2714000000001064E-2"/>
    <n v="50.625"/>
    <n v="15.333486000000001"/>
    <x v="0"/>
    <x v="1"/>
    <x v="1"/>
    <s v="March"/>
    <s v="Monday"/>
  </r>
  <r>
    <n v="431"/>
    <x v="430"/>
    <n v="1"/>
    <n v="1"/>
    <n v="3"/>
    <n v="0"/>
    <n v="2"/>
    <x v="1"/>
    <x v="1"/>
    <n v="0.25833299999999998"/>
    <n v="0.25504199999999999"/>
    <n v="0.45666699999999999"/>
    <n v="0.200875"/>
    <n v="221"/>
    <n v="3735"/>
    <n v="3956"/>
    <n v="4.1416509999999995"/>
    <n v="0.83277199999999851"/>
    <n v="45.666699999999999"/>
    <n v="13.458625"/>
    <x v="0"/>
    <x v="1"/>
    <x v="1"/>
    <s v="March"/>
    <s v="Tuesday"/>
  </r>
  <r>
    <n v="432"/>
    <x v="431"/>
    <n v="1"/>
    <n v="1"/>
    <n v="3"/>
    <n v="0"/>
    <n v="3"/>
    <x v="1"/>
    <x v="1"/>
    <n v="0.404167"/>
    <n v="0.3851"/>
    <n v="0.51333300000000004"/>
    <n v="0.345779"/>
    <n v="432"/>
    <n v="4484"/>
    <n v="4916"/>
    <n v="10.995849"/>
    <n v="9.416599999999999"/>
    <n v="51.333300000000001"/>
    <n v="23.167193000000001"/>
    <x v="0"/>
    <x v="1"/>
    <x v="1"/>
    <s v="March"/>
    <s v="Wednesday"/>
  </r>
  <r>
    <n v="433"/>
    <x v="432"/>
    <n v="1"/>
    <n v="1"/>
    <n v="3"/>
    <n v="0"/>
    <n v="4"/>
    <x v="1"/>
    <x v="1"/>
    <n v="0.52749999999999997"/>
    <n v="0.52460399999999996"/>
    <n v="0.5675"/>
    <n v="0.44156299999999998"/>
    <n v="486"/>
    <n v="4896"/>
    <n v="5382"/>
    <n v="16.792499999999997"/>
    <n v="18.623863999999998"/>
    <n v="56.75"/>
    <n v="29.584720999999998"/>
    <x v="0"/>
    <x v="1"/>
    <x v="1"/>
    <s v="March"/>
    <s v="Thursday"/>
  </r>
  <r>
    <n v="434"/>
    <x v="433"/>
    <n v="1"/>
    <n v="1"/>
    <n v="3"/>
    <n v="0"/>
    <n v="5"/>
    <x v="1"/>
    <x v="0"/>
    <n v="0.410833"/>
    <n v="0.39708300000000002"/>
    <n v="0.40708299999999997"/>
    <n v="0.4148"/>
    <n v="447"/>
    <n v="4122"/>
    <n v="4569"/>
    <n v="11.309151"/>
    <n v="10.207478000000002"/>
    <n v="40.708299999999994"/>
    <n v="27.791599999999999"/>
    <x v="0"/>
    <x v="1"/>
    <x v="0"/>
    <s v="March"/>
    <s v="Friday"/>
  </r>
  <r>
    <n v="435"/>
    <x v="434"/>
    <n v="1"/>
    <n v="1"/>
    <n v="3"/>
    <n v="0"/>
    <n v="6"/>
    <x v="0"/>
    <x v="1"/>
    <n v="0.28749999999999998"/>
    <n v="0.27776699999999999"/>
    <n v="0.35041699999999998"/>
    <n v="0.22575000000000001"/>
    <n v="968"/>
    <n v="3150"/>
    <n v="4118"/>
    <n v="5.5124999999999993"/>
    <n v="2.3326220000000006"/>
    <n v="35.041699999999999"/>
    <n v="15.125250000000001"/>
    <x v="0"/>
    <x v="1"/>
    <x v="1"/>
    <s v="March"/>
    <s v="Saturday"/>
  </r>
  <r>
    <n v="436"/>
    <x v="435"/>
    <n v="1"/>
    <n v="1"/>
    <n v="3"/>
    <n v="0"/>
    <n v="0"/>
    <x v="0"/>
    <x v="1"/>
    <n v="0.36173899999999998"/>
    <n v="0.35966999999999999"/>
    <n v="0.47695700000000002"/>
    <n v="0.22258700000000001"/>
    <n v="1658"/>
    <n v="3253"/>
    <n v="4911"/>
    <n v="9.001732999999998"/>
    <n v="7.7382199999999983"/>
    <n v="47.695700000000002"/>
    <n v="14.913329000000001"/>
    <x v="0"/>
    <x v="1"/>
    <x v="1"/>
    <s v="March"/>
    <s v="Sunday"/>
  </r>
  <r>
    <n v="437"/>
    <x v="436"/>
    <n v="1"/>
    <n v="1"/>
    <n v="3"/>
    <n v="0"/>
    <n v="1"/>
    <x v="1"/>
    <x v="1"/>
    <n v="0.466667"/>
    <n v="0.459592"/>
    <n v="0.48916700000000002"/>
    <n v="0.20771300000000001"/>
    <n v="838"/>
    <n v="4460"/>
    <n v="5298"/>
    <n v="13.933349"/>
    <n v="14.333072000000001"/>
    <n v="48.916699999999999"/>
    <n v="13.916771000000001"/>
    <x v="0"/>
    <x v="1"/>
    <x v="1"/>
    <s v="March"/>
    <s v="Monday"/>
  </r>
  <r>
    <n v="438"/>
    <x v="437"/>
    <n v="1"/>
    <n v="1"/>
    <n v="3"/>
    <n v="0"/>
    <n v="2"/>
    <x v="1"/>
    <x v="1"/>
    <n v="0.56499999999999995"/>
    <n v="0.54292899999999999"/>
    <n v="0.61750000000000005"/>
    <n v="0.23694999999999999"/>
    <n v="762"/>
    <n v="5085"/>
    <n v="5847"/>
    <n v="18.554999999999996"/>
    <n v="19.833314000000001"/>
    <n v="61.750000000000007"/>
    <n v="15.87565"/>
    <x v="0"/>
    <x v="1"/>
    <x v="1"/>
    <s v="March"/>
    <s v="Tuesday"/>
  </r>
  <r>
    <n v="439"/>
    <x v="438"/>
    <n v="1"/>
    <n v="1"/>
    <n v="3"/>
    <n v="0"/>
    <n v="3"/>
    <x v="1"/>
    <x v="1"/>
    <n v="0.57250000000000001"/>
    <n v="0.54861700000000002"/>
    <n v="0.50708299999999995"/>
    <n v="0.115062"/>
    <n v="997"/>
    <n v="5315"/>
    <n v="6312"/>
    <n v="18.907499999999999"/>
    <n v="20.208722000000002"/>
    <n v="50.708299999999994"/>
    <n v="7.7091539999999998"/>
    <x v="0"/>
    <x v="1"/>
    <x v="1"/>
    <s v="March"/>
    <s v="Wednesday"/>
  </r>
  <r>
    <n v="440"/>
    <x v="439"/>
    <n v="1"/>
    <n v="1"/>
    <n v="3"/>
    <n v="0"/>
    <n v="4"/>
    <x v="1"/>
    <x v="1"/>
    <n v="0.5575"/>
    <n v="0.53282499999999999"/>
    <n v="0.57958299999999996"/>
    <n v="0.14988299999999999"/>
    <n v="1005"/>
    <n v="5187"/>
    <n v="6192"/>
    <n v="18.202500000000001"/>
    <n v="19.166449999999998"/>
    <n v="57.958299999999994"/>
    <n v="10.042161"/>
    <x v="0"/>
    <x v="1"/>
    <x v="1"/>
    <s v="March"/>
    <s v="Thursday"/>
  </r>
  <r>
    <n v="441"/>
    <x v="440"/>
    <n v="1"/>
    <n v="1"/>
    <n v="3"/>
    <n v="0"/>
    <n v="5"/>
    <x v="1"/>
    <x v="0"/>
    <n v="0.43583300000000003"/>
    <n v="0.43622899999999998"/>
    <n v="0.84208300000000003"/>
    <n v="0.113192"/>
    <n v="548"/>
    <n v="3830"/>
    <n v="4378"/>
    <n v="12.484151000000001"/>
    <n v="12.791114"/>
    <n v="84.208300000000008"/>
    <n v="7.5838640000000002"/>
    <x v="0"/>
    <x v="1"/>
    <x v="0"/>
    <s v="March"/>
    <s v="Friday"/>
  </r>
  <r>
    <n v="442"/>
    <x v="441"/>
    <n v="1"/>
    <n v="1"/>
    <n v="3"/>
    <n v="0"/>
    <n v="6"/>
    <x v="0"/>
    <x v="0"/>
    <n v="0.51416700000000004"/>
    <n v="0.50504599999999999"/>
    <n v="0.75583299999999998"/>
    <n v="0.110704"/>
    <n v="3155"/>
    <n v="4681"/>
    <n v="7836"/>
    <n v="16.165849000000001"/>
    <n v="17.333036"/>
    <n v="75.583299999999994"/>
    <n v="7.4171680000000002"/>
    <x v="0"/>
    <x v="1"/>
    <x v="0"/>
    <s v="March"/>
    <s v="Saturday"/>
  </r>
  <r>
    <n v="443"/>
    <x v="442"/>
    <n v="1"/>
    <n v="1"/>
    <n v="3"/>
    <n v="0"/>
    <n v="0"/>
    <x v="0"/>
    <x v="0"/>
    <n v="0.47249999999999998"/>
    <n v="0.46400000000000002"/>
    <n v="0.81"/>
    <n v="0.126883"/>
    <n v="2207"/>
    <n v="3685"/>
    <n v="5892"/>
    <n v="14.2075"/>
    <n v="14.624000000000002"/>
    <n v="81"/>
    <n v="8.5011609999999997"/>
    <x v="0"/>
    <x v="1"/>
    <x v="0"/>
    <s v="March"/>
    <s v="Sunday"/>
  </r>
  <r>
    <n v="444"/>
    <x v="443"/>
    <n v="1"/>
    <n v="1"/>
    <n v="3"/>
    <n v="0"/>
    <n v="1"/>
    <x v="1"/>
    <x v="1"/>
    <n v="0.54500000000000004"/>
    <n v="0.53282099999999999"/>
    <n v="0.72875000000000001"/>
    <n v="0.16231699999999999"/>
    <n v="982"/>
    <n v="5171"/>
    <n v="6153"/>
    <n v="17.615000000000002"/>
    <n v="19.166185999999996"/>
    <n v="72.875"/>
    <n v="10.875238999999999"/>
    <x v="0"/>
    <x v="1"/>
    <x v="1"/>
    <s v="March"/>
    <s v="Monday"/>
  </r>
  <r>
    <n v="445"/>
    <x v="444"/>
    <n v="1"/>
    <n v="1"/>
    <n v="3"/>
    <n v="0"/>
    <n v="2"/>
    <x v="1"/>
    <x v="1"/>
    <n v="0.56083300000000003"/>
    <n v="0.53853300000000004"/>
    <n v="0.807917"/>
    <n v="0.121271"/>
    <n v="1051"/>
    <n v="5042"/>
    <n v="6093"/>
    <n v="18.359151000000001"/>
    <n v="19.543178000000005"/>
    <n v="80.791700000000006"/>
    <n v="8.1251569999999997"/>
    <x v="0"/>
    <x v="1"/>
    <x v="1"/>
    <s v="March"/>
    <s v="Tuesday"/>
  </r>
  <r>
    <n v="446"/>
    <x v="445"/>
    <n v="2"/>
    <n v="1"/>
    <n v="3"/>
    <n v="0"/>
    <n v="3"/>
    <x v="1"/>
    <x v="0"/>
    <n v="0.531667"/>
    <n v="0.51325799999999999"/>
    <n v="0.82125000000000004"/>
    <n v="8.9558299999999993E-2"/>
    <n v="1122"/>
    <n v="5108"/>
    <n v="6230"/>
    <n v="16.988348999999999"/>
    <n v="17.875028"/>
    <n v="82.125"/>
    <n v="6.0004060999999993"/>
    <x v="1"/>
    <x v="1"/>
    <x v="0"/>
    <s v="March"/>
    <s v="Wednesday"/>
  </r>
  <r>
    <n v="447"/>
    <x v="446"/>
    <n v="2"/>
    <n v="1"/>
    <n v="3"/>
    <n v="0"/>
    <n v="4"/>
    <x v="1"/>
    <x v="1"/>
    <n v="0.55416699999999997"/>
    <n v="0.53156700000000001"/>
    <n v="0.83125000000000004"/>
    <n v="0.117562"/>
    <n v="1334"/>
    <n v="5537"/>
    <n v="6871"/>
    <n v="18.045848999999997"/>
    <n v="19.083421999999999"/>
    <n v="83.125"/>
    <n v="7.8766540000000003"/>
    <x v="1"/>
    <x v="1"/>
    <x v="1"/>
    <s v="March"/>
    <s v="Thursday"/>
  </r>
  <r>
    <n v="448"/>
    <x v="447"/>
    <n v="2"/>
    <n v="1"/>
    <n v="3"/>
    <n v="0"/>
    <n v="5"/>
    <x v="1"/>
    <x v="0"/>
    <n v="0.60166699999999995"/>
    <n v="0.57006699999999999"/>
    <n v="0.69416699999999998"/>
    <n v="0.1163"/>
    <n v="2469"/>
    <n v="5893"/>
    <n v="8362"/>
    <n v="20.278348999999999"/>
    <n v="21.624422000000003"/>
    <n v="69.416699999999992"/>
    <n v="7.7921000000000005"/>
    <x v="1"/>
    <x v="1"/>
    <x v="0"/>
    <s v="March"/>
    <s v="Friday"/>
  </r>
  <r>
    <n v="449"/>
    <x v="448"/>
    <n v="2"/>
    <n v="1"/>
    <n v="3"/>
    <n v="0"/>
    <n v="6"/>
    <x v="0"/>
    <x v="0"/>
    <n v="0.50249999999999995"/>
    <n v="0.48673300000000003"/>
    <n v="0.88541700000000001"/>
    <n v="0.19278300000000001"/>
    <n v="1033"/>
    <n v="2339"/>
    <n v="3372"/>
    <n v="15.617499999999996"/>
    <n v="16.124378"/>
    <n v="88.541700000000006"/>
    <n v="12.916461"/>
    <x v="1"/>
    <x v="1"/>
    <x v="0"/>
    <s v="March"/>
    <s v="Saturday"/>
  </r>
  <r>
    <n v="450"/>
    <x v="449"/>
    <n v="2"/>
    <n v="1"/>
    <n v="3"/>
    <n v="0"/>
    <n v="0"/>
    <x v="0"/>
    <x v="0"/>
    <n v="0.4375"/>
    <n v="0.43748799999999999"/>
    <n v="0.88083299999999998"/>
    <n v="0.220775"/>
    <n v="1532"/>
    <n v="3464"/>
    <n v="4996"/>
    <n v="12.5625"/>
    <n v="12.874207999999999"/>
    <n v="88.083299999999994"/>
    <n v="14.791924999999999"/>
    <x v="1"/>
    <x v="1"/>
    <x v="0"/>
    <s v="March"/>
    <s v="Sunday"/>
  </r>
  <r>
    <n v="451"/>
    <x v="450"/>
    <n v="2"/>
    <n v="1"/>
    <n v="3"/>
    <n v="0"/>
    <n v="1"/>
    <x v="1"/>
    <x v="1"/>
    <n v="0.44583299999999998"/>
    <n v="0.43874999999999997"/>
    <n v="0.47791699999999998"/>
    <n v="0.38682100000000003"/>
    <n v="795"/>
    <n v="4763"/>
    <n v="5558"/>
    <n v="12.954151"/>
    <n v="12.9575"/>
    <n v="47.791699999999999"/>
    <n v="25.917007000000002"/>
    <x v="1"/>
    <x v="1"/>
    <x v="1"/>
    <s v="March"/>
    <s v="Monday"/>
  </r>
  <r>
    <n v="452"/>
    <x v="451"/>
    <n v="2"/>
    <n v="1"/>
    <n v="3"/>
    <n v="0"/>
    <n v="2"/>
    <x v="1"/>
    <x v="1"/>
    <n v="0.32333299999999998"/>
    <n v="0.31565399999999999"/>
    <n v="0.28999999999999998"/>
    <n v="0.187192"/>
    <n v="531"/>
    <n v="4571"/>
    <n v="5102"/>
    <n v="7.1966509999999992"/>
    <n v="4.833164"/>
    <n v="28.999999999999996"/>
    <n v="12.541864"/>
    <x v="1"/>
    <x v="1"/>
    <x v="1"/>
    <s v="March"/>
    <s v="Tuesday"/>
  </r>
  <r>
    <n v="453"/>
    <x v="452"/>
    <n v="2"/>
    <n v="1"/>
    <n v="3"/>
    <n v="0"/>
    <n v="3"/>
    <x v="1"/>
    <x v="1"/>
    <n v="0.48416700000000001"/>
    <n v="0.47094999999999998"/>
    <n v="0.48125000000000001"/>
    <n v="0.29167100000000001"/>
    <n v="674"/>
    <n v="5024"/>
    <n v="5698"/>
    <n v="14.755849000000001"/>
    <n v="15.082699999999999"/>
    <n v="48.125"/>
    <n v="19.541957"/>
    <x v="1"/>
    <x v="1"/>
    <x v="1"/>
    <s v="March"/>
    <s v="Wednesday"/>
  </r>
  <r>
    <n v="454"/>
    <x v="453"/>
    <n v="2"/>
    <n v="1"/>
    <n v="3"/>
    <n v="0"/>
    <n v="4"/>
    <x v="1"/>
    <x v="1"/>
    <n v="0.49416700000000002"/>
    <n v="0.48230400000000001"/>
    <n v="0.43916699999999997"/>
    <n v="0.31964999999999999"/>
    <n v="834"/>
    <n v="5299"/>
    <n v="6133"/>
    <n v="15.225849"/>
    <n v="15.832063999999999"/>
    <n v="43.916699999999999"/>
    <n v="21.416550000000001"/>
    <x v="1"/>
    <x v="1"/>
    <x v="1"/>
    <s v="March"/>
    <s v="Thursday"/>
  </r>
  <r>
    <n v="455"/>
    <x v="454"/>
    <n v="2"/>
    <n v="1"/>
    <n v="3"/>
    <n v="0"/>
    <n v="5"/>
    <x v="1"/>
    <x v="0"/>
    <n v="0.37"/>
    <n v="0.37562099999999998"/>
    <n v="0.58083300000000004"/>
    <n v="0.138067"/>
    <n v="796"/>
    <n v="4663"/>
    <n v="5459"/>
    <n v="9.39"/>
    <n v="8.7909860000000002"/>
    <n v="58.083300000000001"/>
    <n v="9.250489"/>
    <x v="1"/>
    <x v="1"/>
    <x v="0"/>
    <s v="March"/>
    <s v="Friday"/>
  </r>
  <r>
    <n v="456"/>
    <x v="455"/>
    <n v="2"/>
    <n v="1"/>
    <n v="3"/>
    <n v="0"/>
    <n v="6"/>
    <x v="0"/>
    <x v="0"/>
    <n v="0.42416700000000002"/>
    <n v="0.42170800000000003"/>
    <n v="0.73833300000000002"/>
    <n v="0.25061699999999998"/>
    <n v="2301"/>
    <n v="3934"/>
    <n v="6235"/>
    <n v="11.935849000000001"/>
    <n v="11.832728000000003"/>
    <n v="73.833300000000008"/>
    <n v="16.791338999999997"/>
    <x v="1"/>
    <x v="1"/>
    <x v="0"/>
    <s v="March"/>
    <s v="Saturday"/>
  </r>
  <r>
    <n v="457"/>
    <x v="456"/>
    <n v="2"/>
    <n v="1"/>
    <n v="4"/>
    <n v="0"/>
    <n v="0"/>
    <x v="0"/>
    <x v="0"/>
    <n v="0.42583300000000002"/>
    <n v="0.41728700000000002"/>
    <n v="0.67625000000000002"/>
    <n v="0.172267"/>
    <n v="2347"/>
    <n v="3694"/>
    <n v="6041"/>
    <n v="12.014151000000002"/>
    <n v="11.540942000000001"/>
    <n v="67.625"/>
    <n v="11.541888999999999"/>
    <x v="1"/>
    <x v="1"/>
    <x v="0"/>
    <s v="April"/>
    <s v="Sunday"/>
  </r>
  <r>
    <n v="458"/>
    <x v="457"/>
    <n v="2"/>
    <n v="1"/>
    <n v="4"/>
    <n v="0"/>
    <n v="1"/>
    <x v="1"/>
    <x v="1"/>
    <n v="0.43391299999999999"/>
    <n v="0.42751299999999998"/>
    <n v="0.50434800000000002"/>
    <n v="0.312139"/>
    <n v="1208"/>
    <n v="4728"/>
    <n v="5936"/>
    <n v="12.393910999999999"/>
    <n v="12.215857999999997"/>
    <n v="50.434800000000003"/>
    <n v="20.913312999999999"/>
    <x v="1"/>
    <x v="1"/>
    <x v="1"/>
    <s v="April"/>
    <s v="Monday"/>
  </r>
  <r>
    <n v="459"/>
    <x v="458"/>
    <n v="2"/>
    <n v="1"/>
    <n v="4"/>
    <n v="0"/>
    <n v="2"/>
    <x v="1"/>
    <x v="1"/>
    <n v="0.466667"/>
    <n v="0.46148299999999998"/>
    <n v="0.39666699999999999"/>
    <n v="0.100133"/>
    <n v="1348"/>
    <n v="5424"/>
    <n v="6772"/>
    <n v="13.933349"/>
    <n v="14.457877999999997"/>
    <n v="39.666699999999999"/>
    <n v="6.7089109999999996"/>
    <x v="1"/>
    <x v="1"/>
    <x v="1"/>
    <s v="April"/>
    <s v="Tuesday"/>
  </r>
  <r>
    <n v="460"/>
    <x v="459"/>
    <n v="2"/>
    <n v="1"/>
    <n v="4"/>
    <n v="0"/>
    <n v="3"/>
    <x v="1"/>
    <x v="1"/>
    <n v="0.54166700000000001"/>
    <n v="0.53344999999999998"/>
    <n v="0.46958299999999997"/>
    <n v="0.180975"/>
    <n v="1058"/>
    <n v="5378"/>
    <n v="6436"/>
    <n v="17.458349000000002"/>
    <n v="19.207699999999996"/>
    <n v="46.958299999999994"/>
    <n v="12.125325"/>
    <x v="1"/>
    <x v="1"/>
    <x v="1"/>
    <s v="April"/>
    <s v="Wednesday"/>
  </r>
  <r>
    <n v="461"/>
    <x v="460"/>
    <n v="2"/>
    <n v="1"/>
    <n v="4"/>
    <n v="0"/>
    <n v="4"/>
    <x v="1"/>
    <x v="1"/>
    <n v="0.435"/>
    <n v="0.43116300000000002"/>
    <n v="0.37416700000000003"/>
    <n v="0.219529"/>
    <n v="1192"/>
    <n v="5265"/>
    <n v="6457"/>
    <n v="12.445"/>
    <n v="12.456758000000001"/>
    <n v="37.416700000000006"/>
    <n v="14.708443000000001"/>
    <x v="1"/>
    <x v="1"/>
    <x v="1"/>
    <s v="April"/>
    <s v="Thursday"/>
  </r>
  <r>
    <n v="462"/>
    <x v="461"/>
    <n v="2"/>
    <n v="1"/>
    <n v="4"/>
    <n v="0"/>
    <n v="5"/>
    <x v="1"/>
    <x v="1"/>
    <n v="0.403333"/>
    <n v="0.39076699999999998"/>
    <n v="0.377083"/>
    <n v="0.30038799999999999"/>
    <n v="1807"/>
    <n v="4653"/>
    <n v="6460"/>
    <n v="10.956651000000001"/>
    <n v="9.790621999999999"/>
    <n v="37.708300000000001"/>
    <n v="20.125996000000001"/>
    <x v="1"/>
    <x v="1"/>
    <x v="1"/>
    <s v="April"/>
    <s v="Friday"/>
  </r>
  <r>
    <n v="463"/>
    <x v="462"/>
    <n v="2"/>
    <n v="1"/>
    <n v="4"/>
    <n v="0"/>
    <n v="6"/>
    <x v="0"/>
    <x v="1"/>
    <n v="0.4375"/>
    <n v="0.42612899999999998"/>
    <n v="0.25416699999999998"/>
    <n v="0.27487099999999998"/>
    <n v="3252"/>
    <n v="3605"/>
    <n v="6857"/>
    <n v="12.5625"/>
    <n v="12.124513999999998"/>
    <n v="25.416699999999999"/>
    <n v="18.416356999999998"/>
    <x v="1"/>
    <x v="1"/>
    <x v="1"/>
    <s v="April"/>
    <s v="Saturday"/>
  </r>
  <r>
    <n v="464"/>
    <x v="463"/>
    <n v="2"/>
    <n v="1"/>
    <n v="4"/>
    <n v="0"/>
    <n v="0"/>
    <x v="0"/>
    <x v="1"/>
    <n v="0.5"/>
    <n v="0.492425"/>
    <n v="0.27583299999999999"/>
    <n v="0.232596"/>
    <n v="2230"/>
    <n v="2939"/>
    <n v="5169"/>
    <n v="15.5"/>
    <n v="16.500050000000002"/>
    <n v="27.583300000000001"/>
    <n v="15.583931999999999"/>
    <x v="1"/>
    <x v="1"/>
    <x v="1"/>
    <s v="April"/>
    <s v="Sunday"/>
  </r>
  <r>
    <n v="465"/>
    <x v="464"/>
    <n v="2"/>
    <n v="1"/>
    <n v="4"/>
    <n v="0"/>
    <n v="1"/>
    <x v="1"/>
    <x v="1"/>
    <n v="0.48916700000000002"/>
    <n v="0.47663800000000001"/>
    <n v="0.3175"/>
    <n v="0.35819600000000001"/>
    <n v="905"/>
    <n v="4680"/>
    <n v="5585"/>
    <n v="14.990849000000001"/>
    <n v="15.458107999999999"/>
    <n v="31.75"/>
    <n v="23.999131999999999"/>
    <x v="1"/>
    <x v="1"/>
    <x v="1"/>
    <s v="April"/>
    <s v="Monday"/>
  </r>
  <r>
    <n v="466"/>
    <x v="465"/>
    <n v="2"/>
    <n v="1"/>
    <n v="4"/>
    <n v="0"/>
    <n v="2"/>
    <x v="1"/>
    <x v="1"/>
    <n v="0.44666699999999998"/>
    <n v="0.43623299999999998"/>
    <n v="0.435"/>
    <n v="0.24937500000000001"/>
    <n v="819"/>
    <n v="5099"/>
    <n v="5918"/>
    <n v="12.993348999999998"/>
    <n v="12.791377999999998"/>
    <n v="43.5"/>
    <n v="16.708125000000003"/>
    <x v="1"/>
    <x v="1"/>
    <x v="1"/>
    <s v="April"/>
    <s v="Tuesday"/>
  </r>
  <r>
    <n v="467"/>
    <x v="466"/>
    <n v="2"/>
    <n v="1"/>
    <n v="4"/>
    <n v="0"/>
    <n v="3"/>
    <x v="1"/>
    <x v="1"/>
    <n v="0.34869600000000001"/>
    <n v="0.33727400000000002"/>
    <n v="0.46956500000000001"/>
    <n v="0.29527399999999998"/>
    <n v="482"/>
    <n v="4380"/>
    <n v="4862"/>
    <n v="8.3887120000000017"/>
    <n v="6.2600840000000026"/>
    <n v="46.956499999999998"/>
    <n v="19.783358"/>
    <x v="1"/>
    <x v="1"/>
    <x v="1"/>
    <s v="April"/>
    <s v="Wednesday"/>
  </r>
  <r>
    <n v="468"/>
    <x v="467"/>
    <n v="2"/>
    <n v="1"/>
    <n v="4"/>
    <n v="0"/>
    <n v="4"/>
    <x v="1"/>
    <x v="1"/>
    <n v="0.39750000000000002"/>
    <n v="0.387604"/>
    <n v="0.46625"/>
    <n v="0.29042899999999999"/>
    <n v="663"/>
    <n v="4746"/>
    <n v="5409"/>
    <n v="10.682500000000001"/>
    <n v="9.5818639999999995"/>
    <n v="46.625"/>
    <n v="19.458742999999998"/>
    <x v="1"/>
    <x v="1"/>
    <x v="1"/>
    <s v="April"/>
    <s v="Thursday"/>
  </r>
  <r>
    <n v="469"/>
    <x v="468"/>
    <n v="2"/>
    <n v="1"/>
    <n v="4"/>
    <n v="0"/>
    <n v="5"/>
    <x v="1"/>
    <x v="1"/>
    <n v="0.4425"/>
    <n v="0.43180800000000003"/>
    <n v="0.408333"/>
    <n v="0.155471"/>
    <n v="1252"/>
    <n v="5146"/>
    <n v="6398"/>
    <n v="12.797499999999999"/>
    <n v="12.499328000000002"/>
    <n v="40.833300000000001"/>
    <n v="10.416556999999999"/>
    <x v="1"/>
    <x v="1"/>
    <x v="1"/>
    <s v="April"/>
    <s v="Friday"/>
  </r>
  <r>
    <n v="470"/>
    <x v="469"/>
    <n v="2"/>
    <n v="1"/>
    <n v="4"/>
    <n v="0"/>
    <n v="6"/>
    <x v="0"/>
    <x v="1"/>
    <n v="0.495"/>
    <n v="0.48799599999999999"/>
    <n v="0.50291699999999995"/>
    <n v="0.190917"/>
    <n v="2795"/>
    <n v="4665"/>
    <n v="7460"/>
    <n v="15.265000000000001"/>
    <n v="16.207735999999997"/>
    <n v="50.291699999999992"/>
    <n v="12.791439"/>
    <x v="1"/>
    <x v="1"/>
    <x v="1"/>
    <s v="April"/>
    <s v="Saturday"/>
  </r>
  <r>
    <n v="471"/>
    <x v="470"/>
    <n v="2"/>
    <n v="1"/>
    <n v="4"/>
    <n v="0"/>
    <n v="0"/>
    <x v="0"/>
    <x v="1"/>
    <n v="0.60666699999999996"/>
    <n v="0.57387500000000002"/>
    <n v="0.50791699999999995"/>
    <n v="0.225129"/>
    <n v="2846"/>
    <n v="4286"/>
    <n v="7132"/>
    <n v="20.513348999999998"/>
    <n v="21.875750000000004"/>
    <n v="50.791699999999992"/>
    <n v="15.083643"/>
    <x v="1"/>
    <x v="1"/>
    <x v="1"/>
    <s v="April"/>
    <s v="Sunday"/>
  </r>
  <r>
    <n v="472"/>
    <x v="471"/>
    <n v="2"/>
    <n v="1"/>
    <n v="4"/>
    <n v="1"/>
    <n v="1"/>
    <x v="0"/>
    <x v="1"/>
    <n v="0.66416699999999995"/>
    <n v="0.61492500000000005"/>
    <n v="0.56166700000000003"/>
    <n v="0.284829"/>
    <n v="1198"/>
    <n v="5172"/>
    <n v="6370"/>
    <n v="23.215848999999999"/>
    <n v="24.585050000000003"/>
    <n v="56.166700000000006"/>
    <n v="19.083542999999999"/>
    <x v="1"/>
    <x v="1"/>
    <x v="1"/>
    <s v="April"/>
    <s v="Monday"/>
  </r>
  <r>
    <n v="473"/>
    <x v="472"/>
    <n v="2"/>
    <n v="1"/>
    <n v="4"/>
    <n v="0"/>
    <n v="2"/>
    <x v="1"/>
    <x v="1"/>
    <n v="0.60833300000000001"/>
    <n v="0.59848699999999999"/>
    <n v="0.39041700000000001"/>
    <n v="0.27362900000000001"/>
    <n v="989"/>
    <n v="5702"/>
    <n v="6691"/>
    <n v="20.591650999999999"/>
    <n v="23.500141999999997"/>
    <n v="39.041699999999999"/>
    <n v="18.333143"/>
    <x v="1"/>
    <x v="1"/>
    <x v="1"/>
    <s v="April"/>
    <s v="Tuesday"/>
  </r>
  <r>
    <n v="474"/>
    <x v="473"/>
    <n v="2"/>
    <n v="1"/>
    <n v="4"/>
    <n v="0"/>
    <n v="3"/>
    <x v="1"/>
    <x v="0"/>
    <n v="0.46333299999999999"/>
    <n v="0.457038"/>
    <n v="0.56916699999999998"/>
    <n v="0.16791200000000001"/>
    <n v="347"/>
    <n v="4020"/>
    <n v="4367"/>
    <n v="13.776651000000001"/>
    <n v="14.164508000000001"/>
    <n v="56.916699999999999"/>
    <n v="11.250104"/>
    <x v="1"/>
    <x v="1"/>
    <x v="0"/>
    <s v="April"/>
    <s v="Wednesday"/>
  </r>
  <r>
    <n v="475"/>
    <x v="474"/>
    <n v="2"/>
    <n v="1"/>
    <n v="4"/>
    <n v="0"/>
    <n v="4"/>
    <x v="1"/>
    <x v="1"/>
    <n v="0.49833300000000003"/>
    <n v="0.49304599999999998"/>
    <n v="0.61250000000000004"/>
    <n v="6.5929199999999993E-2"/>
    <n v="846"/>
    <n v="5719"/>
    <n v="6565"/>
    <n v="15.421651000000001"/>
    <n v="16.541035999999998"/>
    <n v="61.250000000000007"/>
    <n v="4.4172563999999994"/>
    <x v="1"/>
    <x v="1"/>
    <x v="1"/>
    <s v="April"/>
    <s v="Thursday"/>
  </r>
  <r>
    <n v="476"/>
    <x v="475"/>
    <n v="2"/>
    <n v="1"/>
    <n v="4"/>
    <n v="0"/>
    <n v="5"/>
    <x v="1"/>
    <x v="1"/>
    <n v="0.526667"/>
    <n v="0.51577499999999998"/>
    <n v="0.69458299999999995"/>
    <n v="0.149871"/>
    <n v="1340"/>
    <n v="5950"/>
    <n v="7290"/>
    <n v="16.753349"/>
    <n v="18.041150000000002"/>
    <n v="69.458299999999994"/>
    <n v="10.041357"/>
    <x v="1"/>
    <x v="1"/>
    <x v="1"/>
    <s v="April"/>
    <s v="Friday"/>
  </r>
  <r>
    <n v="477"/>
    <x v="476"/>
    <n v="2"/>
    <n v="1"/>
    <n v="4"/>
    <n v="0"/>
    <n v="6"/>
    <x v="0"/>
    <x v="1"/>
    <n v="0.56999999999999995"/>
    <n v="0.54292099999999999"/>
    <n v="0.682917"/>
    <n v="0.28358699999999998"/>
    <n v="2541"/>
    <n v="4083"/>
    <n v="6624"/>
    <n v="18.79"/>
    <n v="19.832785999999999"/>
    <n v="68.291700000000006"/>
    <n v="19.000328999999997"/>
    <x v="1"/>
    <x v="1"/>
    <x v="1"/>
    <s v="April"/>
    <s v="Saturday"/>
  </r>
  <r>
    <n v="478"/>
    <x v="477"/>
    <n v="2"/>
    <n v="1"/>
    <n v="4"/>
    <n v="0"/>
    <n v="0"/>
    <x v="0"/>
    <x v="2"/>
    <n v="0.39666699999999999"/>
    <n v="0.38950400000000002"/>
    <n v="0.83541699999999997"/>
    <n v="0.34454600000000002"/>
    <n v="120"/>
    <n v="907"/>
    <n v="1027"/>
    <n v="10.643349000000001"/>
    <n v="9.7072640000000021"/>
    <n v="83.541699999999992"/>
    <n v="23.084582000000001"/>
    <x v="1"/>
    <x v="1"/>
    <x v="2"/>
    <s v="April"/>
    <s v="Sunday"/>
  </r>
  <r>
    <n v="479"/>
    <x v="478"/>
    <n v="2"/>
    <n v="1"/>
    <n v="4"/>
    <n v="0"/>
    <n v="1"/>
    <x v="1"/>
    <x v="0"/>
    <n v="0.32166699999999998"/>
    <n v="0.30112499999999998"/>
    <n v="0.76666699999999999"/>
    <n v="0.30349599999999999"/>
    <n v="195"/>
    <n v="3019"/>
    <n v="3214"/>
    <n v="7.1183489999999985"/>
    <n v="3.87425"/>
    <n v="76.666699999999992"/>
    <n v="20.334232"/>
    <x v="1"/>
    <x v="1"/>
    <x v="0"/>
    <s v="April"/>
    <s v="Monday"/>
  </r>
  <r>
    <n v="480"/>
    <x v="479"/>
    <n v="2"/>
    <n v="1"/>
    <n v="4"/>
    <n v="0"/>
    <n v="2"/>
    <x v="1"/>
    <x v="1"/>
    <n v="0.41333300000000001"/>
    <n v="0.405283"/>
    <n v="0.45416699999999999"/>
    <n v="0.24938299999999999"/>
    <n v="518"/>
    <n v="5115"/>
    <n v="5633"/>
    <n v="11.426651"/>
    <n v="10.748678000000002"/>
    <n v="45.416699999999999"/>
    <n v="16.708660999999999"/>
    <x v="1"/>
    <x v="1"/>
    <x v="1"/>
    <s v="April"/>
    <s v="Tuesday"/>
  </r>
  <r>
    <n v="481"/>
    <x v="480"/>
    <n v="2"/>
    <n v="1"/>
    <n v="4"/>
    <n v="0"/>
    <n v="3"/>
    <x v="1"/>
    <x v="1"/>
    <n v="0.47666700000000001"/>
    <n v="0.47031699999999999"/>
    <n v="0.42791699999999999"/>
    <n v="0.11879199999999999"/>
    <n v="655"/>
    <n v="5541"/>
    <n v="6196"/>
    <n v="14.403348999999999"/>
    <n v="15.040921999999998"/>
    <n v="42.791699999999999"/>
    <n v="7.9590639999999997"/>
    <x v="1"/>
    <x v="1"/>
    <x v="1"/>
    <s v="April"/>
    <s v="Wednesday"/>
  </r>
  <r>
    <n v="482"/>
    <x v="481"/>
    <n v="2"/>
    <n v="1"/>
    <n v="4"/>
    <n v="0"/>
    <n v="4"/>
    <x v="1"/>
    <x v="0"/>
    <n v="0.49833300000000003"/>
    <n v="0.48358299999999999"/>
    <n v="0.75666699999999998"/>
    <n v="0.176625"/>
    <n v="475"/>
    <n v="4551"/>
    <n v="5026"/>
    <n v="15.421651000000001"/>
    <n v="15.916477999999998"/>
    <n v="75.666699999999992"/>
    <n v="11.833875000000001"/>
    <x v="1"/>
    <x v="1"/>
    <x v="0"/>
    <s v="April"/>
    <s v="Thursday"/>
  </r>
  <r>
    <n v="483"/>
    <x v="482"/>
    <n v="2"/>
    <n v="1"/>
    <n v="4"/>
    <n v="0"/>
    <n v="5"/>
    <x v="1"/>
    <x v="1"/>
    <n v="0.45750000000000002"/>
    <n v="0.45263700000000001"/>
    <n v="0.40083299999999999"/>
    <n v="0.34763300000000003"/>
    <n v="1014"/>
    <n v="5219"/>
    <n v="6233"/>
    <n v="13.502500000000001"/>
    <n v="13.874041999999999"/>
    <n v="40.083300000000001"/>
    <n v="23.291411"/>
    <x v="1"/>
    <x v="1"/>
    <x v="1"/>
    <s v="April"/>
    <s v="Friday"/>
  </r>
  <r>
    <n v="484"/>
    <x v="483"/>
    <n v="2"/>
    <n v="1"/>
    <n v="4"/>
    <n v="0"/>
    <n v="6"/>
    <x v="0"/>
    <x v="0"/>
    <n v="0.37666699999999997"/>
    <n v="0.37750400000000001"/>
    <n v="0.48958299999999999"/>
    <n v="0.12997500000000001"/>
    <n v="1120"/>
    <n v="3100"/>
    <n v="4220"/>
    <n v="9.7033489999999993"/>
    <n v="8.9152640000000005"/>
    <n v="48.958300000000001"/>
    <n v="8.7083250000000003"/>
    <x v="1"/>
    <x v="1"/>
    <x v="0"/>
    <s v="April"/>
    <s v="Saturday"/>
  </r>
  <r>
    <n v="485"/>
    <x v="484"/>
    <n v="2"/>
    <n v="1"/>
    <n v="4"/>
    <n v="0"/>
    <n v="0"/>
    <x v="0"/>
    <x v="1"/>
    <n v="0.45833299999999999"/>
    <n v="0.45012099999999999"/>
    <n v="0.58708300000000002"/>
    <n v="0.116908"/>
    <n v="2229"/>
    <n v="4075"/>
    <n v="6304"/>
    <n v="13.541650999999998"/>
    <n v="13.707985999999998"/>
    <n v="58.708300000000001"/>
    <n v="7.8328359999999995"/>
    <x v="1"/>
    <x v="1"/>
    <x v="1"/>
    <s v="April"/>
    <s v="Sunday"/>
  </r>
  <r>
    <n v="486"/>
    <x v="485"/>
    <n v="2"/>
    <n v="1"/>
    <n v="4"/>
    <n v="0"/>
    <n v="1"/>
    <x v="1"/>
    <x v="0"/>
    <n v="0.464167"/>
    <n v="0.45769599999999999"/>
    <n v="0.56999999999999995"/>
    <n v="0.17163800000000001"/>
    <n v="665"/>
    <n v="4907"/>
    <n v="5572"/>
    <n v="13.815849"/>
    <n v="14.207936"/>
    <n v="56.999999999999993"/>
    <n v="11.499746"/>
    <x v="1"/>
    <x v="1"/>
    <x v="0"/>
    <s v="April"/>
    <s v="Monday"/>
  </r>
  <r>
    <n v="487"/>
    <x v="486"/>
    <n v="2"/>
    <n v="1"/>
    <n v="5"/>
    <n v="0"/>
    <n v="2"/>
    <x v="1"/>
    <x v="0"/>
    <n v="0.61333300000000002"/>
    <n v="0.57702100000000001"/>
    <n v="0.65958300000000003"/>
    <n v="0.15609600000000001"/>
    <n v="653"/>
    <n v="5087"/>
    <n v="5740"/>
    <n v="20.826651000000002"/>
    <n v="22.083385999999997"/>
    <n v="65.958300000000008"/>
    <n v="10.458432"/>
    <x v="1"/>
    <x v="1"/>
    <x v="0"/>
    <s v="May"/>
    <s v="Tuesday"/>
  </r>
  <r>
    <n v="488"/>
    <x v="487"/>
    <n v="2"/>
    <n v="1"/>
    <n v="5"/>
    <n v="0"/>
    <n v="3"/>
    <x v="1"/>
    <x v="1"/>
    <n v="0.56416699999999997"/>
    <n v="0.53789600000000004"/>
    <n v="0.79708299999999999"/>
    <n v="0.13805799999999999"/>
    <n v="667"/>
    <n v="5502"/>
    <n v="6169"/>
    <n v="18.515848999999999"/>
    <n v="19.501136000000002"/>
    <n v="79.708299999999994"/>
    <n v="9.2498859999999983"/>
    <x v="1"/>
    <x v="1"/>
    <x v="1"/>
    <s v="May"/>
    <s v="Wednesday"/>
  </r>
  <r>
    <n v="489"/>
    <x v="488"/>
    <n v="2"/>
    <n v="1"/>
    <n v="5"/>
    <n v="0"/>
    <n v="4"/>
    <x v="1"/>
    <x v="0"/>
    <n v="0.56000000000000005"/>
    <n v="0.537242"/>
    <n v="0.76833300000000004"/>
    <n v="0.13369600000000001"/>
    <n v="764"/>
    <n v="5657"/>
    <n v="6421"/>
    <n v="18.320000000000004"/>
    <n v="19.457971999999998"/>
    <n v="76.833300000000008"/>
    <n v="8.9576320000000003"/>
    <x v="1"/>
    <x v="1"/>
    <x v="0"/>
    <s v="May"/>
    <s v="Thursday"/>
  </r>
  <r>
    <n v="490"/>
    <x v="489"/>
    <n v="2"/>
    <n v="1"/>
    <n v="5"/>
    <n v="0"/>
    <n v="5"/>
    <x v="1"/>
    <x v="1"/>
    <n v="0.62749999999999995"/>
    <n v="0.59091700000000003"/>
    <n v="0.73541699999999999"/>
    <n v="0.162938"/>
    <n v="1069"/>
    <n v="5227"/>
    <n v="6296"/>
    <n v="21.492499999999996"/>
    <n v="23.000522000000004"/>
    <n v="73.541699999999992"/>
    <n v="10.916846"/>
    <x v="1"/>
    <x v="1"/>
    <x v="1"/>
    <s v="May"/>
    <s v="Friday"/>
  </r>
  <r>
    <n v="491"/>
    <x v="490"/>
    <n v="2"/>
    <n v="1"/>
    <n v="5"/>
    <n v="0"/>
    <n v="6"/>
    <x v="0"/>
    <x v="0"/>
    <n v="0.62166699999999997"/>
    <n v="0.58460800000000002"/>
    <n v="0.75666699999999998"/>
    <n v="0.15299199999999999"/>
    <n v="2496"/>
    <n v="4387"/>
    <n v="6883"/>
    <n v="21.218349"/>
    <n v="22.584128"/>
    <n v="75.666699999999992"/>
    <n v="10.250463999999999"/>
    <x v="1"/>
    <x v="1"/>
    <x v="0"/>
    <s v="May"/>
    <s v="Saturday"/>
  </r>
  <r>
    <n v="492"/>
    <x v="491"/>
    <n v="2"/>
    <n v="1"/>
    <n v="5"/>
    <n v="0"/>
    <n v="0"/>
    <x v="0"/>
    <x v="0"/>
    <n v="0.5625"/>
    <n v="0.54673700000000003"/>
    <n v="0.74"/>
    <n v="0.14987900000000001"/>
    <n v="2135"/>
    <n v="4224"/>
    <n v="6359"/>
    <n v="18.4375"/>
    <n v="20.084642000000002"/>
    <n v="74"/>
    <n v="10.041893"/>
    <x v="1"/>
    <x v="1"/>
    <x v="0"/>
    <s v="May"/>
    <s v="Sunday"/>
  </r>
  <r>
    <n v="493"/>
    <x v="492"/>
    <n v="2"/>
    <n v="1"/>
    <n v="5"/>
    <n v="0"/>
    <n v="1"/>
    <x v="1"/>
    <x v="0"/>
    <n v="0.53749999999999998"/>
    <n v="0.527142"/>
    <n v="0.66416699999999995"/>
    <n v="0.23072100000000001"/>
    <n v="1008"/>
    <n v="5265"/>
    <n v="6273"/>
    <n v="17.262499999999999"/>
    <n v="18.791372000000003"/>
    <n v="66.416699999999992"/>
    <n v="15.458307000000001"/>
    <x v="1"/>
    <x v="1"/>
    <x v="0"/>
    <s v="May"/>
    <s v="Monday"/>
  </r>
  <r>
    <n v="494"/>
    <x v="493"/>
    <n v="2"/>
    <n v="1"/>
    <n v="5"/>
    <n v="0"/>
    <n v="2"/>
    <x v="1"/>
    <x v="0"/>
    <n v="0.58166700000000005"/>
    <n v="0.55747100000000005"/>
    <n v="0.68583300000000003"/>
    <n v="0.29602899999999999"/>
    <n v="738"/>
    <n v="4990"/>
    <n v="5728"/>
    <n v="19.338349000000001"/>
    <n v="20.793086000000002"/>
    <n v="68.583300000000008"/>
    <n v="19.833942999999998"/>
    <x v="1"/>
    <x v="1"/>
    <x v="0"/>
    <s v="May"/>
    <s v="Tuesday"/>
  </r>
  <r>
    <n v="495"/>
    <x v="494"/>
    <n v="2"/>
    <n v="1"/>
    <n v="5"/>
    <n v="0"/>
    <n v="3"/>
    <x v="1"/>
    <x v="0"/>
    <n v="0.57499999999999996"/>
    <n v="0.55302499999999999"/>
    <n v="0.74416700000000002"/>
    <n v="0.21641199999999999"/>
    <n v="620"/>
    <n v="4097"/>
    <n v="4717"/>
    <n v="19.024999999999999"/>
    <n v="20.499650000000003"/>
    <n v="74.416700000000006"/>
    <n v="14.499604"/>
    <x v="1"/>
    <x v="1"/>
    <x v="0"/>
    <s v="May"/>
    <s v="Wednesday"/>
  </r>
  <r>
    <n v="496"/>
    <x v="495"/>
    <n v="2"/>
    <n v="1"/>
    <n v="5"/>
    <n v="0"/>
    <n v="4"/>
    <x v="1"/>
    <x v="1"/>
    <n v="0.50583299999999998"/>
    <n v="0.49178300000000003"/>
    <n v="0.55208299999999999"/>
    <n v="0.31406299999999998"/>
    <n v="1026"/>
    <n v="5546"/>
    <n v="6572"/>
    <n v="15.774151"/>
    <n v="16.457678000000001"/>
    <n v="55.208300000000001"/>
    <n v="21.042220999999998"/>
    <x v="1"/>
    <x v="1"/>
    <x v="1"/>
    <s v="May"/>
    <s v="Thursday"/>
  </r>
  <r>
    <n v="497"/>
    <x v="496"/>
    <n v="2"/>
    <n v="1"/>
    <n v="5"/>
    <n v="0"/>
    <n v="5"/>
    <x v="1"/>
    <x v="1"/>
    <n v="0.53333299999999995"/>
    <n v="0.52083299999999999"/>
    <n v="0.36041699999999999"/>
    <n v="0.23693700000000001"/>
    <n v="1319"/>
    <n v="5711"/>
    <n v="7030"/>
    <n v="17.066650999999997"/>
    <n v="18.374977999999999"/>
    <n v="36.041699999999999"/>
    <n v="15.874779"/>
    <x v="1"/>
    <x v="1"/>
    <x v="1"/>
    <s v="May"/>
    <s v="Friday"/>
  </r>
  <r>
    <n v="498"/>
    <x v="497"/>
    <n v="2"/>
    <n v="1"/>
    <n v="5"/>
    <n v="0"/>
    <n v="6"/>
    <x v="0"/>
    <x v="1"/>
    <n v="0.56416699999999997"/>
    <n v="0.544817"/>
    <n v="0.48041699999999998"/>
    <n v="0.12313300000000001"/>
    <n v="2622"/>
    <n v="4807"/>
    <n v="7429"/>
    <n v="18.515848999999999"/>
    <n v="19.957921999999996"/>
    <n v="48.041699999999999"/>
    <n v="8.2499110000000009"/>
    <x v="1"/>
    <x v="1"/>
    <x v="1"/>
    <s v="May"/>
    <s v="Saturday"/>
  </r>
  <r>
    <n v="499"/>
    <x v="498"/>
    <n v="2"/>
    <n v="1"/>
    <n v="5"/>
    <n v="0"/>
    <n v="0"/>
    <x v="0"/>
    <x v="1"/>
    <n v="0.61250000000000004"/>
    <n v="0.58523800000000004"/>
    <n v="0.57625000000000004"/>
    <n v="0.22511700000000001"/>
    <n v="2172"/>
    <n v="3946"/>
    <n v="6118"/>
    <n v="20.787500000000001"/>
    <n v="22.625708000000003"/>
    <n v="57.625000000000007"/>
    <n v="15.082839"/>
    <x v="1"/>
    <x v="1"/>
    <x v="1"/>
    <s v="May"/>
    <s v="Sunday"/>
  </r>
  <r>
    <n v="500"/>
    <x v="499"/>
    <n v="2"/>
    <n v="1"/>
    <n v="5"/>
    <n v="0"/>
    <n v="1"/>
    <x v="1"/>
    <x v="0"/>
    <n v="0.57333299999999998"/>
    <n v="0.54990000000000006"/>
    <n v="0.78958300000000003"/>
    <n v="0.21269199999999999"/>
    <n v="342"/>
    <n v="2501"/>
    <n v="2843"/>
    <n v="18.946650999999999"/>
    <n v="20.293400000000005"/>
    <n v="78.958300000000008"/>
    <n v="14.250363999999999"/>
    <x v="1"/>
    <x v="1"/>
    <x v="0"/>
    <s v="May"/>
    <s v="Monday"/>
  </r>
  <r>
    <n v="501"/>
    <x v="500"/>
    <n v="2"/>
    <n v="1"/>
    <n v="5"/>
    <n v="0"/>
    <n v="2"/>
    <x v="1"/>
    <x v="0"/>
    <n v="0.61166699999999996"/>
    <n v="0.57640400000000003"/>
    <n v="0.79458300000000004"/>
    <n v="0.147392"/>
    <n v="625"/>
    <n v="4490"/>
    <n v="5115"/>
    <n v="20.748348999999997"/>
    <n v="22.042664000000002"/>
    <n v="79.458300000000008"/>
    <n v="9.8752639999999996"/>
    <x v="1"/>
    <x v="1"/>
    <x v="0"/>
    <s v="May"/>
    <s v="Tuesday"/>
  </r>
  <r>
    <n v="502"/>
    <x v="501"/>
    <n v="2"/>
    <n v="1"/>
    <n v="5"/>
    <n v="0"/>
    <n v="3"/>
    <x v="1"/>
    <x v="1"/>
    <n v="0.63666699999999998"/>
    <n v="0.59597500000000003"/>
    <n v="0.69791700000000001"/>
    <n v="0.122512"/>
    <n v="991"/>
    <n v="6433"/>
    <n v="7424"/>
    <n v="21.923348999999998"/>
    <n v="23.334350000000001"/>
    <n v="69.791700000000006"/>
    <n v="8.208304"/>
    <x v="1"/>
    <x v="1"/>
    <x v="1"/>
    <s v="May"/>
    <s v="Wednesday"/>
  </r>
  <r>
    <n v="503"/>
    <x v="502"/>
    <n v="2"/>
    <n v="1"/>
    <n v="5"/>
    <n v="0"/>
    <n v="4"/>
    <x v="1"/>
    <x v="1"/>
    <n v="0.593333"/>
    <n v="0.57261300000000004"/>
    <n v="0.52"/>
    <n v="0.22947500000000001"/>
    <n v="1242"/>
    <n v="6142"/>
    <n v="7384"/>
    <n v="19.886651000000001"/>
    <n v="21.792458000000003"/>
    <n v="52"/>
    <n v="15.374825000000001"/>
    <x v="1"/>
    <x v="1"/>
    <x v="1"/>
    <s v="May"/>
    <s v="Thursday"/>
  </r>
  <r>
    <n v="504"/>
    <x v="503"/>
    <n v="2"/>
    <n v="1"/>
    <n v="5"/>
    <n v="0"/>
    <n v="5"/>
    <x v="1"/>
    <x v="1"/>
    <n v="0.56416699999999997"/>
    <n v="0.55112099999999997"/>
    <n v="0.52333300000000005"/>
    <n v="0.13681699999999999"/>
    <n v="1521"/>
    <n v="6118"/>
    <n v="7639"/>
    <n v="18.515848999999999"/>
    <n v="20.373985999999995"/>
    <n v="52.333300000000008"/>
    <n v="9.1667389999999997"/>
    <x v="1"/>
    <x v="1"/>
    <x v="1"/>
    <s v="May"/>
    <s v="Friday"/>
  </r>
  <r>
    <n v="505"/>
    <x v="504"/>
    <n v="2"/>
    <n v="1"/>
    <n v="5"/>
    <n v="0"/>
    <n v="6"/>
    <x v="0"/>
    <x v="1"/>
    <n v="0.6"/>
    <n v="0.56690799999999997"/>
    <n v="0.45624999999999999"/>
    <n v="8.3974999999999994E-2"/>
    <n v="3410"/>
    <n v="4884"/>
    <n v="8294"/>
    <n v="20.2"/>
    <n v="21.415928000000001"/>
    <n v="45.625"/>
    <n v="5.6263249999999996"/>
    <x v="1"/>
    <x v="1"/>
    <x v="1"/>
    <s v="May"/>
    <s v="Saturday"/>
  </r>
  <r>
    <n v="506"/>
    <x v="505"/>
    <n v="2"/>
    <n v="1"/>
    <n v="5"/>
    <n v="0"/>
    <n v="0"/>
    <x v="0"/>
    <x v="1"/>
    <n v="0.62083299999999997"/>
    <n v="0.58396700000000001"/>
    <n v="0.53041700000000003"/>
    <n v="0.25436700000000001"/>
    <n v="2704"/>
    <n v="4425"/>
    <n v="7129"/>
    <n v="21.179150999999997"/>
    <n v="22.541822000000003"/>
    <n v="53.041700000000006"/>
    <n v="17.042589"/>
    <x v="1"/>
    <x v="1"/>
    <x v="1"/>
    <s v="May"/>
    <s v="Sunday"/>
  </r>
  <r>
    <n v="507"/>
    <x v="506"/>
    <n v="2"/>
    <n v="1"/>
    <n v="5"/>
    <n v="0"/>
    <n v="1"/>
    <x v="1"/>
    <x v="0"/>
    <n v="0.598333"/>
    <n v="0.56566700000000003"/>
    <n v="0.81125000000000003"/>
    <n v="0.23320399999999999"/>
    <n v="630"/>
    <n v="3729"/>
    <n v="4359"/>
    <n v="20.121651"/>
    <n v="21.334022000000004"/>
    <n v="81.125"/>
    <n v="15.624668"/>
    <x v="1"/>
    <x v="1"/>
    <x v="0"/>
    <s v="May"/>
    <s v="Monday"/>
  </r>
  <r>
    <n v="508"/>
    <x v="507"/>
    <n v="2"/>
    <n v="1"/>
    <n v="5"/>
    <n v="0"/>
    <n v="2"/>
    <x v="1"/>
    <x v="0"/>
    <n v="0.61499999999999999"/>
    <n v="0.58082500000000004"/>
    <n v="0.76583299999999999"/>
    <n v="0.11816699999999999"/>
    <n v="819"/>
    <n v="5254"/>
    <n v="6073"/>
    <n v="20.905000000000001"/>
    <n v="22.334450000000004"/>
    <n v="76.583299999999994"/>
    <n v="7.9171889999999996"/>
    <x v="1"/>
    <x v="1"/>
    <x v="0"/>
    <s v="May"/>
    <s v="Tuesday"/>
  </r>
  <r>
    <n v="509"/>
    <x v="508"/>
    <n v="2"/>
    <n v="1"/>
    <n v="5"/>
    <n v="0"/>
    <n v="3"/>
    <x v="1"/>
    <x v="0"/>
    <n v="0.62166699999999997"/>
    <n v="0.58461200000000002"/>
    <n v="0.77458300000000002"/>
    <n v="0.10199999999999999"/>
    <n v="766"/>
    <n v="4494"/>
    <n v="5260"/>
    <n v="21.218349"/>
    <n v="22.584392000000001"/>
    <n v="77.458300000000008"/>
    <n v="6.8339999999999996"/>
    <x v="1"/>
    <x v="1"/>
    <x v="0"/>
    <s v="May"/>
    <s v="Wednesday"/>
  </r>
  <r>
    <n v="510"/>
    <x v="509"/>
    <n v="2"/>
    <n v="1"/>
    <n v="5"/>
    <n v="0"/>
    <n v="4"/>
    <x v="1"/>
    <x v="1"/>
    <n v="0.65500000000000003"/>
    <n v="0.60670000000000002"/>
    <n v="0.71666700000000005"/>
    <n v="0.17289599999999999"/>
    <n v="1059"/>
    <n v="5711"/>
    <n v="6770"/>
    <n v="22.785"/>
    <n v="24.042200000000001"/>
    <n v="71.666700000000006"/>
    <n v="11.584031999999999"/>
    <x v="1"/>
    <x v="1"/>
    <x v="1"/>
    <s v="May"/>
    <s v="Thursday"/>
  </r>
  <r>
    <n v="511"/>
    <x v="510"/>
    <n v="2"/>
    <n v="1"/>
    <n v="5"/>
    <n v="0"/>
    <n v="5"/>
    <x v="1"/>
    <x v="1"/>
    <n v="0.68"/>
    <n v="0.627529"/>
    <n v="0.74708300000000005"/>
    <n v="0.14055000000000001"/>
    <n v="1417"/>
    <n v="5317"/>
    <n v="6734"/>
    <n v="23.96"/>
    <n v="25.416913999999998"/>
    <n v="74.708300000000008"/>
    <n v="9.4168500000000002"/>
    <x v="1"/>
    <x v="1"/>
    <x v="1"/>
    <s v="May"/>
    <s v="Friday"/>
  </r>
  <r>
    <n v="512"/>
    <x v="511"/>
    <n v="2"/>
    <n v="1"/>
    <n v="5"/>
    <n v="0"/>
    <n v="6"/>
    <x v="0"/>
    <x v="1"/>
    <n v="0.6925"/>
    <n v="0.64269600000000005"/>
    <n v="0.73250000000000004"/>
    <n v="0.198992"/>
    <n v="2855"/>
    <n v="3681"/>
    <n v="6536"/>
    <n v="24.547499999999999"/>
    <n v="26.417936000000005"/>
    <n v="73.25"/>
    <n v="13.332464"/>
    <x v="1"/>
    <x v="1"/>
    <x v="1"/>
    <s v="May"/>
    <s v="Saturday"/>
  </r>
  <r>
    <n v="513"/>
    <x v="512"/>
    <n v="2"/>
    <n v="1"/>
    <n v="5"/>
    <n v="0"/>
    <n v="0"/>
    <x v="0"/>
    <x v="1"/>
    <n v="0.69"/>
    <n v="0.64142500000000002"/>
    <n v="0.69708300000000001"/>
    <n v="0.215171"/>
    <n v="3283"/>
    <n v="3308"/>
    <n v="6591"/>
    <n v="24.43"/>
    <n v="26.334050000000005"/>
    <n v="69.708299999999994"/>
    <n v="14.416456999999999"/>
    <x v="1"/>
    <x v="1"/>
    <x v="1"/>
    <s v="May"/>
    <s v="Sunday"/>
  </r>
  <r>
    <n v="514"/>
    <x v="513"/>
    <n v="2"/>
    <n v="1"/>
    <n v="5"/>
    <n v="1"/>
    <n v="1"/>
    <x v="0"/>
    <x v="1"/>
    <n v="0.71250000000000002"/>
    <n v="0.67930000000000001"/>
    <n v="0.67625000000000002"/>
    <n v="0.196521"/>
    <n v="2557"/>
    <n v="3486"/>
    <n v="6043"/>
    <n v="25.487500000000004"/>
    <n v="28.833800000000004"/>
    <n v="67.625"/>
    <n v="13.166907"/>
    <x v="1"/>
    <x v="1"/>
    <x v="1"/>
    <s v="May"/>
    <s v="Monday"/>
  </r>
  <r>
    <n v="515"/>
    <x v="514"/>
    <n v="2"/>
    <n v="1"/>
    <n v="5"/>
    <n v="0"/>
    <n v="2"/>
    <x v="1"/>
    <x v="1"/>
    <n v="0.72250000000000003"/>
    <n v="0.67299200000000003"/>
    <n v="0.68458300000000005"/>
    <n v="0.2954"/>
    <n v="880"/>
    <n v="4863"/>
    <n v="5743"/>
    <n v="25.957500000000003"/>
    <n v="28.417472000000004"/>
    <n v="68.458300000000008"/>
    <n v="19.791799999999999"/>
    <x v="1"/>
    <x v="1"/>
    <x v="1"/>
    <s v="May"/>
    <s v="Tuesday"/>
  </r>
  <r>
    <n v="516"/>
    <x v="515"/>
    <n v="2"/>
    <n v="1"/>
    <n v="5"/>
    <n v="0"/>
    <n v="3"/>
    <x v="1"/>
    <x v="0"/>
    <n v="0.656667"/>
    <n v="0.61112900000000003"/>
    <n v="0.67"/>
    <n v="0.134329"/>
    <n v="745"/>
    <n v="6110"/>
    <n v="6855"/>
    <n v="22.863348999999999"/>
    <n v="24.334513999999999"/>
    <n v="67"/>
    <n v="9.0000429999999998"/>
    <x v="1"/>
    <x v="1"/>
    <x v="0"/>
    <s v="May"/>
    <s v="Wednesday"/>
  </r>
  <r>
    <n v="517"/>
    <x v="516"/>
    <n v="2"/>
    <n v="1"/>
    <n v="5"/>
    <n v="0"/>
    <n v="4"/>
    <x v="1"/>
    <x v="1"/>
    <n v="0.68"/>
    <n v="0.63132900000000003"/>
    <n v="0.49291699999999999"/>
    <n v="0.19527900000000001"/>
    <n v="1100"/>
    <n v="6238"/>
    <n v="7338"/>
    <n v="23.96"/>
    <n v="25.667714000000004"/>
    <n v="49.291699999999999"/>
    <n v="13.083693"/>
    <x v="1"/>
    <x v="1"/>
    <x v="1"/>
    <s v="May"/>
    <s v="Thursday"/>
  </r>
  <r>
    <n v="518"/>
    <x v="517"/>
    <n v="2"/>
    <n v="1"/>
    <n v="6"/>
    <n v="0"/>
    <n v="5"/>
    <x v="1"/>
    <x v="0"/>
    <n v="0.65416700000000005"/>
    <n v="0.607962"/>
    <n v="0.75541700000000001"/>
    <n v="0.237563"/>
    <n v="533"/>
    <n v="3594"/>
    <n v="4127"/>
    <n v="22.745849000000003"/>
    <n v="24.125492000000001"/>
    <n v="75.541700000000006"/>
    <n v="15.916720999999999"/>
    <x v="1"/>
    <x v="1"/>
    <x v="0"/>
    <s v="June"/>
    <s v="Friday"/>
  </r>
  <r>
    <n v="519"/>
    <x v="518"/>
    <n v="2"/>
    <n v="1"/>
    <n v="6"/>
    <n v="0"/>
    <n v="6"/>
    <x v="0"/>
    <x v="1"/>
    <n v="0.58333299999999999"/>
    <n v="0.56628800000000001"/>
    <n v="0.54916699999999996"/>
    <n v="0.18656200000000001"/>
    <n v="2795"/>
    <n v="5325"/>
    <n v="8120"/>
    <n v="19.416650999999998"/>
    <n v="21.375008000000001"/>
    <n v="54.916699999999999"/>
    <n v="12.499654"/>
    <x v="1"/>
    <x v="1"/>
    <x v="1"/>
    <s v="June"/>
    <s v="Saturday"/>
  </r>
  <r>
    <n v="520"/>
    <x v="519"/>
    <n v="2"/>
    <n v="1"/>
    <n v="6"/>
    <n v="0"/>
    <n v="0"/>
    <x v="0"/>
    <x v="1"/>
    <n v="0.60250000000000004"/>
    <n v="0.57513300000000001"/>
    <n v="0.49333300000000002"/>
    <n v="0.184087"/>
    <n v="2494"/>
    <n v="5147"/>
    <n v="7641"/>
    <n v="20.317500000000003"/>
    <n v="21.958778000000002"/>
    <n v="49.333300000000001"/>
    <n v="12.333829"/>
    <x v="1"/>
    <x v="1"/>
    <x v="1"/>
    <s v="June"/>
    <s v="Sunday"/>
  </r>
  <r>
    <n v="521"/>
    <x v="520"/>
    <n v="2"/>
    <n v="1"/>
    <n v="6"/>
    <n v="0"/>
    <n v="1"/>
    <x v="1"/>
    <x v="1"/>
    <n v="0.59750000000000003"/>
    <n v="0.57828299999999999"/>
    <n v="0.48708299999999999"/>
    <n v="0.284833"/>
    <n v="1071"/>
    <n v="5927"/>
    <n v="6998"/>
    <n v="20.082500000000003"/>
    <n v="22.166677999999997"/>
    <n v="48.708300000000001"/>
    <n v="19.083811000000001"/>
    <x v="1"/>
    <x v="1"/>
    <x v="1"/>
    <s v="June"/>
    <s v="Monday"/>
  </r>
  <r>
    <n v="522"/>
    <x v="521"/>
    <n v="2"/>
    <n v="1"/>
    <n v="6"/>
    <n v="0"/>
    <n v="2"/>
    <x v="1"/>
    <x v="0"/>
    <n v="0.54083300000000001"/>
    <n v="0.52589200000000003"/>
    <n v="0.61333300000000002"/>
    <n v="0.20957500000000001"/>
    <n v="968"/>
    <n v="6033"/>
    <n v="7001"/>
    <n v="17.419150999999999"/>
    <n v="18.708872"/>
    <n v="61.333300000000001"/>
    <n v="14.041525"/>
    <x v="1"/>
    <x v="1"/>
    <x v="0"/>
    <s v="June"/>
    <s v="Tuesday"/>
  </r>
  <r>
    <n v="523"/>
    <x v="522"/>
    <n v="2"/>
    <n v="1"/>
    <n v="6"/>
    <n v="0"/>
    <n v="3"/>
    <x v="1"/>
    <x v="1"/>
    <n v="0.55416699999999997"/>
    <n v="0.542292"/>
    <n v="0.61124999999999996"/>
    <n v="7.7124999999999999E-2"/>
    <n v="1027"/>
    <n v="6028"/>
    <n v="7055"/>
    <n v="18.045848999999997"/>
    <n v="19.791271999999999"/>
    <n v="61.124999999999993"/>
    <n v="5.1673749999999998"/>
    <x v="1"/>
    <x v="1"/>
    <x v="1"/>
    <s v="June"/>
    <s v="Wednesday"/>
  </r>
  <r>
    <n v="524"/>
    <x v="523"/>
    <n v="2"/>
    <n v="1"/>
    <n v="6"/>
    <n v="0"/>
    <n v="4"/>
    <x v="1"/>
    <x v="1"/>
    <n v="0.60250000000000004"/>
    <n v="0.569442"/>
    <n v="0.567083"/>
    <n v="0.15734999999999999"/>
    <n v="1038"/>
    <n v="6456"/>
    <n v="7494"/>
    <n v="20.317500000000003"/>
    <n v="21.583171999999998"/>
    <n v="56.708300000000001"/>
    <n v="10.542449999999999"/>
    <x v="1"/>
    <x v="1"/>
    <x v="1"/>
    <s v="June"/>
    <s v="Thursday"/>
  </r>
  <r>
    <n v="525"/>
    <x v="524"/>
    <n v="2"/>
    <n v="1"/>
    <n v="6"/>
    <n v="0"/>
    <n v="5"/>
    <x v="1"/>
    <x v="1"/>
    <n v="0.64916700000000005"/>
    <n v="0.597862"/>
    <n v="0.46791700000000003"/>
    <n v="0.17538300000000001"/>
    <n v="1488"/>
    <n v="6248"/>
    <n v="7736"/>
    <n v="22.510849000000004"/>
    <n v="23.458891999999999"/>
    <n v="46.791700000000006"/>
    <n v="11.750661000000001"/>
    <x v="1"/>
    <x v="1"/>
    <x v="1"/>
    <s v="June"/>
    <s v="Friday"/>
  </r>
  <r>
    <n v="526"/>
    <x v="525"/>
    <n v="2"/>
    <n v="1"/>
    <n v="6"/>
    <n v="0"/>
    <n v="6"/>
    <x v="0"/>
    <x v="1"/>
    <n v="0.71083300000000005"/>
    <n v="0.64836700000000003"/>
    <n v="0.437083"/>
    <n v="0.144287"/>
    <n v="2708"/>
    <n v="4790"/>
    <n v="7498"/>
    <n v="25.409151000000001"/>
    <n v="26.792222000000002"/>
    <n v="43.708300000000001"/>
    <n v="9.6672290000000007"/>
    <x v="1"/>
    <x v="1"/>
    <x v="1"/>
    <s v="June"/>
    <s v="Saturday"/>
  </r>
  <r>
    <n v="527"/>
    <x v="526"/>
    <n v="2"/>
    <n v="1"/>
    <n v="6"/>
    <n v="0"/>
    <n v="0"/>
    <x v="0"/>
    <x v="1"/>
    <n v="0.72666699999999995"/>
    <n v="0.66351700000000002"/>
    <n v="0.53833299999999995"/>
    <n v="0.13372100000000001"/>
    <n v="2224"/>
    <n v="4374"/>
    <n v="6598"/>
    <n v="26.153348999999999"/>
    <n v="27.792121999999999"/>
    <n v="53.833299999999994"/>
    <n v="8.9593070000000008"/>
    <x v="1"/>
    <x v="1"/>
    <x v="1"/>
    <s v="June"/>
    <s v="Sunday"/>
  </r>
  <r>
    <n v="528"/>
    <x v="527"/>
    <n v="2"/>
    <n v="1"/>
    <n v="6"/>
    <n v="0"/>
    <n v="1"/>
    <x v="1"/>
    <x v="0"/>
    <n v="0.72083299999999995"/>
    <n v="0.659721"/>
    <n v="0.58791700000000002"/>
    <n v="0.20771300000000001"/>
    <n v="1017"/>
    <n v="5647"/>
    <n v="6664"/>
    <n v="25.879151"/>
    <n v="27.541586000000002"/>
    <n v="58.791700000000006"/>
    <n v="13.916771000000001"/>
    <x v="1"/>
    <x v="1"/>
    <x v="0"/>
    <s v="June"/>
    <s v="Monday"/>
  </r>
  <r>
    <n v="529"/>
    <x v="528"/>
    <n v="2"/>
    <n v="1"/>
    <n v="6"/>
    <n v="0"/>
    <n v="2"/>
    <x v="1"/>
    <x v="0"/>
    <n v="0.65333300000000005"/>
    <n v="0.59787500000000005"/>
    <n v="0.83333299999999999"/>
    <n v="0.21454599999999999"/>
    <n v="477"/>
    <n v="4495"/>
    <n v="4972"/>
    <n v="22.706651000000001"/>
    <n v="23.45975"/>
    <n v="83.333299999999994"/>
    <n v="14.374581999999998"/>
    <x v="1"/>
    <x v="1"/>
    <x v="0"/>
    <s v="June"/>
    <s v="Tuesday"/>
  </r>
  <r>
    <n v="530"/>
    <x v="529"/>
    <n v="2"/>
    <n v="1"/>
    <n v="6"/>
    <n v="0"/>
    <n v="3"/>
    <x v="1"/>
    <x v="1"/>
    <n v="0.655833"/>
    <n v="0.61111700000000002"/>
    <n v="0.58208300000000002"/>
    <n v="0.343279"/>
    <n v="1173"/>
    <n v="6248"/>
    <n v="7421"/>
    <n v="22.824151000000001"/>
    <n v="24.333722000000002"/>
    <n v="58.208300000000001"/>
    <n v="22.999693000000001"/>
    <x v="1"/>
    <x v="1"/>
    <x v="1"/>
    <s v="June"/>
    <s v="Wednesday"/>
  </r>
  <r>
    <n v="531"/>
    <x v="530"/>
    <n v="2"/>
    <n v="1"/>
    <n v="6"/>
    <n v="0"/>
    <n v="4"/>
    <x v="1"/>
    <x v="1"/>
    <n v="0.64833300000000005"/>
    <n v="0.62438300000000002"/>
    <n v="0.56958299999999995"/>
    <n v="0.25373299999999999"/>
    <n v="1180"/>
    <n v="6183"/>
    <n v="7363"/>
    <n v="22.471651000000001"/>
    <n v="25.209278000000005"/>
    <n v="56.958299999999994"/>
    <n v="17.000111"/>
    <x v="1"/>
    <x v="1"/>
    <x v="1"/>
    <s v="June"/>
    <s v="Thursday"/>
  </r>
  <r>
    <n v="532"/>
    <x v="531"/>
    <n v="2"/>
    <n v="1"/>
    <n v="6"/>
    <n v="0"/>
    <n v="5"/>
    <x v="1"/>
    <x v="1"/>
    <n v="0.63916700000000004"/>
    <n v="0.59975400000000001"/>
    <n v="0.58958299999999997"/>
    <n v="0.176617"/>
    <n v="1563"/>
    <n v="6102"/>
    <n v="7665"/>
    <n v="22.040849000000001"/>
    <n v="23.583764000000002"/>
    <n v="58.958299999999994"/>
    <n v="11.833339"/>
    <x v="1"/>
    <x v="1"/>
    <x v="1"/>
    <s v="June"/>
    <s v="Friday"/>
  </r>
  <r>
    <n v="533"/>
    <x v="532"/>
    <n v="2"/>
    <n v="1"/>
    <n v="6"/>
    <n v="0"/>
    <n v="6"/>
    <x v="0"/>
    <x v="1"/>
    <n v="0.63166699999999998"/>
    <n v="0.59470800000000001"/>
    <n v="0.50416700000000003"/>
    <n v="0.16666700000000001"/>
    <n v="2963"/>
    <n v="4739"/>
    <n v="7702"/>
    <n v="21.688348999999999"/>
    <n v="23.250728000000002"/>
    <n v="50.416700000000006"/>
    <n v="11.166689"/>
    <x v="1"/>
    <x v="1"/>
    <x v="1"/>
    <s v="June"/>
    <s v="Saturday"/>
  </r>
  <r>
    <n v="534"/>
    <x v="533"/>
    <n v="2"/>
    <n v="1"/>
    <n v="6"/>
    <n v="0"/>
    <n v="0"/>
    <x v="0"/>
    <x v="1"/>
    <n v="0.59250000000000003"/>
    <n v="0.57197500000000001"/>
    <n v="0.59875"/>
    <n v="0.14490400000000001"/>
    <n v="2634"/>
    <n v="4344"/>
    <n v="6978"/>
    <n v="19.8475"/>
    <n v="21.750349999999997"/>
    <n v="59.875"/>
    <n v="9.7085679999999996"/>
    <x v="1"/>
    <x v="1"/>
    <x v="1"/>
    <s v="June"/>
    <s v="Sunday"/>
  </r>
  <r>
    <n v="535"/>
    <x v="534"/>
    <n v="2"/>
    <n v="1"/>
    <n v="6"/>
    <n v="0"/>
    <n v="1"/>
    <x v="1"/>
    <x v="0"/>
    <n v="0.56833299999999998"/>
    <n v="0.54484200000000005"/>
    <n v="0.77791699999999997"/>
    <n v="0.17474600000000001"/>
    <n v="653"/>
    <n v="4446"/>
    <n v="5099"/>
    <n v="18.711651"/>
    <n v="19.959572000000001"/>
    <n v="77.791699999999992"/>
    <n v="11.707982000000001"/>
    <x v="1"/>
    <x v="1"/>
    <x v="0"/>
    <s v="June"/>
    <s v="Monday"/>
  </r>
  <r>
    <n v="536"/>
    <x v="535"/>
    <n v="2"/>
    <n v="1"/>
    <n v="6"/>
    <n v="0"/>
    <n v="2"/>
    <x v="1"/>
    <x v="1"/>
    <n v="0.68833299999999997"/>
    <n v="0.65469200000000005"/>
    <n v="0.69"/>
    <n v="0.14801700000000001"/>
    <n v="968"/>
    <n v="5857"/>
    <n v="6825"/>
    <n v="24.351650999999997"/>
    <n v="27.209672000000005"/>
    <n v="69"/>
    <n v="9.9171390000000006"/>
    <x v="1"/>
    <x v="1"/>
    <x v="1"/>
    <s v="June"/>
    <s v="Tuesday"/>
  </r>
  <r>
    <n v="537"/>
    <x v="536"/>
    <n v="2"/>
    <n v="1"/>
    <n v="6"/>
    <n v="0"/>
    <n v="3"/>
    <x v="1"/>
    <x v="1"/>
    <n v="0.78249999999999997"/>
    <n v="0.72097500000000003"/>
    <n v="0.59208300000000003"/>
    <n v="0.113812"/>
    <n v="872"/>
    <n v="5339"/>
    <n v="6211"/>
    <n v="28.777499999999996"/>
    <n v="31.584350000000001"/>
    <n v="59.208300000000001"/>
    <n v="7.6254039999999996"/>
    <x v="1"/>
    <x v="1"/>
    <x v="1"/>
    <s v="June"/>
    <s v="Wednesday"/>
  </r>
  <r>
    <n v="538"/>
    <x v="537"/>
    <n v="3"/>
    <n v="1"/>
    <n v="6"/>
    <n v="0"/>
    <n v="4"/>
    <x v="1"/>
    <x v="1"/>
    <n v="0.80583300000000002"/>
    <n v="0.75254200000000004"/>
    <n v="0.56791700000000001"/>
    <n v="0.118787"/>
    <n v="778"/>
    <n v="5127"/>
    <n v="5905"/>
    <n v="29.874150999999998"/>
    <n v="33.667771999999999"/>
    <n v="56.791699999999999"/>
    <n v="7.9587289999999999"/>
    <x v="2"/>
    <x v="1"/>
    <x v="1"/>
    <s v="June"/>
    <s v="Thursday"/>
  </r>
  <r>
    <n v="539"/>
    <x v="538"/>
    <n v="3"/>
    <n v="1"/>
    <n v="6"/>
    <n v="0"/>
    <n v="5"/>
    <x v="1"/>
    <x v="1"/>
    <n v="0.77749999999999997"/>
    <n v="0.72412100000000001"/>
    <n v="0.57374999999999998"/>
    <n v="0.182842"/>
    <n v="964"/>
    <n v="4859"/>
    <n v="5823"/>
    <n v="28.542499999999997"/>
    <n v="31.791986000000001"/>
    <n v="57.375"/>
    <n v="12.250414000000001"/>
    <x v="2"/>
    <x v="1"/>
    <x v="1"/>
    <s v="June"/>
    <s v="Friday"/>
  </r>
  <r>
    <n v="540"/>
    <x v="539"/>
    <n v="3"/>
    <n v="1"/>
    <n v="6"/>
    <n v="0"/>
    <n v="6"/>
    <x v="0"/>
    <x v="1"/>
    <n v="0.73166699999999996"/>
    <n v="0.65279200000000004"/>
    <n v="0.53458300000000003"/>
    <n v="0.17972099999999999"/>
    <n v="2657"/>
    <n v="4801"/>
    <n v="7458"/>
    <n v="26.388348999999998"/>
    <n v="27.084272000000006"/>
    <n v="53.458300000000001"/>
    <n v="12.041307"/>
    <x v="2"/>
    <x v="1"/>
    <x v="1"/>
    <s v="June"/>
    <s v="Saturday"/>
  </r>
  <r>
    <n v="541"/>
    <x v="540"/>
    <n v="3"/>
    <n v="1"/>
    <n v="6"/>
    <n v="0"/>
    <n v="0"/>
    <x v="0"/>
    <x v="1"/>
    <n v="0.74333300000000002"/>
    <n v="0.67425400000000002"/>
    <n v="0.47916700000000001"/>
    <n v="0.14552499999999999"/>
    <n v="2551"/>
    <n v="4340"/>
    <n v="6891"/>
    <n v="26.936650999999998"/>
    <n v="28.500764000000004"/>
    <n v="47.916699999999999"/>
    <n v="9.7501749999999987"/>
    <x v="2"/>
    <x v="1"/>
    <x v="1"/>
    <s v="June"/>
    <s v="Sunday"/>
  </r>
  <r>
    <n v="542"/>
    <x v="541"/>
    <n v="3"/>
    <n v="1"/>
    <n v="6"/>
    <n v="0"/>
    <n v="1"/>
    <x v="1"/>
    <x v="1"/>
    <n v="0.71583300000000005"/>
    <n v="0.65404200000000001"/>
    <n v="0.50416700000000003"/>
    <n v="0.30038300000000001"/>
    <n v="1139"/>
    <n v="5640"/>
    <n v="6779"/>
    <n v="25.644151000000001"/>
    <n v="27.166772000000002"/>
    <n v="50.416700000000006"/>
    <n v="20.125661000000001"/>
    <x v="2"/>
    <x v="1"/>
    <x v="1"/>
    <s v="June"/>
    <s v="Monday"/>
  </r>
  <r>
    <n v="543"/>
    <x v="542"/>
    <n v="3"/>
    <n v="1"/>
    <n v="6"/>
    <n v="0"/>
    <n v="2"/>
    <x v="1"/>
    <x v="1"/>
    <n v="0.63083299999999998"/>
    <n v="0.59470400000000001"/>
    <n v="0.37333300000000003"/>
    <n v="0.34764200000000001"/>
    <n v="1077"/>
    <n v="6365"/>
    <n v="7442"/>
    <n v="21.649151"/>
    <n v="23.250464000000001"/>
    <n v="37.333300000000001"/>
    <n v="23.292014000000002"/>
    <x v="2"/>
    <x v="1"/>
    <x v="1"/>
    <s v="June"/>
    <s v="Tuesday"/>
  </r>
  <r>
    <n v="544"/>
    <x v="543"/>
    <n v="3"/>
    <n v="1"/>
    <n v="6"/>
    <n v="0"/>
    <n v="3"/>
    <x v="1"/>
    <x v="1"/>
    <n v="0.69750000000000001"/>
    <n v="0.64079200000000003"/>
    <n v="0.36"/>
    <n v="0.27177499999999999"/>
    <n v="1077"/>
    <n v="6258"/>
    <n v="7335"/>
    <n v="24.782499999999999"/>
    <n v="26.292272000000004"/>
    <n v="36"/>
    <n v="18.208925000000001"/>
    <x v="2"/>
    <x v="1"/>
    <x v="1"/>
    <s v="June"/>
    <s v="Wednesday"/>
  </r>
  <r>
    <n v="545"/>
    <x v="544"/>
    <n v="3"/>
    <n v="1"/>
    <n v="6"/>
    <n v="0"/>
    <n v="4"/>
    <x v="1"/>
    <x v="1"/>
    <n v="0.74916700000000003"/>
    <n v="0.675512"/>
    <n v="0.42249999999999999"/>
    <n v="0.17165"/>
    <n v="921"/>
    <n v="5958"/>
    <n v="6879"/>
    <n v="27.210849000000003"/>
    <n v="28.583792000000003"/>
    <n v="42.25"/>
    <n v="11.50055"/>
    <x v="2"/>
    <x v="1"/>
    <x v="1"/>
    <s v="June"/>
    <s v="Thursday"/>
  </r>
  <r>
    <n v="546"/>
    <x v="545"/>
    <n v="3"/>
    <n v="1"/>
    <n v="6"/>
    <n v="0"/>
    <n v="5"/>
    <x v="1"/>
    <x v="1"/>
    <n v="0.83416699999999999"/>
    <n v="0.78661300000000001"/>
    <n v="0.48875000000000002"/>
    <n v="0.16541700000000001"/>
    <n v="829"/>
    <n v="4634"/>
    <n v="5463"/>
    <n v="31.205849000000001"/>
    <n v="35.916457999999999"/>
    <n v="48.875"/>
    <n v="11.082939000000001"/>
    <x v="2"/>
    <x v="1"/>
    <x v="1"/>
    <s v="June"/>
    <s v="Friday"/>
  </r>
  <r>
    <n v="547"/>
    <x v="546"/>
    <n v="3"/>
    <n v="1"/>
    <n v="6"/>
    <n v="0"/>
    <n v="6"/>
    <x v="0"/>
    <x v="1"/>
    <n v="0.76500000000000001"/>
    <n v="0.68750800000000001"/>
    <n v="0.60124999999999995"/>
    <n v="0.16107099999999999"/>
    <n v="1455"/>
    <n v="4232"/>
    <n v="5687"/>
    <n v="27.954999999999998"/>
    <n v="29.375528000000003"/>
    <n v="60.124999999999993"/>
    <n v="10.791756999999999"/>
    <x v="2"/>
    <x v="1"/>
    <x v="1"/>
    <s v="June"/>
    <s v="Saturday"/>
  </r>
  <r>
    <n v="548"/>
    <x v="547"/>
    <n v="3"/>
    <n v="1"/>
    <n v="7"/>
    <n v="0"/>
    <n v="0"/>
    <x v="0"/>
    <x v="1"/>
    <n v="0.81583300000000003"/>
    <n v="0.75062899999999999"/>
    <n v="0.51875000000000004"/>
    <n v="0.16852900000000001"/>
    <n v="1421"/>
    <n v="4110"/>
    <n v="5531"/>
    <n v="30.344151000000004"/>
    <n v="33.541513999999999"/>
    <n v="51.875000000000007"/>
    <n v="11.291443000000001"/>
    <x v="2"/>
    <x v="1"/>
    <x v="1"/>
    <s v="July"/>
    <s v="Sunday"/>
  </r>
  <r>
    <n v="549"/>
    <x v="548"/>
    <n v="3"/>
    <n v="1"/>
    <n v="7"/>
    <n v="0"/>
    <n v="1"/>
    <x v="1"/>
    <x v="1"/>
    <n v="0.781667"/>
    <n v="0.70203800000000005"/>
    <n v="0.44708300000000001"/>
    <n v="0.195267"/>
    <n v="904"/>
    <n v="5323"/>
    <n v="6227"/>
    <n v="28.738348999999999"/>
    <n v="30.334508000000007"/>
    <n v="44.708300000000001"/>
    <n v="13.082889"/>
    <x v="2"/>
    <x v="1"/>
    <x v="1"/>
    <s v="July"/>
    <s v="Monday"/>
  </r>
  <r>
    <n v="550"/>
    <x v="549"/>
    <n v="3"/>
    <n v="1"/>
    <n v="7"/>
    <n v="0"/>
    <n v="2"/>
    <x v="1"/>
    <x v="1"/>
    <n v="0.780833"/>
    <n v="0.70265"/>
    <n v="0.49208299999999999"/>
    <n v="0.12623699999999999"/>
    <n v="1052"/>
    <n v="5608"/>
    <n v="6660"/>
    <n v="28.699151000000001"/>
    <n v="30.374899999999997"/>
    <n v="49.208300000000001"/>
    <n v="8.4578789999999984"/>
    <x v="2"/>
    <x v="1"/>
    <x v="1"/>
    <s v="July"/>
    <s v="Tuesday"/>
  </r>
  <r>
    <n v="551"/>
    <x v="550"/>
    <n v="3"/>
    <n v="1"/>
    <n v="7"/>
    <n v="1"/>
    <n v="3"/>
    <x v="0"/>
    <x v="1"/>
    <n v="0.78916699999999995"/>
    <n v="0.73233700000000002"/>
    <n v="0.53874999999999995"/>
    <n v="0.13494999999999999"/>
    <n v="2562"/>
    <n v="4841"/>
    <n v="7403"/>
    <n v="29.090848999999999"/>
    <n v="32.334242000000003"/>
    <n v="53.874999999999993"/>
    <n v="9.0416499999999989"/>
    <x v="2"/>
    <x v="1"/>
    <x v="1"/>
    <s v="July"/>
    <s v="Wednesday"/>
  </r>
  <r>
    <n v="552"/>
    <x v="551"/>
    <n v="3"/>
    <n v="1"/>
    <n v="7"/>
    <n v="0"/>
    <n v="4"/>
    <x v="1"/>
    <x v="1"/>
    <n v="0.82750000000000001"/>
    <n v="0.76136700000000002"/>
    <n v="0.45791700000000002"/>
    <n v="0.19402900000000001"/>
    <n v="1405"/>
    <n v="4836"/>
    <n v="6241"/>
    <n v="30.892499999999998"/>
    <n v="34.250222000000001"/>
    <n v="45.791699999999999"/>
    <n v="12.999943"/>
    <x v="2"/>
    <x v="1"/>
    <x v="1"/>
    <s v="July"/>
    <s v="Thursday"/>
  </r>
  <r>
    <n v="553"/>
    <x v="552"/>
    <n v="3"/>
    <n v="1"/>
    <n v="7"/>
    <n v="0"/>
    <n v="5"/>
    <x v="1"/>
    <x v="1"/>
    <n v="0.82833299999999999"/>
    <n v="0.75253300000000001"/>
    <n v="0.45083299999999998"/>
    <n v="0.14614199999999999"/>
    <n v="1366"/>
    <n v="4841"/>
    <n v="6207"/>
    <n v="30.931651000000002"/>
    <n v="33.667178"/>
    <n v="45.083300000000001"/>
    <n v="9.7915139999999994"/>
    <x v="2"/>
    <x v="1"/>
    <x v="1"/>
    <s v="July"/>
    <s v="Friday"/>
  </r>
  <r>
    <n v="554"/>
    <x v="553"/>
    <n v="3"/>
    <n v="1"/>
    <n v="7"/>
    <n v="0"/>
    <n v="6"/>
    <x v="0"/>
    <x v="1"/>
    <n v="0.86166699999999996"/>
    <n v="0.80491299999999999"/>
    <n v="0.49208299999999999"/>
    <n v="0.163554"/>
    <n v="1448"/>
    <n v="3392"/>
    <n v="4840"/>
    <n v="32.498348999999997"/>
    <n v="37.124257999999998"/>
    <n v="49.208300000000001"/>
    <n v="10.958118000000001"/>
    <x v="2"/>
    <x v="1"/>
    <x v="1"/>
    <s v="July"/>
    <s v="Saturday"/>
  </r>
  <r>
    <n v="555"/>
    <x v="554"/>
    <n v="3"/>
    <n v="1"/>
    <n v="7"/>
    <n v="0"/>
    <n v="0"/>
    <x v="0"/>
    <x v="1"/>
    <n v="0.82250000000000001"/>
    <n v="0.79039599999999999"/>
    <n v="0.57374999999999998"/>
    <n v="0.12562899999999999"/>
    <n v="1203"/>
    <n v="3469"/>
    <n v="4672"/>
    <n v="30.657499999999999"/>
    <n v="36.166136000000002"/>
    <n v="57.375"/>
    <n v="8.4171429999999994"/>
    <x v="2"/>
    <x v="1"/>
    <x v="1"/>
    <s v="July"/>
    <s v="Sunday"/>
  </r>
  <r>
    <n v="556"/>
    <x v="555"/>
    <n v="3"/>
    <n v="1"/>
    <n v="7"/>
    <n v="0"/>
    <n v="1"/>
    <x v="1"/>
    <x v="0"/>
    <n v="0.71083300000000005"/>
    <n v="0.65405400000000002"/>
    <n v="0.68333299999999997"/>
    <n v="0.180975"/>
    <n v="998"/>
    <n v="5571"/>
    <n v="6569"/>
    <n v="25.409151000000001"/>
    <n v="27.167563999999999"/>
    <n v="68.333299999999994"/>
    <n v="12.125325"/>
    <x v="2"/>
    <x v="1"/>
    <x v="0"/>
    <s v="July"/>
    <s v="Monday"/>
  </r>
  <r>
    <n v="557"/>
    <x v="556"/>
    <n v="3"/>
    <n v="1"/>
    <n v="7"/>
    <n v="0"/>
    <n v="2"/>
    <x v="1"/>
    <x v="0"/>
    <n v="0.72083299999999995"/>
    <n v="0.66479600000000005"/>
    <n v="0.66749999999999998"/>
    <n v="0.15173700000000001"/>
    <n v="954"/>
    <n v="5336"/>
    <n v="6290"/>
    <n v="25.879151"/>
    <n v="27.876536000000002"/>
    <n v="66.75"/>
    <n v="10.166379000000001"/>
    <x v="2"/>
    <x v="1"/>
    <x v="0"/>
    <s v="July"/>
    <s v="Tuesday"/>
  </r>
  <r>
    <n v="558"/>
    <x v="557"/>
    <n v="3"/>
    <n v="1"/>
    <n v="7"/>
    <n v="0"/>
    <n v="3"/>
    <x v="1"/>
    <x v="1"/>
    <n v="0.71666700000000005"/>
    <n v="0.65027100000000004"/>
    <n v="0.63333300000000003"/>
    <n v="0.15173300000000001"/>
    <n v="975"/>
    <n v="6289"/>
    <n v="7264"/>
    <n v="25.683349"/>
    <n v="26.917886000000003"/>
    <n v="63.333300000000001"/>
    <n v="10.166111000000001"/>
    <x v="2"/>
    <x v="1"/>
    <x v="1"/>
    <s v="July"/>
    <s v="Wednesday"/>
  </r>
  <r>
    <n v="559"/>
    <x v="558"/>
    <n v="3"/>
    <n v="1"/>
    <n v="7"/>
    <n v="0"/>
    <n v="4"/>
    <x v="1"/>
    <x v="1"/>
    <n v="0.71583300000000005"/>
    <n v="0.65468300000000001"/>
    <n v="0.52958300000000003"/>
    <n v="0.14677499999999999"/>
    <n v="1032"/>
    <n v="6414"/>
    <n v="7446"/>
    <n v="25.644151000000001"/>
    <n v="27.209077999999998"/>
    <n v="52.958300000000001"/>
    <n v="9.8339249999999989"/>
    <x v="2"/>
    <x v="1"/>
    <x v="1"/>
    <s v="July"/>
    <s v="Thursday"/>
  </r>
  <r>
    <n v="560"/>
    <x v="559"/>
    <n v="3"/>
    <n v="1"/>
    <n v="7"/>
    <n v="0"/>
    <n v="5"/>
    <x v="1"/>
    <x v="0"/>
    <n v="0.73166699999999996"/>
    <n v="0.667933"/>
    <n v="0.48583300000000001"/>
    <n v="8.0850000000000005E-2"/>
    <n v="1511"/>
    <n v="5988"/>
    <n v="7499"/>
    <n v="26.388348999999998"/>
    <n v="28.083578000000003"/>
    <n v="48.583300000000001"/>
    <n v="5.4169499999999999"/>
    <x v="2"/>
    <x v="1"/>
    <x v="0"/>
    <s v="July"/>
    <s v="Friday"/>
  </r>
  <r>
    <n v="561"/>
    <x v="560"/>
    <n v="3"/>
    <n v="1"/>
    <n v="7"/>
    <n v="0"/>
    <n v="6"/>
    <x v="0"/>
    <x v="0"/>
    <n v="0.70333299999999999"/>
    <n v="0.66604200000000002"/>
    <n v="0.69916699999999998"/>
    <n v="0.143679"/>
    <n v="2355"/>
    <n v="4614"/>
    <n v="6969"/>
    <n v="25.056651000000002"/>
    <n v="27.958772000000003"/>
    <n v="69.916699999999992"/>
    <n v="9.626493"/>
    <x v="2"/>
    <x v="1"/>
    <x v="0"/>
    <s v="July"/>
    <s v="Saturday"/>
  </r>
  <r>
    <n v="562"/>
    <x v="561"/>
    <n v="3"/>
    <n v="1"/>
    <n v="7"/>
    <n v="0"/>
    <n v="0"/>
    <x v="0"/>
    <x v="1"/>
    <n v="0.74583299999999997"/>
    <n v="0.70519600000000005"/>
    <n v="0.71791700000000003"/>
    <n v="0.16666700000000001"/>
    <n v="1920"/>
    <n v="4111"/>
    <n v="6031"/>
    <n v="27.054150999999997"/>
    <n v="30.542936000000005"/>
    <n v="71.791700000000006"/>
    <n v="11.166689"/>
    <x v="2"/>
    <x v="1"/>
    <x v="1"/>
    <s v="July"/>
    <s v="Sunday"/>
  </r>
  <r>
    <n v="563"/>
    <x v="562"/>
    <n v="3"/>
    <n v="1"/>
    <n v="7"/>
    <n v="0"/>
    <n v="1"/>
    <x v="1"/>
    <x v="1"/>
    <n v="0.76333300000000004"/>
    <n v="0.72412500000000002"/>
    <n v="0.64500000000000002"/>
    <n v="0.164187"/>
    <n v="1088"/>
    <n v="5742"/>
    <n v="6830"/>
    <n v="27.876651000000003"/>
    <n v="31.792250000000003"/>
    <n v="64.5"/>
    <n v="11.000529"/>
    <x v="2"/>
    <x v="1"/>
    <x v="1"/>
    <s v="July"/>
    <s v="Monday"/>
  </r>
  <r>
    <n v="564"/>
    <x v="563"/>
    <n v="3"/>
    <n v="1"/>
    <n v="7"/>
    <n v="0"/>
    <n v="2"/>
    <x v="1"/>
    <x v="1"/>
    <n v="0.81833299999999998"/>
    <n v="0.75568299999999999"/>
    <n v="0.50583299999999998"/>
    <n v="0.114429"/>
    <n v="921"/>
    <n v="5865"/>
    <n v="6786"/>
    <n v="30.461650999999996"/>
    <n v="33.875078000000002"/>
    <n v="50.583299999999994"/>
    <n v="7.6667430000000003"/>
    <x v="2"/>
    <x v="1"/>
    <x v="1"/>
    <s v="July"/>
    <s v="Tuesday"/>
  </r>
  <r>
    <n v="565"/>
    <x v="564"/>
    <n v="3"/>
    <n v="1"/>
    <n v="7"/>
    <n v="0"/>
    <n v="3"/>
    <x v="1"/>
    <x v="1"/>
    <n v="0.79333299999999995"/>
    <n v="0.745583"/>
    <n v="0.57708300000000001"/>
    <n v="0.13744200000000001"/>
    <n v="799"/>
    <n v="4914"/>
    <n v="5713"/>
    <n v="29.286650999999999"/>
    <n v="33.208477999999999"/>
    <n v="57.708300000000001"/>
    <n v="9.2086140000000007"/>
    <x v="2"/>
    <x v="1"/>
    <x v="1"/>
    <s v="July"/>
    <s v="Wednesday"/>
  </r>
  <r>
    <n v="566"/>
    <x v="565"/>
    <n v="3"/>
    <n v="1"/>
    <n v="7"/>
    <n v="0"/>
    <n v="4"/>
    <x v="1"/>
    <x v="1"/>
    <n v="0.77"/>
    <n v="0.714642"/>
    <n v="0.60041699999999998"/>
    <n v="0.16542899999999999"/>
    <n v="888"/>
    <n v="5703"/>
    <n v="6591"/>
    <n v="28.189999999999998"/>
    <n v="31.166372000000003"/>
    <n v="60.041699999999999"/>
    <n v="11.083743"/>
    <x v="2"/>
    <x v="1"/>
    <x v="1"/>
    <s v="July"/>
    <s v="Thursday"/>
  </r>
  <r>
    <n v="567"/>
    <x v="566"/>
    <n v="3"/>
    <n v="1"/>
    <n v="7"/>
    <n v="0"/>
    <n v="5"/>
    <x v="1"/>
    <x v="0"/>
    <n v="0.66583300000000001"/>
    <n v="0.61302500000000004"/>
    <n v="0.844167"/>
    <n v="0.20896700000000001"/>
    <n v="747"/>
    <n v="5123"/>
    <n v="5870"/>
    <n v="23.294150999999999"/>
    <n v="24.459650000000003"/>
    <n v="84.416700000000006"/>
    <n v="14.000789000000001"/>
    <x v="2"/>
    <x v="1"/>
    <x v="0"/>
    <s v="July"/>
    <s v="Friday"/>
  </r>
  <r>
    <n v="568"/>
    <x v="567"/>
    <n v="3"/>
    <n v="1"/>
    <n v="7"/>
    <n v="0"/>
    <n v="6"/>
    <x v="0"/>
    <x v="2"/>
    <n v="0.59583299999999995"/>
    <n v="0.54991199999999996"/>
    <n v="0.86541699999999999"/>
    <n v="0.21329999999999999"/>
    <n v="1264"/>
    <n v="3195"/>
    <n v="4459"/>
    <n v="20.004150999999997"/>
    <n v="20.294191999999995"/>
    <n v="86.541700000000006"/>
    <n v="14.2911"/>
    <x v="2"/>
    <x v="1"/>
    <x v="2"/>
    <s v="July"/>
    <s v="Saturday"/>
  </r>
  <r>
    <n v="569"/>
    <x v="568"/>
    <n v="3"/>
    <n v="1"/>
    <n v="7"/>
    <n v="0"/>
    <n v="0"/>
    <x v="0"/>
    <x v="0"/>
    <n v="0.66749999999999998"/>
    <n v="0.62312500000000004"/>
    <n v="0.76249999999999996"/>
    <n v="9.3920799999999999E-2"/>
    <n v="2544"/>
    <n v="4866"/>
    <n v="7410"/>
    <n v="23.372499999999999"/>
    <n v="25.126250000000006"/>
    <n v="76.25"/>
    <n v="6.2926935999999998"/>
    <x v="2"/>
    <x v="1"/>
    <x v="0"/>
    <s v="July"/>
    <s v="Sunday"/>
  </r>
  <r>
    <n v="570"/>
    <x v="569"/>
    <n v="3"/>
    <n v="1"/>
    <n v="7"/>
    <n v="0"/>
    <n v="1"/>
    <x v="1"/>
    <x v="1"/>
    <n v="0.74166699999999997"/>
    <n v="0.69001699999999999"/>
    <n v="0.69416699999999998"/>
    <n v="0.138683"/>
    <n v="1135"/>
    <n v="5831"/>
    <n v="6966"/>
    <n v="26.858348999999997"/>
    <n v="29.541122000000001"/>
    <n v="69.416699999999992"/>
    <n v="9.2917609999999993"/>
    <x v="2"/>
    <x v="1"/>
    <x v="1"/>
    <s v="July"/>
    <s v="Monday"/>
  </r>
  <r>
    <n v="571"/>
    <x v="570"/>
    <n v="3"/>
    <n v="1"/>
    <n v="7"/>
    <n v="0"/>
    <n v="2"/>
    <x v="1"/>
    <x v="1"/>
    <n v="0.75083299999999997"/>
    <n v="0.70645000000000002"/>
    <n v="0.65500000000000003"/>
    <n v="0.211454"/>
    <n v="1140"/>
    <n v="6452"/>
    <n v="7592"/>
    <n v="27.289150999999997"/>
    <n v="30.625700000000002"/>
    <n v="65.5"/>
    <n v="14.167418"/>
    <x v="2"/>
    <x v="1"/>
    <x v="1"/>
    <s v="July"/>
    <s v="Tuesday"/>
  </r>
  <r>
    <n v="572"/>
    <x v="571"/>
    <n v="3"/>
    <n v="1"/>
    <n v="7"/>
    <n v="0"/>
    <n v="3"/>
    <x v="1"/>
    <x v="1"/>
    <n v="0.72416700000000001"/>
    <n v="0.65405400000000002"/>
    <n v="0.45"/>
    <n v="0.1648"/>
    <n v="1383"/>
    <n v="6790"/>
    <n v="8173"/>
    <n v="26.035848999999999"/>
    <n v="27.167563999999999"/>
    <n v="45"/>
    <n v="11.041600000000001"/>
    <x v="2"/>
    <x v="1"/>
    <x v="1"/>
    <s v="July"/>
    <s v="Wednesday"/>
  </r>
  <r>
    <n v="573"/>
    <x v="572"/>
    <n v="3"/>
    <n v="1"/>
    <n v="7"/>
    <n v="0"/>
    <n v="4"/>
    <x v="1"/>
    <x v="1"/>
    <n v="0.776667"/>
    <n v="0.739263"/>
    <n v="0.59666699999999995"/>
    <n v="0.28481299999999998"/>
    <n v="1036"/>
    <n v="5825"/>
    <n v="6861"/>
    <n v="28.503349"/>
    <n v="32.791358000000002"/>
    <n v="59.666699999999992"/>
    <n v="19.082470999999998"/>
    <x v="2"/>
    <x v="1"/>
    <x v="1"/>
    <s v="July"/>
    <s v="Thursday"/>
  </r>
  <r>
    <n v="574"/>
    <x v="573"/>
    <n v="3"/>
    <n v="1"/>
    <n v="7"/>
    <n v="0"/>
    <n v="5"/>
    <x v="1"/>
    <x v="1"/>
    <n v="0.781667"/>
    <n v="0.73421700000000001"/>
    <n v="0.59458299999999997"/>
    <n v="0.15299199999999999"/>
    <n v="1259"/>
    <n v="5645"/>
    <n v="6904"/>
    <n v="28.738348999999999"/>
    <n v="32.458322000000003"/>
    <n v="59.458299999999994"/>
    <n v="10.250463999999999"/>
    <x v="2"/>
    <x v="1"/>
    <x v="1"/>
    <s v="July"/>
    <s v="Friday"/>
  </r>
  <r>
    <n v="575"/>
    <x v="574"/>
    <n v="3"/>
    <n v="1"/>
    <n v="7"/>
    <n v="0"/>
    <n v="6"/>
    <x v="0"/>
    <x v="1"/>
    <n v="0.75583299999999998"/>
    <n v="0.697604"/>
    <n v="0.61333300000000002"/>
    <n v="0.15734999999999999"/>
    <n v="2234"/>
    <n v="4451"/>
    <n v="6685"/>
    <n v="27.524150999999996"/>
    <n v="30.041863999999997"/>
    <n v="61.333300000000001"/>
    <n v="10.542449999999999"/>
    <x v="2"/>
    <x v="1"/>
    <x v="1"/>
    <s v="July"/>
    <s v="Saturday"/>
  </r>
  <r>
    <n v="576"/>
    <x v="575"/>
    <n v="3"/>
    <n v="1"/>
    <n v="7"/>
    <n v="0"/>
    <n v="0"/>
    <x v="0"/>
    <x v="1"/>
    <n v="0.72166699999999995"/>
    <n v="0.667933"/>
    <n v="0.62375000000000003"/>
    <n v="0.17039599999999999"/>
    <n v="2153"/>
    <n v="4444"/>
    <n v="6597"/>
    <n v="25.918348999999999"/>
    <n v="28.083578000000003"/>
    <n v="62.375"/>
    <n v="11.416532"/>
    <x v="2"/>
    <x v="1"/>
    <x v="1"/>
    <s v="July"/>
    <s v="Sunday"/>
  </r>
  <r>
    <n v="577"/>
    <x v="576"/>
    <n v="3"/>
    <n v="1"/>
    <n v="7"/>
    <n v="0"/>
    <n v="1"/>
    <x v="1"/>
    <x v="1"/>
    <n v="0.73083299999999995"/>
    <n v="0.68498700000000001"/>
    <n v="0.66874999999999996"/>
    <n v="0.153617"/>
    <n v="1040"/>
    <n v="6065"/>
    <n v="7105"/>
    <n v="26.349150999999999"/>
    <n v="29.209142"/>
    <n v="66.875"/>
    <n v="10.292339"/>
    <x v="2"/>
    <x v="1"/>
    <x v="1"/>
    <s v="July"/>
    <s v="Monday"/>
  </r>
  <r>
    <n v="578"/>
    <x v="577"/>
    <n v="3"/>
    <n v="1"/>
    <n v="7"/>
    <n v="0"/>
    <n v="2"/>
    <x v="1"/>
    <x v="1"/>
    <n v="0.71333299999999999"/>
    <n v="0.66289600000000004"/>
    <n v="0.70416699999999999"/>
    <n v="0.16542499999999999"/>
    <n v="968"/>
    <n v="6248"/>
    <n v="7216"/>
    <n v="25.526651000000001"/>
    <n v="27.751136000000002"/>
    <n v="70.416699999999992"/>
    <n v="11.083475"/>
    <x v="2"/>
    <x v="1"/>
    <x v="1"/>
    <s v="July"/>
    <s v="Tuesday"/>
  </r>
  <r>
    <n v="579"/>
    <x v="578"/>
    <n v="3"/>
    <n v="1"/>
    <n v="8"/>
    <n v="0"/>
    <n v="3"/>
    <x v="1"/>
    <x v="1"/>
    <n v="0.71750000000000003"/>
    <n v="0.66730800000000001"/>
    <n v="0.67749999999999999"/>
    <n v="0.141179"/>
    <n v="1074"/>
    <n v="6506"/>
    <n v="7580"/>
    <n v="25.722500000000004"/>
    <n v="28.042327999999998"/>
    <n v="67.75"/>
    <n v="9.4589929999999995"/>
    <x v="2"/>
    <x v="1"/>
    <x v="1"/>
    <s v="August"/>
    <s v="Wednesday"/>
  </r>
  <r>
    <n v="580"/>
    <x v="579"/>
    <n v="3"/>
    <n v="1"/>
    <n v="8"/>
    <n v="0"/>
    <n v="4"/>
    <x v="1"/>
    <x v="1"/>
    <n v="0.75249999999999995"/>
    <n v="0.70708800000000005"/>
    <n v="0.65958300000000003"/>
    <n v="0.129354"/>
    <n v="983"/>
    <n v="6278"/>
    <n v="7261"/>
    <n v="27.3675"/>
    <n v="30.667808000000001"/>
    <n v="65.958300000000008"/>
    <n v="8.6667179999999995"/>
    <x v="2"/>
    <x v="1"/>
    <x v="1"/>
    <s v="August"/>
    <s v="Thursday"/>
  </r>
  <r>
    <n v="581"/>
    <x v="580"/>
    <n v="3"/>
    <n v="1"/>
    <n v="8"/>
    <n v="0"/>
    <n v="5"/>
    <x v="1"/>
    <x v="0"/>
    <n v="0.76583299999999999"/>
    <n v="0.72286700000000004"/>
    <n v="0.64249999999999996"/>
    <n v="0.21579200000000001"/>
    <n v="1328"/>
    <n v="5847"/>
    <n v="7175"/>
    <n v="27.994151000000002"/>
    <n v="31.709222000000004"/>
    <n v="64.25"/>
    <n v="14.458064"/>
    <x v="2"/>
    <x v="1"/>
    <x v="0"/>
    <s v="August"/>
    <s v="Friday"/>
  </r>
  <r>
    <n v="582"/>
    <x v="581"/>
    <n v="3"/>
    <n v="1"/>
    <n v="8"/>
    <n v="0"/>
    <n v="6"/>
    <x v="0"/>
    <x v="1"/>
    <n v="0.79333299999999995"/>
    <n v="0.75126700000000002"/>
    <n v="0.61333300000000002"/>
    <n v="0.25745800000000002"/>
    <n v="2345"/>
    <n v="4479"/>
    <n v="6824"/>
    <n v="29.286650999999999"/>
    <n v="33.583621999999998"/>
    <n v="61.333300000000001"/>
    <n v="17.249686000000001"/>
    <x v="2"/>
    <x v="1"/>
    <x v="1"/>
    <s v="August"/>
    <s v="Saturday"/>
  </r>
  <r>
    <n v="583"/>
    <x v="582"/>
    <n v="3"/>
    <n v="1"/>
    <n v="8"/>
    <n v="0"/>
    <n v="0"/>
    <x v="0"/>
    <x v="1"/>
    <n v="0.76916700000000005"/>
    <n v="0.73107900000000003"/>
    <n v="0.65249999999999997"/>
    <n v="0.29042099999999998"/>
    <n v="1707"/>
    <n v="3757"/>
    <n v="5464"/>
    <n v="28.150849000000001"/>
    <n v="32.251214000000004"/>
    <n v="65.25"/>
    <n v="19.458206999999998"/>
    <x v="2"/>
    <x v="1"/>
    <x v="1"/>
    <s v="August"/>
    <s v="Sunday"/>
  </r>
  <r>
    <n v="584"/>
    <x v="583"/>
    <n v="3"/>
    <n v="1"/>
    <n v="8"/>
    <n v="0"/>
    <n v="1"/>
    <x v="1"/>
    <x v="0"/>
    <n v="0.75249999999999995"/>
    <n v="0.71024600000000004"/>
    <n v="0.65416700000000005"/>
    <n v="0.129354"/>
    <n v="1233"/>
    <n v="5780"/>
    <n v="7013"/>
    <n v="27.3675"/>
    <n v="30.876236000000006"/>
    <n v="65.416700000000006"/>
    <n v="8.6667179999999995"/>
    <x v="2"/>
    <x v="1"/>
    <x v="0"/>
    <s v="August"/>
    <s v="Monday"/>
  </r>
  <r>
    <n v="585"/>
    <x v="584"/>
    <n v="3"/>
    <n v="1"/>
    <n v="8"/>
    <n v="0"/>
    <n v="2"/>
    <x v="1"/>
    <x v="0"/>
    <n v="0.73583299999999996"/>
    <n v="0.69762100000000005"/>
    <n v="0.70374999999999999"/>
    <n v="0.116908"/>
    <n v="1278"/>
    <n v="5995"/>
    <n v="7273"/>
    <n v="26.584150999999999"/>
    <n v="30.042986000000006"/>
    <n v="70.375"/>
    <n v="7.8328359999999995"/>
    <x v="2"/>
    <x v="1"/>
    <x v="0"/>
    <s v="August"/>
    <s v="Tuesday"/>
  </r>
  <r>
    <n v="586"/>
    <x v="585"/>
    <n v="3"/>
    <n v="1"/>
    <n v="8"/>
    <n v="0"/>
    <n v="3"/>
    <x v="1"/>
    <x v="0"/>
    <n v="0.75"/>
    <n v="0.70771700000000004"/>
    <n v="0.67291699999999999"/>
    <n v="0.11070000000000001"/>
    <n v="1263"/>
    <n v="6271"/>
    <n v="7534"/>
    <n v="27.25"/>
    <n v="30.709322"/>
    <n v="67.291699999999992"/>
    <n v="7.4169"/>
    <x v="2"/>
    <x v="1"/>
    <x v="0"/>
    <s v="August"/>
    <s v="Wednesday"/>
  </r>
  <r>
    <n v="587"/>
    <x v="586"/>
    <n v="3"/>
    <n v="1"/>
    <n v="8"/>
    <n v="0"/>
    <n v="4"/>
    <x v="1"/>
    <x v="1"/>
    <n v="0.75583299999999998"/>
    <n v="0.69950800000000002"/>
    <n v="0.620417"/>
    <n v="0.15609999999999999"/>
    <n v="1196"/>
    <n v="6090"/>
    <n v="7286"/>
    <n v="27.524150999999996"/>
    <n v="30.167528000000004"/>
    <n v="62.041699999999999"/>
    <n v="10.458699999999999"/>
    <x v="2"/>
    <x v="1"/>
    <x v="1"/>
    <s v="August"/>
    <s v="Thursday"/>
  </r>
  <r>
    <n v="588"/>
    <x v="587"/>
    <n v="3"/>
    <n v="1"/>
    <n v="8"/>
    <n v="0"/>
    <n v="5"/>
    <x v="1"/>
    <x v="0"/>
    <n v="0.71583300000000005"/>
    <n v="0.66794200000000004"/>
    <n v="0.71583300000000005"/>
    <n v="0.238813"/>
    <n v="1065"/>
    <n v="4721"/>
    <n v="5786"/>
    <n v="25.644151000000001"/>
    <n v="28.084172000000002"/>
    <n v="71.583300000000008"/>
    <n v="16.000471000000001"/>
    <x v="2"/>
    <x v="1"/>
    <x v="0"/>
    <s v="August"/>
    <s v="Friday"/>
  </r>
  <r>
    <n v="589"/>
    <x v="588"/>
    <n v="3"/>
    <n v="1"/>
    <n v="8"/>
    <n v="0"/>
    <n v="6"/>
    <x v="0"/>
    <x v="0"/>
    <n v="0.6925"/>
    <n v="0.63826700000000003"/>
    <n v="0.73291700000000004"/>
    <n v="0.206479"/>
    <n v="2247"/>
    <n v="4052"/>
    <n v="6299"/>
    <n v="24.547499999999999"/>
    <n v="26.125622"/>
    <n v="73.291700000000006"/>
    <n v="13.834092999999999"/>
    <x v="2"/>
    <x v="1"/>
    <x v="0"/>
    <s v="August"/>
    <s v="Saturday"/>
  </r>
  <r>
    <n v="590"/>
    <x v="589"/>
    <n v="3"/>
    <n v="1"/>
    <n v="8"/>
    <n v="0"/>
    <n v="0"/>
    <x v="0"/>
    <x v="1"/>
    <n v="0.70083300000000004"/>
    <n v="0.64457900000000001"/>
    <n v="0.53041700000000003"/>
    <n v="0.122512"/>
    <n v="2182"/>
    <n v="4362"/>
    <n v="6544"/>
    <n v="24.939151000000003"/>
    <n v="26.542214000000001"/>
    <n v="53.041700000000006"/>
    <n v="8.208304"/>
    <x v="2"/>
    <x v="1"/>
    <x v="1"/>
    <s v="August"/>
    <s v="Sunday"/>
  </r>
  <r>
    <n v="591"/>
    <x v="590"/>
    <n v="3"/>
    <n v="1"/>
    <n v="8"/>
    <n v="0"/>
    <n v="1"/>
    <x v="1"/>
    <x v="1"/>
    <n v="0.72083299999999995"/>
    <n v="0.66225400000000001"/>
    <n v="0.54541700000000004"/>
    <n v="0.136212"/>
    <n v="1207"/>
    <n v="5676"/>
    <n v="6883"/>
    <n v="25.879151"/>
    <n v="27.708764000000002"/>
    <n v="54.541700000000006"/>
    <n v="9.1262039999999995"/>
    <x v="2"/>
    <x v="1"/>
    <x v="1"/>
    <s v="August"/>
    <s v="Monday"/>
  </r>
  <r>
    <n v="592"/>
    <x v="591"/>
    <n v="3"/>
    <n v="1"/>
    <n v="8"/>
    <n v="0"/>
    <n v="2"/>
    <x v="1"/>
    <x v="1"/>
    <n v="0.72666699999999995"/>
    <n v="0.67677900000000002"/>
    <n v="0.68666700000000003"/>
    <n v="0.169158"/>
    <n v="1128"/>
    <n v="5656"/>
    <n v="6784"/>
    <n v="26.153348999999999"/>
    <n v="28.667414000000001"/>
    <n v="68.666700000000006"/>
    <n v="11.333586"/>
    <x v="2"/>
    <x v="1"/>
    <x v="1"/>
    <s v="August"/>
    <s v="Tuesday"/>
  </r>
  <r>
    <n v="593"/>
    <x v="592"/>
    <n v="3"/>
    <n v="1"/>
    <n v="8"/>
    <n v="0"/>
    <n v="3"/>
    <x v="1"/>
    <x v="1"/>
    <n v="0.70666700000000005"/>
    <n v="0.65403699999999998"/>
    <n v="0.61958299999999999"/>
    <n v="0.16977100000000001"/>
    <n v="1198"/>
    <n v="6149"/>
    <n v="7347"/>
    <n v="25.213349000000001"/>
    <n v="27.166441999999996"/>
    <n v="61.958300000000001"/>
    <n v="11.374657000000001"/>
    <x v="2"/>
    <x v="1"/>
    <x v="1"/>
    <s v="August"/>
    <s v="Wednesday"/>
  </r>
  <r>
    <n v="594"/>
    <x v="593"/>
    <n v="3"/>
    <n v="1"/>
    <n v="8"/>
    <n v="0"/>
    <n v="4"/>
    <x v="1"/>
    <x v="1"/>
    <n v="0.719167"/>
    <n v="0.65468800000000005"/>
    <n v="0.51916700000000005"/>
    <n v="0.14179600000000001"/>
    <n v="1338"/>
    <n v="6267"/>
    <n v="7605"/>
    <n v="25.800848999999999"/>
    <n v="27.209408000000003"/>
    <n v="51.916700000000006"/>
    <n v="9.5003320000000002"/>
    <x v="2"/>
    <x v="1"/>
    <x v="1"/>
    <s v="August"/>
    <s v="Thursday"/>
  </r>
  <r>
    <n v="595"/>
    <x v="594"/>
    <n v="3"/>
    <n v="1"/>
    <n v="8"/>
    <n v="0"/>
    <n v="5"/>
    <x v="1"/>
    <x v="1"/>
    <n v="0.723333"/>
    <n v="0.2424"/>
    <n v="0.57083300000000003"/>
    <n v="0.231354"/>
    <n v="1483"/>
    <n v="5665"/>
    <n v="7148"/>
    <n v="25.996651"/>
    <n v="-1.5999999999998238E-3"/>
    <n v="57.083300000000001"/>
    <n v="15.500718000000001"/>
    <x v="2"/>
    <x v="1"/>
    <x v="1"/>
    <s v="August"/>
    <s v="Friday"/>
  </r>
  <r>
    <n v="596"/>
    <x v="595"/>
    <n v="3"/>
    <n v="1"/>
    <n v="8"/>
    <n v="0"/>
    <n v="6"/>
    <x v="0"/>
    <x v="1"/>
    <n v="0.67833299999999996"/>
    <n v="0.61807100000000004"/>
    <n v="0.60333300000000001"/>
    <n v="0.177867"/>
    <n v="2827"/>
    <n v="5038"/>
    <n v="7865"/>
    <n v="23.881650999999998"/>
    <n v="24.792686000000003"/>
    <n v="60.333300000000001"/>
    <n v="11.917089000000001"/>
    <x v="2"/>
    <x v="1"/>
    <x v="1"/>
    <s v="August"/>
    <s v="Saturday"/>
  </r>
  <r>
    <n v="597"/>
    <x v="596"/>
    <n v="3"/>
    <n v="1"/>
    <n v="8"/>
    <n v="0"/>
    <n v="0"/>
    <x v="0"/>
    <x v="0"/>
    <n v="0.63583299999999998"/>
    <n v="0.60355400000000003"/>
    <n v="0.71166700000000005"/>
    <n v="8.6449999999999999E-2"/>
    <n v="1208"/>
    <n v="3341"/>
    <n v="4549"/>
    <n v="21.884150999999999"/>
    <n v="23.834564"/>
    <n v="71.166700000000006"/>
    <n v="5.7921500000000004"/>
    <x v="2"/>
    <x v="1"/>
    <x v="0"/>
    <s v="August"/>
    <s v="Sunday"/>
  </r>
  <r>
    <n v="598"/>
    <x v="597"/>
    <n v="3"/>
    <n v="1"/>
    <n v="8"/>
    <n v="0"/>
    <n v="1"/>
    <x v="1"/>
    <x v="0"/>
    <n v="0.63583299999999998"/>
    <n v="0.59596700000000002"/>
    <n v="0.73416700000000001"/>
    <n v="0.12997900000000001"/>
    <n v="1026"/>
    <n v="5504"/>
    <n v="6530"/>
    <n v="21.884150999999999"/>
    <n v="23.333822000000005"/>
    <n v="73.416700000000006"/>
    <n v="8.7085930000000005"/>
    <x v="2"/>
    <x v="1"/>
    <x v="0"/>
    <s v="August"/>
    <s v="Monday"/>
  </r>
  <r>
    <n v="599"/>
    <x v="598"/>
    <n v="3"/>
    <n v="1"/>
    <n v="8"/>
    <n v="0"/>
    <n v="2"/>
    <x v="1"/>
    <x v="1"/>
    <n v="0.64916700000000005"/>
    <n v="0.60102500000000003"/>
    <n v="0.67374999999999996"/>
    <n v="7.2770799999999997E-2"/>
    <n v="1081"/>
    <n v="5925"/>
    <n v="7006"/>
    <n v="22.510849000000004"/>
    <n v="23.667650000000002"/>
    <n v="67.375"/>
    <n v="4.8756436000000001"/>
    <x v="2"/>
    <x v="1"/>
    <x v="1"/>
    <s v="August"/>
    <s v="Tuesday"/>
  </r>
  <r>
    <n v="600"/>
    <x v="599"/>
    <n v="3"/>
    <n v="1"/>
    <n v="8"/>
    <n v="0"/>
    <n v="3"/>
    <x v="1"/>
    <x v="1"/>
    <n v="0.66749999999999998"/>
    <n v="0.62185400000000002"/>
    <n v="0.67708299999999999"/>
    <n v="7.0283300000000007E-2"/>
    <n v="1094"/>
    <n v="6281"/>
    <n v="7375"/>
    <n v="23.372499999999999"/>
    <n v="25.042363999999999"/>
    <n v="67.708299999999994"/>
    <n v="4.7089811000000008"/>
    <x v="2"/>
    <x v="1"/>
    <x v="1"/>
    <s v="August"/>
    <s v="Wednesday"/>
  </r>
  <r>
    <n v="601"/>
    <x v="600"/>
    <n v="3"/>
    <n v="1"/>
    <n v="8"/>
    <n v="0"/>
    <n v="4"/>
    <x v="1"/>
    <x v="1"/>
    <n v="0.69583300000000003"/>
    <n v="0.63700800000000002"/>
    <n v="0.63583299999999998"/>
    <n v="8.4595799999999999E-2"/>
    <n v="1363"/>
    <n v="6402"/>
    <n v="7765"/>
    <n v="24.704151000000003"/>
    <n v="26.042528000000004"/>
    <n v="63.583300000000001"/>
    <n v="5.6679186000000001"/>
    <x v="2"/>
    <x v="1"/>
    <x v="1"/>
    <s v="August"/>
    <s v="Thursday"/>
  </r>
  <r>
    <n v="602"/>
    <x v="601"/>
    <n v="3"/>
    <n v="1"/>
    <n v="8"/>
    <n v="0"/>
    <n v="5"/>
    <x v="1"/>
    <x v="0"/>
    <n v="0.70250000000000001"/>
    <n v="0.64710000000000001"/>
    <n v="0.61499999999999999"/>
    <n v="7.2145799999999996E-2"/>
    <n v="1325"/>
    <n v="6257"/>
    <n v="7582"/>
    <n v="25.017499999999998"/>
    <n v="26.708600000000004"/>
    <n v="61.5"/>
    <n v="4.8337686"/>
    <x v="2"/>
    <x v="1"/>
    <x v="0"/>
    <s v="August"/>
    <s v="Friday"/>
  </r>
  <r>
    <n v="603"/>
    <x v="602"/>
    <n v="3"/>
    <n v="1"/>
    <n v="8"/>
    <n v="0"/>
    <n v="6"/>
    <x v="0"/>
    <x v="0"/>
    <n v="0.66166700000000001"/>
    <n v="0.61869600000000002"/>
    <n v="0.71291700000000002"/>
    <n v="0.24440799999999999"/>
    <n v="1829"/>
    <n v="4224"/>
    <n v="6053"/>
    <n v="23.098348999999999"/>
    <n v="24.833936000000001"/>
    <n v="71.291700000000006"/>
    <n v="16.375336000000001"/>
    <x v="2"/>
    <x v="1"/>
    <x v="0"/>
    <s v="August"/>
    <s v="Saturday"/>
  </r>
  <r>
    <n v="604"/>
    <x v="603"/>
    <n v="3"/>
    <n v="1"/>
    <n v="8"/>
    <n v="0"/>
    <n v="0"/>
    <x v="0"/>
    <x v="0"/>
    <n v="0.65333300000000005"/>
    <n v="0.59599599999999997"/>
    <n v="0.84583299999999995"/>
    <n v="0.22885800000000001"/>
    <n v="1483"/>
    <n v="3772"/>
    <n v="5255"/>
    <n v="22.706651000000001"/>
    <n v="23.335735999999997"/>
    <n v="84.583299999999994"/>
    <n v="15.333486000000001"/>
    <x v="2"/>
    <x v="1"/>
    <x v="0"/>
    <s v="August"/>
    <s v="Sunday"/>
  </r>
  <r>
    <n v="605"/>
    <x v="604"/>
    <n v="3"/>
    <n v="1"/>
    <n v="8"/>
    <n v="0"/>
    <n v="1"/>
    <x v="1"/>
    <x v="1"/>
    <n v="0.70333299999999999"/>
    <n v="0.65468800000000005"/>
    <n v="0.73041699999999998"/>
    <n v="0.12873299999999999"/>
    <n v="989"/>
    <n v="5928"/>
    <n v="6917"/>
    <n v="25.056651000000002"/>
    <n v="27.209408000000003"/>
    <n v="73.041699999999992"/>
    <n v="8.6251109999999986"/>
    <x v="2"/>
    <x v="1"/>
    <x v="1"/>
    <s v="August"/>
    <s v="Monday"/>
  </r>
  <r>
    <n v="606"/>
    <x v="605"/>
    <n v="3"/>
    <n v="1"/>
    <n v="8"/>
    <n v="0"/>
    <n v="2"/>
    <x v="1"/>
    <x v="1"/>
    <n v="0.72833300000000001"/>
    <n v="0.66605000000000003"/>
    <n v="0.62"/>
    <n v="0.19092500000000001"/>
    <n v="935"/>
    <n v="6105"/>
    <n v="7040"/>
    <n v="26.231650999999999"/>
    <n v="27.959299999999999"/>
    <n v="62"/>
    <n v="12.791975000000001"/>
    <x v="2"/>
    <x v="1"/>
    <x v="1"/>
    <s v="August"/>
    <s v="Tuesday"/>
  </r>
  <r>
    <n v="607"/>
    <x v="606"/>
    <n v="3"/>
    <n v="1"/>
    <n v="8"/>
    <n v="0"/>
    <n v="3"/>
    <x v="1"/>
    <x v="1"/>
    <n v="0.68500000000000005"/>
    <n v="0.63573299999999999"/>
    <n v="0.55208299999999999"/>
    <n v="0.112562"/>
    <n v="1177"/>
    <n v="6520"/>
    <n v="7697"/>
    <n v="24.195"/>
    <n v="25.958377999999996"/>
    <n v="55.208300000000001"/>
    <n v="7.5416539999999994"/>
    <x v="2"/>
    <x v="1"/>
    <x v="1"/>
    <s v="August"/>
    <s v="Wednesday"/>
  </r>
  <r>
    <n v="608"/>
    <x v="607"/>
    <n v="3"/>
    <n v="1"/>
    <n v="8"/>
    <n v="0"/>
    <n v="4"/>
    <x v="1"/>
    <x v="1"/>
    <n v="0.70666700000000005"/>
    <n v="0.652779"/>
    <n v="0.59041699999999997"/>
    <n v="7.7116699999999996E-2"/>
    <n v="1172"/>
    <n v="6541"/>
    <n v="7713"/>
    <n v="25.213349000000001"/>
    <n v="27.083413999999998"/>
    <n v="59.041699999999999"/>
    <n v="5.1668189"/>
    <x v="2"/>
    <x v="1"/>
    <x v="1"/>
    <s v="August"/>
    <s v="Thursday"/>
  </r>
  <r>
    <n v="609"/>
    <x v="608"/>
    <n v="3"/>
    <n v="1"/>
    <n v="8"/>
    <n v="0"/>
    <n v="5"/>
    <x v="1"/>
    <x v="1"/>
    <n v="0.76416700000000004"/>
    <n v="0.68940000000000001"/>
    <n v="0.58750000000000002"/>
    <n v="0.16853299999999999"/>
    <n v="1433"/>
    <n v="5917"/>
    <n v="7350"/>
    <n v="27.915849000000001"/>
    <n v="29.500399999999999"/>
    <n v="58.75"/>
    <n v="11.291710999999999"/>
    <x v="2"/>
    <x v="1"/>
    <x v="1"/>
    <s v="August"/>
    <s v="Friday"/>
  </r>
  <r>
    <n v="610"/>
    <x v="609"/>
    <n v="3"/>
    <n v="1"/>
    <n v="9"/>
    <n v="0"/>
    <n v="6"/>
    <x v="0"/>
    <x v="0"/>
    <n v="0.75333300000000003"/>
    <n v="0.702654"/>
    <n v="0.63833300000000004"/>
    <n v="0.113187"/>
    <n v="2352"/>
    <n v="3788"/>
    <n v="6140"/>
    <n v="27.406651000000004"/>
    <n v="30.375163999999998"/>
    <n v="63.833300000000001"/>
    <n v="7.5835289999999995"/>
    <x v="2"/>
    <x v="1"/>
    <x v="0"/>
    <s v="September"/>
    <s v="Saturday"/>
  </r>
  <r>
    <n v="611"/>
    <x v="610"/>
    <n v="3"/>
    <n v="1"/>
    <n v="9"/>
    <n v="0"/>
    <n v="0"/>
    <x v="0"/>
    <x v="0"/>
    <n v="0.69666700000000004"/>
    <n v="0.64900000000000002"/>
    <n v="0.81499999999999995"/>
    <n v="6.4070799999999997E-2"/>
    <n v="2613"/>
    <n v="3197"/>
    <n v="5810"/>
    <n v="24.743349000000002"/>
    <n v="26.834000000000003"/>
    <n v="81.5"/>
    <n v="4.2927435999999997"/>
    <x v="2"/>
    <x v="1"/>
    <x v="0"/>
    <s v="September"/>
    <s v="Sunday"/>
  </r>
  <r>
    <n v="612"/>
    <x v="611"/>
    <n v="3"/>
    <n v="1"/>
    <n v="9"/>
    <n v="1"/>
    <n v="1"/>
    <x v="0"/>
    <x v="1"/>
    <n v="0.70750000000000002"/>
    <n v="0.66162900000000002"/>
    <n v="0.79083300000000001"/>
    <n v="0.15112100000000001"/>
    <n v="1965"/>
    <n v="4069"/>
    <n v="6034"/>
    <n v="25.252499999999998"/>
    <n v="27.667514000000004"/>
    <n v="79.083299999999994"/>
    <n v="10.125107"/>
    <x v="2"/>
    <x v="1"/>
    <x v="1"/>
    <s v="September"/>
    <s v="Monday"/>
  </r>
  <r>
    <n v="613"/>
    <x v="612"/>
    <n v="3"/>
    <n v="1"/>
    <n v="9"/>
    <n v="0"/>
    <n v="2"/>
    <x v="1"/>
    <x v="1"/>
    <n v="0.72583299999999995"/>
    <n v="0.68688800000000005"/>
    <n v="0.755"/>
    <n v="0.236321"/>
    <n v="867"/>
    <n v="5997"/>
    <n v="6864"/>
    <n v="26.114151"/>
    <n v="29.334608000000003"/>
    <n v="75.5"/>
    <n v="15.833507000000001"/>
    <x v="2"/>
    <x v="1"/>
    <x v="1"/>
    <s v="September"/>
    <s v="Tuesday"/>
  </r>
  <r>
    <n v="614"/>
    <x v="613"/>
    <n v="3"/>
    <n v="1"/>
    <n v="9"/>
    <n v="0"/>
    <n v="3"/>
    <x v="1"/>
    <x v="1"/>
    <n v="0.73666699999999996"/>
    <n v="0.70898300000000003"/>
    <n v="0.74124999999999996"/>
    <n v="0.187808"/>
    <n v="832"/>
    <n v="6280"/>
    <n v="7112"/>
    <n v="26.623348999999997"/>
    <n v="30.792878000000002"/>
    <n v="74.125"/>
    <n v="12.583136"/>
    <x v="2"/>
    <x v="1"/>
    <x v="1"/>
    <s v="September"/>
    <s v="Wednesday"/>
  </r>
  <r>
    <n v="615"/>
    <x v="614"/>
    <n v="3"/>
    <n v="1"/>
    <n v="9"/>
    <n v="0"/>
    <n v="4"/>
    <x v="1"/>
    <x v="0"/>
    <n v="0.69666700000000004"/>
    <n v="0.65532900000000005"/>
    <n v="0.81041700000000005"/>
    <n v="0.14242099999999999"/>
    <n v="611"/>
    <n v="5592"/>
    <n v="6203"/>
    <n v="24.743349000000002"/>
    <n v="27.251714000000007"/>
    <n v="81.041700000000006"/>
    <n v="9.5422069999999994"/>
    <x v="2"/>
    <x v="1"/>
    <x v="0"/>
    <s v="September"/>
    <s v="Thursday"/>
  </r>
  <r>
    <n v="616"/>
    <x v="615"/>
    <n v="3"/>
    <n v="1"/>
    <n v="9"/>
    <n v="0"/>
    <n v="5"/>
    <x v="1"/>
    <x v="1"/>
    <n v="0.70333299999999999"/>
    <n v="0.65720400000000001"/>
    <n v="0.73624999999999996"/>
    <n v="0.17164599999999999"/>
    <n v="1045"/>
    <n v="6459"/>
    <n v="7504"/>
    <n v="25.056651000000002"/>
    <n v="27.375464000000001"/>
    <n v="73.625"/>
    <n v="11.500282"/>
    <x v="2"/>
    <x v="1"/>
    <x v="1"/>
    <s v="September"/>
    <s v="Friday"/>
  </r>
  <r>
    <n v="617"/>
    <x v="616"/>
    <n v="3"/>
    <n v="1"/>
    <n v="9"/>
    <n v="0"/>
    <n v="6"/>
    <x v="0"/>
    <x v="0"/>
    <n v="0.65916699999999995"/>
    <n v="0.61112100000000003"/>
    <n v="0.79916699999999996"/>
    <n v="0.28110400000000002"/>
    <n v="1557"/>
    <n v="4419"/>
    <n v="5976"/>
    <n v="22.980848999999999"/>
    <n v="24.333986000000003"/>
    <n v="79.916699999999992"/>
    <n v="18.833968000000002"/>
    <x v="2"/>
    <x v="1"/>
    <x v="0"/>
    <s v="September"/>
    <s v="Saturday"/>
  </r>
  <r>
    <n v="618"/>
    <x v="617"/>
    <n v="3"/>
    <n v="1"/>
    <n v="9"/>
    <n v="0"/>
    <n v="0"/>
    <x v="0"/>
    <x v="1"/>
    <n v="0.61"/>
    <n v="0.57892500000000002"/>
    <n v="0.54749999999999999"/>
    <n v="0.224496"/>
    <n v="2570"/>
    <n v="5657"/>
    <n v="8227"/>
    <n v="20.669999999999998"/>
    <n v="22.209050000000005"/>
    <n v="54.75"/>
    <n v="15.041232000000001"/>
    <x v="2"/>
    <x v="1"/>
    <x v="1"/>
    <s v="September"/>
    <s v="Sunday"/>
  </r>
  <r>
    <n v="619"/>
    <x v="618"/>
    <n v="3"/>
    <n v="1"/>
    <n v="9"/>
    <n v="0"/>
    <n v="1"/>
    <x v="1"/>
    <x v="1"/>
    <n v="0.58333299999999999"/>
    <n v="0.56565399999999999"/>
    <n v="0.50375000000000003"/>
    <n v="0.25871300000000003"/>
    <n v="1118"/>
    <n v="6407"/>
    <n v="7525"/>
    <n v="19.416650999999998"/>
    <n v="21.333163999999996"/>
    <n v="50.375"/>
    <n v="17.333771000000002"/>
    <x v="2"/>
    <x v="1"/>
    <x v="1"/>
    <s v="September"/>
    <s v="Monday"/>
  </r>
  <r>
    <n v="620"/>
    <x v="619"/>
    <n v="3"/>
    <n v="1"/>
    <n v="9"/>
    <n v="0"/>
    <n v="2"/>
    <x v="1"/>
    <x v="1"/>
    <n v="0.57750000000000001"/>
    <n v="0.55429200000000001"/>
    <n v="0.52"/>
    <n v="9.2054200000000003E-2"/>
    <n v="1070"/>
    <n v="6697"/>
    <n v="7767"/>
    <n v="19.142500000000002"/>
    <n v="20.583272000000001"/>
    <n v="52"/>
    <n v="6.1676314000000003"/>
    <x v="2"/>
    <x v="1"/>
    <x v="1"/>
    <s v="September"/>
    <s v="Tuesday"/>
  </r>
  <r>
    <n v="621"/>
    <x v="620"/>
    <n v="3"/>
    <n v="1"/>
    <n v="9"/>
    <n v="0"/>
    <n v="3"/>
    <x v="1"/>
    <x v="1"/>
    <n v="0.59916700000000001"/>
    <n v="0.570075"/>
    <n v="0.57708300000000001"/>
    <n v="0.13184599999999999"/>
    <n v="1050"/>
    <n v="6820"/>
    <n v="7870"/>
    <n v="20.160848999999999"/>
    <n v="21.624949999999998"/>
    <n v="57.708300000000001"/>
    <n v="8.8336819999999996"/>
    <x v="2"/>
    <x v="1"/>
    <x v="1"/>
    <s v="September"/>
    <s v="Wednesday"/>
  </r>
  <r>
    <n v="622"/>
    <x v="621"/>
    <n v="3"/>
    <n v="1"/>
    <n v="9"/>
    <n v="0"/>
    <n v="4"/>
    <x v="1"/>
    <x v="1"/>
    <n v="0.61250000000000004"/>
    <n v="0.57955800000000002"/>
    <n v="0.63708299999999995"/>
    <n v="8.2720799999999997E-2"/>
    <n v="1054"/>
    <n v="6750"/>
    <n v="7804"/>
    <n v="20.787500000000001"/>
    <n v="22.250827999999998"/>
    <n v="63.708299999999994"/>
    <n v="5.5422935999999998"/>
    <x v="2"/>
    <x v="1"/>
    <x v="1"/>
    <s v="September"/>
    <s v="Thursday"/>
  </r>
  <r>
    <n v="623"/>
    <x v="622"/>
    <n v="3"/>
    <n v="1"/>
    <n v="9"/>
    <n v="0"/>
    <n v="5"/>
    <x v="1"/>
    <x v="1"/>
    <n v="0.63333300000000003"/>
    <n v="0.59408300000000003"/>
    <n v="0.67249999999999999"/>
    <n v="0.103863"/>
    <n v="1379"/>
    <n v="6630"/>
    <n v="8009"/>
    <n v="21.766651000000003"/>
    <n v="23.209478000000004"/>
    <n v="67.25"/>
    <n v="6.9588209999999995"/>
    <x v="2"/>
    <x v="1"/>
    <x v="1"/>
    <s v="September"/>
    <s v="Friday"/>
  </r>
  <r>
    <n v="624"/>
    <x v="623"/>
    <n v="3"/>
    <n v="1"/>
    <n v="9"/>
    <n v="0"/>
    <n v="6"/>
    <x v="0"/>
    <x v="1"/>
    <n v="0.60833300000000001"/>
    <n v="0.58586700000000003"/>
    <n v="0.50166699999999997"/>
    <n v="0.24752099999999999"/>
    <n v="3160"/>
    <n v="5554"/>
    <n v="8714"/>
    <n v="20.591650999999999"/>
    <n v="22.667222000000002"/>
    <n v="50.166699999999999"/>
    <n v="16.583907"/>
    <x v="2"/>
    <x v="1"/>
    <x v="1"/>
    <s v="September"/>
    <s v="Saturday"/>
  </r>
  <r>
    <n v="625"/>
    <x v="624"/>
    <n v="3"/>
    <n v="1"/>
    <n v="9"/>
    <n v="0"/>
    <n v="0"/>
    <x v="0"/>
    <x v="1"/>
    <n v="0.57999999999999996"/>
    <n v="0.56312499999999999"/>
    <n v="0.56999999999999995"/>
    <n v="9.0183299999999994E-2"/>
    <n v="2166"/>
    <n v="5167"/>
    <n v="7333"/>
    <n v="19.259999999999998"/>
    <n v="21.166249999999998"/>
    <n v="56.999999999999993"/>
    <n v="6.0422810999999994"/>
    <x v="2"/>
    <x v="1"/>
    <x v="1"/>
    <s v="September"/>
    <s v="Sunday"/>
  </r>
  <r>
    <n v="626"/>
    <x v="625"/>
    <n v="3"/>
    <n v="1"/>
    <n v="9"/>
    <n v="0"/>
    <n v="1"/>
    <x v="1"/>
    <x v="0"/>
    <n v="0.58083300000000004"/>
    <n v="0.55305000000000004"/>
    <n v="0.73458299999999999"/>
    <n v="0.15174199999999999"/>
    <n v="1022"/>
    <n v="5847"/>
    <n v="6869"/>
    <n v="19.299151000000002"/>
    <n v="20.501300000000001"/>
    <n v="73.458299999999994"/>
    <n v="10.166713999999999"/>
    <x v="2"/>
    <x v="1"/>
    <x v="0"/>
    <s v="September"/>
    <s v="Monday"/>
  </r>
  <r>
    <n v="627"/>
    <x v="626"/>
    <n v="3"/>
    <n v="1"/>
    <n v="9"/>
    <n v="0"/>
    <n v="2"/>
    <x v="1"/>
    <x v="0"/>
    <n v="0.62333300000000003"/>
    <n v="0.56506699999999999"/>
    <n v="0.87250000000000005"/>
    <n v="0.35758699999999999"/>
    <n v="371"/>
    <n v="3702"/>
    <n v="4073"/>
    <n v="21.296651000000001"/>
    <n v="21.294421999999997"/>
    <n v="87.25"/>
    <n v="23.958328999999999"/>
    <x v="2"/>
    <x v="1"/>
    <x v="0"/>
    <s v="September"/>
    <s v="Tuesday"/>
  </r>
  <r>
    <n v="628"/>
    <x v="627"/>
    <n v="3"/>
    <n v="1"/>
    <n v="9"/>
    <n v="0"/>
    <n v="3"/>
    <x v="1"/>
    <x v="1"/>
    <n v="0.55249999999999999"/>
    <n v="0.540404"/>
    <n v="0.53666700000000001"/>
    <n v="0.21517500000000001"/>
    <n v="788"/>
    <n v="6803"/>
    <n v="7591"/>
    <n v="17.967500000000001"/>
    <n v="19.666663999999997"/>
    <n v="53.666699999999999"/>
    <n v="14.416725"/>
    <x v="2"/>
    <x v="1"/>
    <x v="1"/>
    <s v="September"/>
    <s v="Wednesday"/>
  </r>
  <r>
    <n v="629"/>
    <x v="628"/>
    <n v="3"/>
    <n v="1"/>
    <n v="9"/>
    <n v="0"/>
    <n v="4"/>
    <x v="1"/>
    <x v="1"/>
    <n v="0.54666700000000001"/>
    <n v="0.532192"/>
    <n v="0.61833300000000002"/>
    <n v="0.11816699999999999"/>
    <n v="939"/>
    <n v="6781"/>
    <n v="7720"/>
    <n v="17.693349000000001"/>
    <n v="19.124671999999997"/>
    <n v="61.833300000000001"/>
    <n v="7.9171889999999996"/>
    <x v="2"/>
    <x v="1"/>
    <x v="1"/>
    <s v="September"/>
    <s v="Thursday"/>
  </r>
  <r>
    <n v="630"/>
    <x v="629"/>
    <n v="3"/>
    <n v="1"/>
    <n v="9"/>
    <n v="0"/>
    <n v="5"/>
    <x v="1"/>
    <x v="1"/>
    <n v="0.59916700000000001"/>
    <n v="0.57197100000000001"/>
    <n v="0.66874999999999996"/>
    <n v="0.154229"/>
    <n v="1250"/>
    <n v="6917"/>
    <n v="8167"/>
    <n v="20.160848999999999"/>
    <n v="21.750086000000003"/>
    <n v="66.875"/>
    <n v="10.333343000000001"/>
    <x v="2"/>
    <x v="1"/>
    <x v="1"/>
    <s v="September"/>
    <s v="Friday"/>
  </r>
  <r>
    <n v="631"/>
    <x v="630"/>
    <n v="3"/>
    <n v="1"/>
    <n v="9"/>
    <n v="0"/>
    <n v="6"/>
    <x v="0"/>
    <x v="1"/>
    <n v="0.65"/>
    <n v="0.61048800000000003"/>
    <n v="0.64666699999999999"/>
    <n v="0.28358299999999997"/>
    <n v="2512"/>
    <n v="5883"/>
    <n v="8395"/>
    <n v="22.55"/>
    <n v="24.292208000000002"/>
    <n v="64.666700000000006"/>
    <n v="19.000060999999999"/>
    <x v="2"/>
    <x v="1"/>
    <x v="1"/>
    <s v="September"/>
    <s v="Saturday"/>
  </r>
  <r>
    <n v="632"/>
    <x v="631"/>
    <n v="4"/>
    <n v="1"/>
    <n v="9"/>
    <n v="0"/>
    <n v="0"/>
    <x v="0"/>
    <x v="1"/>
    <n v="0.52916700000000005"/>
    <n v="0.51893299999999998"/>
    <n v="0.46708300000000003"/>
    <n v="0.22325800000000001"/>
    <n v="2454"/>
    <n v="5453"/>
    <n v="7907"/>
    <n v="16.870849000000003"/>
    <n v="18.249578"/>
    <n v="46.708300000000001"/>
    <n v="14.958286000000001"/>
    <x v="3"/>
    <x v="1"/>
    <x v="1"/>
    <s v="September"/>
    <s v="Sunday"/>
  </r>
  <r>
    <n v="633"/>
    <x v="632"/>
    <n v="4"/>
    <n v="1"/>
    <n v="9"/>
    <n v="0"/>
    <n v="1"/>
    <x v="1"/>
    <x v="1"/>
    <n v="0.51416700000000004"/>
    <n v="0.50251299999999999"/>
    <n v="0.49291699999999999"/>
    <n v="0.142404"/>
    <n v="1001"/>
    <n v="6435"/>
    <n v="7436"/>
    <n v="16.165849000000001"/>
    <n v="17.165858"/>
    <n v="49.291699999999999"/>
    <n v="9.541068000000001"/>
    <x v="3"/>
    <x v="1"/>
    <x v="1"/>
    <s v="September"/>
    <s v="Monday"/>
  </r>
  <r>
    <n v="634"/>
    <x v="633"/>
    <n v="4"/>
    <n v="1"/>
    <n v="9"/>
    <n v="0"/>
    <n v="2"/>
    <x v="1"/>
    <x v="1"/>
    <n v="0.55000000000000004"/>
    <n v="0.54417899999999997"/>
    <n v="0.56999999999999995"/>
    <n v="0.236321"/>
    <n v="845"/>
    <n v="6693"/>
    <n v="7538"/>
    <n v="17.850000000000001"/>
    <n v="19.915813999999997"/>
    <n v="56.999999999999993"/>
    <n v="15.833507000000001"/>
    <x v="3"/>
    <x v="1"/>
    <x v="1"/>
    <s v="September"/>
    <s v="Tuesday"/>
  </r>
  <r>
    <n v="635"/>
    <x v="634"/>
    <n v="4"/>
    <n v="1"/>
    <n v="9"/>
    <n v="0"/>
    <n v="3"/>
    <x v="1"/>
    <x v="1"/>
    <n v="0.63500000000000001"/>
    <n v="0.59661299999999995"/>
    <n v="0.63083299999999998"/>
    <n v="0.24440000000000001"/>
    <n v="787"/>
    <n v="6946"/>
    <n v="7733"/>
    <n v="21.844999999999999"/>
    <n v="23.376458"/>
    <n v="63.083299999999994"/>
    <n v="16.3748"/>
    <x v="3"/>
    <x v="1"/>
    <x v="1"/>
    <s v="September"/>
    <s v="Wednesday"/>
  </r>
  <r>
    <n v="636"/>
    <x v="635"/>
    <n v="4"/>
    <n v="1"/>
    <n v="9"/>
    <n v="0"/>
    <n v="4"/>
    <x v="1"/>
    <x v="0"/>
    <n v="0.65"/>
    <n v="0.60797500000000004"/>
    <n v="0.69083300000000003"/>
    <n v="0.13434199999999999"/>
    <n v="751"/>
    <n v="6642"/>
    <n v="7393"/>
    <n v="22.55"/>
    <n v="24.126350000000002"/>
    <n v="69.083300000000008"/>
    <n v="9.0009139999999999"/>
    <x v="3"/>
    <x v="1"/>
    <x v="0"/>
    <s v="September"/>
    <s v="Thursday"/>
  </r>
  <r>
    <n v="637"/>
    <x v="636"/>
    <n v="4"/>
    <n v="1"/>
    <n v="9"/>
    <n v="0"/>
    <n v="5"/>
    <x v="1"/>
    <x v="0"/>
    <n v="0.61916700000000002"/>
    <n v="0.58586300000000002"/>
    <n v="0.69"/>
    <n v="0.16417899999999999"/>
    <n v="1045"/>
    <n v="6370"/>
    <n v="7415"/>
    <n v="21.100849"/>
    <n v="22.666958000000001"/>
    <n v="69"/>
    <n v="10.999993"/>
    <x v="3"/>
    <x v="1"/>
    <x v="0"/>
    <s v="September"/>
    <s v="Friday"/>
  </r>
  <r>
    <n v="638"/>
    <x v="637"/>
    <n v="4"/>
    <n v="1"/>
    <n v="9"/>
    <n v="0"/>
    <n v="6"/>
    <x v="0"/>
    <x v="1"/>
    <n v="0.54249999999999998"/>
    <n v="0.53029599999999999"/>
    <n v="0.54291699999999998"/>
    <n v="0.227604"/>
    <n v="2589"/>
    <n v="5966"/>
    <n v="8555"/>
    <n v="17.497499999999999"/>
    <n v="18.999535999999999"/>
    <n v="54.291699999999999"/>
    <n v="15.249468"/>
    <x v="3"/>
    <x v="1"/>
    <x v="1"/>
    <s v="September"/>
    <s v="Saturday"/>
  </r>
  <r>
    <n v="639"/>
    <x v="638"/>
    <n v="4"/>
    <n v="1"/>
    <n v="9"/>
    <n v="0"/>
    <n v="0"/>
    <x v="0"/>
    <x v="1"/>
    <n v="0.526667"/>
    <n v="0.51766299999999998"/>
    <n v="0.58333299999999999"/>
    <n v="0.13495799999999999"/>
    <n v="2015"/>
    <n v="4874"/>
    <n v="6889"/>
    <n v="16.753349"/>
    <n v="18.165757999999997"/>
    <n v="58.333300000000001"/>
    <n v="9.0421859999999992"/>
    <x v="3"/>
    <x v="1"/>
    <x v="1"/>
    <s v="September"/>
    <s v="Sunday"/>
  </r>
  <r>
    <n v="640"/>
    <x v="639"/>
    <n v="4"/>
    <n v="1"/>
    <n v="10"/>
    <n v="0"/>
    <n v="1"/>
    <x v="1"/>
    <x v="0"/>
    <n v="0.52083299999999999"/>
    <n v="0.51200000000000001"/>
    <n v="0.64916700000000005"/>
    <n v="9.0804200000000002E-2"/>
    <n v="763"/>
    <n v="6015"/>
    <n v="6778"/>
    <n v="16.479150999999998"/>
    <n v="17.792000000000002"/>
    <n v="64.916700000000006"/>
    <n v="6.0838814000000001"/>
    <x v="3"/>
    <x v="1"/>
    <x v="0"/>
    <s v="October"/>
    <s v="Monday"/>
  </r>
  <r>
    <n v="641"/>
    <x v="640"/>
    <n v="4"/>
    <n v="1"/>
    <n v="10"/>
    <n v="0"/>
    <n v="2"/>
    <x v="1"/>
    <x v="2"/>
    <n v="0.59083300000000005"/>
    <n v="0.54233299999999995"/>
    <n v="0.87166699999999997"/>
    <n v="0.104475"/>
    <n v="315"/>
    <n v="4324"/>
    <n v="4639"/>
    <n v="19.769151000000001"/>
    <n v="19.793977999999996"/>
    <n v="87.166699999999992"/>
    <n v="6.9998249999999995"/>
    <x v="3"/>
    <x v="1"/>
    <x v="2"/>
    <s v="October"/>
    <s v="Tuesday"/>
  </r>
  <r>
    <n v="642"/>
    <x v="641"/>
    <n v="4"/>
    <n v="1"/>
    <n v="10"/>
    <n v="0"/>
    <n v="3"/>
    <x v="1"/>
    <x v="0"/>
    <n v="0.65749999999999997"/>
    <n v="0.59913300000000003"/>
    <n v="0.79374999999999996"/>
    <n v="6.6545800000000002E-2"/>
    <n v="728"/>
    <n v="6844"/>
    <n v="7572"/>
    <n v="22.9025"/>
    <n v="23.542777999999998"/>
    <n v="79.375"/>
    <n v="4.4585686000000004"/>
    <x v="3"/>
    <x v="1"/>
    <x v="0"/>
    <s v="October"/>
    <s v="Wednesday"/>
  </r>
  <r>
    <n v="643"/>
    <x v="642"/>
    <n v="4"/>
    <n v="1"/>
    <n v="10"/>
    <n v="0"/>
    <n v="4"/>
    <x v="1"/>
    <x v="0"/>
    <n v="0.65749999999999997"/>
    <n v="0.60797500000000004"/>
    <n v="0.72291700000000003"/>
    <n v="0.117546"/>
    <n v="891"/>
    <n v="6437"/>
    <n v="7328"/>
    <n v="22.9025"/>
    <n v="24.126350000000002"/>
    <n v="72.291700000000006"/>
    <n v="7.8755819999999996"/>
    <x v="3"/>
    <x v="1"/>
    <x v="0"/>
    <s v="October"/>
    <s v="Thursday"/>
  </r>
  <r>
    <n v="644"/>
    <x v="643"/>
    <n v="4"/>
    <n v="1"/>
    <n v="10"/>
    <n v="0"/>
    <n v="5"/>
    <x v="1"/>
    <x v="1"/>
    <n v="0.61499999999999999"/>
    <n v="0.58018700000000001"/>
    <n v="0.62749999999999995"/>
    <n v="0.10635"/>
    <n v="1516"/>
    <n v="6640"/>
    <n v="8156"/>
    <n v="20.905000000000001"/>
    <n v="22.292341999999998"/>
    <n v="62.749999999999993"/>
    <n v="7.1254499999999998"/>
    <x v="3"/>
    <x v="1"/>
    <x v="1"/>
    <s v="October"/>
    <s v="Friday"/>
  </r>
  <r>
    <n v="645"/>
    <x v="644"/>
    <n v="4"/>
    <n v="1"/>
    <n v="10"/>
    <n v="0"/>
    <n v="6"/>
    <x v="0"/>
    <x v="1"/>
    <n v="0.55416699999999997"/>
    <n v="0.53852100000000003"/>
    <n v="0.66416699999999995"/>
    <n v="0.26802500000000001"/>
    <n v="3031"/>
    <n v="4934"/>
    <n v="7965"/>
    <n v="18.045848999999997"/>
    <n v="19.542386"/>
    <n v="66.416699999999992"/>
    <n v="17.957675000000002"/>
    <x v="3"/>
    <x v="1"/>
    <x v="1"/>
    <s v="October"/>
    <s v="Saturday"/>
  </r>
  <r>
    <n v="646"/>
    <x v="645"/>
    <n v="4"/>
    <n v="1"/>
    <n v="10"/>
    <n v="0"/>
    <n v="0"/>
    <x v="0"/>
    <x v="0"/>
    <n v="0.41583300000000001"/>
    <n v="0.41981299999999999"/>
    <n v="0.70833299999999999"/>
    <n v="0.14116200000000001"/>
    <n v="781"/>
    <n v="2729"/>
    <n v="3510"/>
    <n v="11.544150999999999"/>
    <n v="11.707657999999999"/>
    <n v="70.833299999999994"/>
    <n v="9.4578540000000011"/>
    <x v="3"/>
    <x v="1"/>
    <x v="0"/>
    <s v="October"/>
    <s v="Sunday"/>
  </r>
  <r>
    <n v="647"/>
    <x v="646"/>
    <n v="4"/>
    <n v="1"/>
    <n v="10"/>
    <n v="1"/>
    <n v="1"/>
    <x v="0"/>
    <x v="0"/>
    <n v="0.38333299999999998"/>
    <n v="0.38760800000000001"/>
    <n v="0.70958299999999996"/>
    <n v="0.18967899999999999"/>
    <n v="874"/>
    <n v="4604"/>
    <n v="5478"/>
    <n v="10.016651"/>
    <n v="9.5821280000000009"/>
    <n v="70.958299999999994"/>
    <n v="12.708492999999999"/>
    <x v="3"/>
    <x v="1"/>
    <x v="0"/>
    <s v="October"/>
    <s v="Monday"/>
  </r>
  <r>
    <n v="648"/>
    <x v="647"/>
    <n v="4"/>
    <n v="1"/>
    <n v="10"/>
    <n v="0"/>
    <n v="2"/>
    <x v="1"/>
    <x v="0"/>
    <n v="0.44666699999999998"/>
    <n v="0.438112"/>
    <n v="0.76166699999999998"/>
    <n v="0.1903"/>
    <n v="601"/>
    <n v="5791"/>
    <n v="6392"/>
    <n v="12.993348999999998"/>
    <n v="12.915392000000001"/>
    <n v="76.166699999999992"/>
    <n v="12.7501"/>
    <x v="3"/>
    <x v="1"/>
    <x v="0"/>
    <s v="October"/>
    <s v="Tuesday"/>
  </r>
  <r>
    <n v="649"/>
    <x v="648"/>
    <n v="4"/>
    <n v="1"/>
    <n v="10"/>
    <n v="0"/>
    <n v="3"/>
    <x v="1"/>
    <x v="1"/>
    <n v="0.51416700000000004"/>
    <n v="0.50314199999999998"/>
    <n v="0.63083299999999998"/>
    <n v="0.18782099999999999"/>
    <n v="780"/>
    <n v="6911"/>
    <n v="7691"/>
    <n v="16.165849000000001"/>
    <n v="17.207371999999999"/>
    <n v="63.083299999999994"/>
    <n v="12.584007"/>
    <x v="3"/>
    <x v="1"/>
    <x v="1"/>
    <s v="October"/>
    <s v="Wednesday"/>
  </r>
  <r>
    <n v="650"/>
    <x v="649"/>
    <n v="4"/>
    <n v="1"/>
    <n v="10"/>
    <n v="0"/>
    <n v="4"/>
    <x v="1"/>
    <x v="1"/>
    <n v="0.435"/>
    <n v="0.43116700000000002"/>
    <n v="0.46333299999999999"/>
    <n v="0.18159600000000001"/>
    <n v="834"/>
    <n v="6736"/>
    <n v="7570"/>
    <n v="12.445"/>
    <n v="12.457022000000002"/>
    <n v="46.333300000000001"/>
    <n v="12.166932000000001"/>
    <x v="3"/>
    <x v="1"/>
    <x v="1"/>
    <s v="October"/>
    <s v="Thursday"/>
  </r>
  <r>
    <n v="651"/>
    <x v="650"/>
    <n v="4"/>
    <n v="1"/>
    <n v="10"/>
    <n v="0"/>
    <n v="5"/>
    <x v="1"/>
    <x v="1"/>
    <n v="0.4375"/>
    <n v="0.43307099999999998"/>
    <n v="0.53916699999999995"/>
    <n v="0.235092"/>
    <n v="1060"/>
    <n v="6222"/>
    <n v="7282"/>
    <n v="12.5625"/>
    <n v="12.582685999999999"/>
    <n v="53.916699999999992"/>
    <n v="15.751163999999999"/>
    <x v="3"/>
    <x v="1"/>
    <x v="1"/>
    <s v="October"/>
    <s v="Friday"/>
  </r>
  <r>
    <n v="652"/>
    <x v="651"/>
    <n v="4"/>
    <n v="1"/>
    <n v="10"/>
    <n v="0"/>
    <n v="6"/>
    <x v="0"/>
    <x v="1"/>
    <n v="0.39333299999999999"/>
    <n v="0.39139600000000002"/>
    <n v="0.49458299999999999"/>
    <n v="0.14614199999999999"/>
    <n v="2252"/>
    <n v="4857"/>
    <n v="7109"/>
    <n v="10.486650999999998"/>
    <n v="9.832136000000002"/>
    <n v="49.458300000000001"/>
    <n v="9.7915139999999994"/>
    <x v="3"/>
    <x v="1"/>
    <x v="1"/>
    <s v="October"/>
    <s v="Saturday"/>
  </r>
  <r>
    <n v="653"/>
    <x v="652"/>
    <n v="4"/>
    <n v="1"/>
    <n v="10"/>
    <n v="0"/>
    <n v="0"/>
    <x v="0"/>
    <x v="1"/>
    <n v="0.52166699999999999"/>
    <n v="0.50820399999999999"/>
    <n v="0.64041700000000001"/>
    <n v="0.27861200000000003"/>
    <n v="2080"/>
    <n v="4559"/>
    <n v="6639"/>
    <n v="16.518349000000001"/>
    <n v="17.541463999999998"/>
    <n v="64.041700000000006"/>
    <n v="18.667004000000002"/>
    <x v="3"/>
    <x v="1"/>
    <x v="1"/>
    <s v="October"/>
    <s v="Sunday"/>
  </r>
  <r>
    <n v="654"/>
    <x v="653"/>
    <n v="4"/>
    <n v="1"/>
    <n v="10"/>
    <n v="0"/>
    <n v="1"/>
    <x v="1"/>
    <x v="0"/>
    <n v="0.56166700000000003"/>
    <n v="0.53915000000000002"/>
    <n v="0.70750000000000002"/>
    <n v="0.29603699999999999"/>
    <n v="760"/>
    <n v="5115"/>
    <n v="5875"/>
    <n v="18.398349"/>
    <n v="19.5839"/>
    <n v="70.75"/>
    <n v="19.834478999999998"/>
    <x v="3"/>
    <x v="1"/>
    <x v="0"/>
    <s v="October"/>
    <s v="Monday"/>
  </r>
  <r>
    <n v="655"/>
    <x v="654"/>
    <n v="4"/>
    <n v="1"/>
    <n v="10"/>
    <n v="0"/>
    <n v="2"/>
    <x v="1"/>
    <x v="1"/>
    <n v="0.468333"/>
    <n v="0.46084599999999998"/>
    <n v="0.55833299999999997"/>
    <n v="0.18222099999999999"/>
    <n v="922"/>
    <n v="6612"/>
    <n v="7534"/>
    <n v="14.011651000000001"/>
    <n v="14.415835999999999"/>
    <n v="55.833299999999994"/>
    <n v="12.208807"/>
    <x v="3"/>
    <x v="1"/>
    <x v="1"/>
    <s v="October"/>
    <s v="Tuesday"/>
  </r>
  <r>
    <n v="656"/>
    <x v="655"/>
    <n v="4"/>
    <n v="1"/>
    <n v="10"/>
    <n v="0"/>
    <n v="3"/>
    <x v="1"/>
    <x v="1"/>
    <n v="0.45583299999999999"/>
    <n v="0.45010800000000001"/>
    <n v="0.69291700000000001"/>
    <n v="0.101371"/>
    <n v="979"/>
    <n v="6482"/>
    <n v="7461"/>
    <n v="13.424150999999998"/>
    <n v="13.707128000000001"/>
    <n v="69.291700000000006"/>
    <n v="6.7918570000000003"/>
    <x v="3"/>
    <x v="1"/>
    <x v="1"/>
    <s v="October"/>
    <s v="Wednesday"/>
  </r>
  <r>
    <n v="657"/>
    <x v="656"/>
    <n v="4"/>
    <n v="1"/>
    <n v="10"/>
    <n v="0"/>
    <n v="4"/>
    <x v="1"/>
    <x v="0"/>
    <n v="0.52249999999999996"/>
    <n v="0.512625"/>
    <n v="0.72833300000000001"/>
    <n v="0.23693700000000001"/>
    <n v="1008"/>
    <n v="6501"/>
    <n v="7509"/>
    <n v="16.557499999999997"/>
    <n v="17.83325"/>
    <n v="72.833299999999994"/>
    <n v="15.874779"/>
    <x v="3"/>
    <x v="1"/>
    <x v="0"/>
    <s v="October"/>
    <s v="Thursday"/>
  </r>
  <r>
    <n v="658"/>
    <x v="657"/>
    <n v="4"/>
    <n v="1"/>
    <n v="10"/>
    <n v="0"/>
    <n v="5"/>
    <x v="1"/>
    <x v="0"/>
    <n v="0.56333299999999997"/>
    <n v="0.53789600000000004"/>
    <n v="0.81499999999999995"/>
    <n v="0.13495399999999999"/>
    <n v="753"/>
    <n v="4671"/>
    <n v="5424"/>
    <n v="18.476651"/>
    <n v="19.501136000000002"/>
    <n v="81.5"/>
    <n v="9.041917999999999"/>
    <x v="3"/>
    <x v="1"/>
    <x v="0"/>
    <s v="October"/>
    <s v="Friday"/>
  </r>
  <r>
    <n v="659"/>
    <x v="658"/>
    <n v="4"/>
    <n v="1"/>
    <n v="10"/>
    <n v="0"/>
    <n v="6"/>
    <x v="0"/>
    <x v="1"/>
    <n v="0.48416700000000001"/>
    <n v="0.47284199999999998"/>
    <n v="0.57291700000000001"/>
    <n v="0.117537"/>
    <n v="2806"/>
    <n v="5284"/>
    <n v="8090"/>
    <n v="14.755849000000001"/>
    <n v="15.207571999999999"/>
    <n v="57.291699999999999"/>
    <n v="7.8749789999999997"/>
    <x v="3"/>
    <x v="1"/>
    <x v="1"/>
    <s v="October"/>
    <s v="Saturday"/>
  </r>
  <r>
    <n v="660"/>
    <x v="659"/>
    <n v="4"/>
    <n v="1"/>
    <n v="10"/>
    <n v="0"/>
    <n v="0"/>
    <x v="0"/>
    <x v="1"/>
    <n v="0.464167"/>
    <n v="0.45642899999999997"/>
    <n v="0.51"/>
    <n v="0.16605400000000001"/>
    <n v="2132"/>
    <n v="4692"/>
    <n v="6824"/>
    <n v="13.815849"/>
    <n v="14.124313999999998"/>
    <n v="51"/>
    <n v="11.125618000000001"/>
    <x v="3"/>
    <x v="1"/>
    <x v="1"/>
    <s v="October"/>
    <s v="Sunday"/>
  </r>
  <r>
    <n v="661"/>
    <x v="660"/>
    <n v="4"/>
    <n v="1"/>
    <n v="10"/>
    <n v="0"/>
    <n v="1"/>
    <x v="1"/>
    <x v="1"/>
    <n v="0.48749999999999999"/>
    <n v="0.48294199999999998"/>
    <n v="0.56833299999999998"/>
    <n v="8.1483299999999995E-2"/>
    <n v="830"/>
    <n v="6228"/>
    <n v="7058"/>
    <n v="14.912499999999998"/>
    <n v="15.874171999999998"/>
    <n v="56.833299999999994"/>
    <n v="5.4593810999999999"/>
    <x v="3"/>
    <x v="1"/>
    <x v="1"/>
    <s v="October"/>
    <s v="Monday"/>
  </r>
  <r>
    <n v="662"/>
    <x v="661"/>
    <n v="4"/>
    <n v="1"/>
    <n v="10"/>
    <n v="0"/>
    <n v="2"/>
    <x v="1"/>
    <x v="1"/>
    <n v="0.54416699999999996"/>
    <n v="0.530304"/>
    <n v="0.64166699999999999"/>
    <n v="9.4545799999999999E-2"/>
    <n v="841"/>
    <n v="6625"/>
    <n v="7466"/>
    <n v="17.575848999999998"/>
    <n v="19.000064000000002"/>
    <n v="64.166699999999992"/>
    <n v="6.3345685999999999"/>
    <x v="3"/>
    <x v="1"/>
    <x v="1"/>
    <s v="October"/>
    <s v="Tuesday"/>
  </r>
  <r>
    <n v="663"/>
    <x v="662"/>
    <n v="4"/>
    <n v="1"/>
    <n v="10"/>
    <n v="0"/>
    <n v="3"/>
    <x v="1"/>
    <x v="1"/>
    <n v="0.58750000000000002"/>
    <n v="0.55872100000000002"/>
    <n v="0.63624999999999998"/>
    <n v="7.2779200000000002E-2"/>
    <n v="795"/>
    <n v="6898"/>
    <n v="7693"/>
    <n v="19.612500000000001"/>
    <n v="20.875585999999998"/>
    <n v="63.625"/>
    <n v="4.8762064000000001"/>
    <x v="3"/>
    <x v="1"/>
    <x v="1"/>
    <s v="October"/>
    <s v="Wednesday"/>
  </r>
  <r>
    <n v="664"/>
    <x v="663"/>
    <n v="4"/>
    <n v="1"/>
    <n v="10"/>
    <n v="0"/>
    <n v="4"/>
    <x v="1"/>
    <x v="0"/>
    <n v="0.55000000000000004"/>
    <n v="0.52968800000000005"/>
    <n v="0.80041700000000005"/>
    <n v="0.124375"/>
    <n v="875"/>
    <n v="6484"/>
    <n v="7359"/>
    <n v="17.850000000000001"/>
    <n v="18.959408000000003"/>
    <n v="80.041700000000006"/>
    <n v="8.3331250000000008"/>
    <x v="3"/>
    <x v="1"/>
    <x v="0"/>
    <s v="October"/>
    <s v="Thursday"/>
  </r>
  <r>
    <n v="665"/>
    <x v="664"/>
    <n v="4"/>
    <n v="1"/>
    <n v="10"/>
    <n v="0"/>
    <n v="5"/>
    <x v="1"/>
    <x v="0"/>
    <n v="0.54583300000000001"/>
    <n v="0.52275000000000005"/>
    <n v="0.80708299999999999"/>
    <n v="0.132467"/>
    <n v="1182"/>
    <n v="6262"/>
    <n v="7444"/>
    <n v="17.654150999999999"/>
    <n v="18.5015"/>
    <n v="80.708299999999994"/>
    <n v="8.8752890000000004"/>
    <x v="3"/>
    <x v="1"/>
    <x v="0"/>
    <s v="October"/>
    <s v="Friday"/>
  </r>
  <r>
    <n v="666"/>
    <x v="665"/>
    <n v="4"/>
    <n v="1"/>
    <n v="10"/>
    <n v="0"/>
    <n v="6"/>
    <x v="0"/>
    <x v="0"/>
    <n v="0.53"/>
    <n v="0.51513299999999995"/>
    <n v="0.72"/>
    <n v="0.23569200000000001"/>
    <n v="2643"/>
    <n v="5209"/>
    <n v="7852"/>
    <n v="16.91"/>
    <n v="17.998777999999994"/>
    <n v="72"/>
    <n v="15.791364000000002"/>
    <x v="3"/>
    <x v="1"/>
    <x v="0"/>
    <s v="October"/>
    <s v="Saturday"/>
  </r>
  <r>
    <n v="667"/>
    <x v="666"/>
    <n v="4"/>
    <n v="1"/>
    <n v="10"/>
    <n v="0"/>
    <n v="0"/>
    <x v="0"/>
    <x v="0"/>
    <n v="0.47749999999999998"/>
    <n v="0.46777099999999999"/>
    <n v="0.69458299999999995"/>
    <n v="0.39800799999999997"/>
    <n v="998"/>
    <n v="3461"/>
    <n v="4459"/>
    <n v="14.442499999999999"/>
    <n v="14.872886000000001"/>
    <n v="69.458299999999994"/>
    <n v="26.666535999999997"/>
    <x v="3"/>
    <x v="1"/>
    <x v="0"/>
    <s v="October"/>
    <s v="Sunday"/>
  </r>
  <r>
    <n v="668"/>
    <x v="667"/>
    <n v="4"/>
    <n v="1"/>
    <n v="10"/>
    <n v="0"/>
    <n v="1"/>
    <x v="1"/>
    <x v="2"/>
    <n v="0.44"/>
    <n v="0.43940000000000001"/>
    <n v="0.88"/>
    <n v="0.35820000000000002"/>
    <n v="2"/>
    <n v="20"/>
    <n v="22"/>
    <n v="12.68"/>
    <n v="13.000399999999999"/>
    <n v="88"/>
    <n v="23.999400000000001"/>
    <x v="3"/>
    <x v="1"/>
    <x v="2"/>
    <s v="October"/>
    <s v="Monday"/>
  </r>
  <r>
    <n v="669"/>
    <x v="668"/>
    <n v="4"/>
    <n v="1"/>
    <n v="10"/>
    <n v="0"/>
    <n v="2"/>
    <x v="1"/>
    <x v="0"/>
    <n v="0.31818200000000002"/>
    <n v="0.30990899999999999"/>
    <n v="0.82545500000000005"/>
    <n v="0.213009"/>
    <n v="87"/>
    <n v="1009"/>
    <n v="1096"/>
    <n v="6.9545540000000017"/>
    <n v="4.453993999999998"/>
    <n v="82.545500000000004"/>
    <n v="14.271603000000001"/>
    <x v="3"/>
    <x v="1"/>
    <x v="0"/>
    <s v="October"/>
    <s v="Tuesday"/>
  </r>
  <r>
    <n v="670"/>
    <x v="669"/>
    <n v="4"/>
    <n v="1"/>
    <n v="10"/>
    <n v="0"/>
    <n v="3"/>
    <x v="1"/>
    <x v="0"/>
    <n v="0.35749999999999998"/>
    <n v="0.36109999999999998"/>
    <n v="0.66666700000000001"/>
    <n v="0.16666700000000001"/>
    <n v="419"/>
    <n v="5147"/>
    <n v="5566"/>
    <n v="8.8024999999999984"/>
    <n v="7.8325999999999993"/>
    <n v="66.666700000000006"/>
    <n v="11.166689"/>
    <x v="3"/>
    <x v="1"/>
    <x v="0"/>
    <s v="October"/>
    <s v="Wednesday"/>
  </r>
  <r>
    <n v="671"/>
    <x v="670"/>
    <n v="4"/>
    <n v="1"/>
    <n v="11"/>
    <n v="0"/>
    <n v="4"/>
    <x v="1"/>
    <x v="0"/>
    <n v="0.36583300000000002"/>
    <n v="0.36994199999999999"/>
    <n v="0.58166700000000005"/>
    <n v="0.15734600000000001"/>
    <n v="466"/>
    <n v="5520"/>
    <n v="5986"/>
    <n v="9.1941510000000015"/>
    <n v="8.4161719999999995"/>
    <n v="58.166700000000006"/>
    <n v="10.542182"/>
    <x v="3"/>
    <x v="1"/>
    <x v="0"/>
    <s v="November"/>
    <s v="Thursday"/>
  </r>
  <r>
    <n v="672"/>
    <x v="671"/>
    <n v="4"/>
    <n v="1"/>
    <n v="11"/>
    <n v="0"/>
    <n v="5"/>
    <x v="1"/>
    <x v="1"/>
    <n v="0.35499999999999998"/>
    <n v="0.35604200000000003"/>
    <n v="0.52208299999999996"/>
    <n v="0.26617499999999999"/>
    <n v="618"/>
    <n v="5229"/>
    <n v="5847"/>
    <n v="8.6849999999999987"/>
    <n v="7.4987720000000024"/>
    <n v="52.208299999999994"/>
    <n v="17.833725000000001"/>
    <x v="3"/>
    <x v="1"/>
    <x v="1"/>
    <s v="November"/>
    <s v="Friday"/>
  </r>
  <r>
    <n v="673"/>
    <x v="672"/>
    <n v="4"/>
    <n v="1"/>
    <n v="11"/>
    <n v="0"/>
    <n v="6"/>
    <x v="0"/>
    <x v="0"/>
    <n v="0.343333"/>
    <n v="0.32384600000000002"/>
    <n v="0.49125000000000002"/>
    <n v="0.27052900000000002"/>
    <n v="1029"/>
    <n v="4109"/>
    <n v="5138"/>
    <n v="8.1366510000000005"/>
    <n v="5.3738360000000007"/>
    <n v="49.125"/>
    <n v="18.125443000000001"/>
    <x v="3"/>
    <x v="1"/>
    <x v="0"/>
    <s v="November"/>
    <s v="Saturday"/>
  </r>
  <r>
    <n v="674"/>
    <x v="673"/>
    <n v="4"/>
    <n v="1"/>
    <n v="11"/>
    <n v="0"/>
    <n v="0"/>
    <x v="0"/>
    <x v="1"/>
    <n v="0.32583299999999998"/>
    <n v="0.329538"/>
    <n v="0.53291699999999997"/>
    <n v="0.17910799999999999"/>
    <n v="1201"/>
    <n v="3906"/>
    <n v="5107"/>
    <n v="7.314150999999999"/>
    <n v="5.7495079999999987"/>
    <n v="53.291699999999999"/>
    <n v="12.000235999999999"/>
    <x v="3"/>
    <x v="1"/>
    <x v="1"/>
    <s v="November"/>
    <s v="Sunday"/>
  </r>
  <r>
    <n v="675"/>
    <x v="674"/>
    <n v="4"/>
    <n v="1"/>
    <n v="11"/>
    <n v="0"/>
    <n v="1"/>
    <x v="1"/>
    <x v="1"/>
    <n v="0.31916699999999998"/>
    <n v="0.30807499999999999"/>
    <n v="0.49416700000000002"/>
    <n v="0.23632500000000001"/>
    <n v="378"/>
    <n v="4881"/>
    <n v="5259"/>
    <n v="7.0008489999999988"/>
    <n v="4.3329500000000003"/>
    <n v="49.416700000000006"/>
    <n v="15.833775000000001"/>
    <x v="3"/>
    <x v="1"/>
    <x v="1"/>
    <s v="November"/>
    <s v="Monday"/>
  </r>
  <r>
    <n v="676"/>
    <x v="675"/>
    <n v="4"/>
    <n v="1"/>
    <n v="11"/>
    <n v="0"/>
    <n v="2"/>
    <x v="1"/>
    <x v="1"/>
    <n v="0.280833"/>
    <n v="0.28156700000000001"/>
    <n v="0.567083"/>
    <n v="0.173513"/>
    <n v="466"/>
    <n v="5220"/>
    <n v="5686"/>
    <n v="5.1991510000000005"/>
    <n v="2.5834220000000023"/>
    <n v="56.708300000000001"/>
    <n v="11.625370999999999"/>
    <x v="3"/>
    <x v="1"/>
    <x v="1"/>
    <s v="November"/>
    <s v="Tuesday"/>
  </r>
  <r>
    <n v="677"/>
    <x v="676"/>
    <n v="4"/>
    <n v="1"/>
    <n v="11"/>
    <n v="0"/>
    <n v="3"/>
    <x v="1"/>
    <x v="0"/>
    <n v="0.29583300000000001"/>
    <n v="0.274621"/>
    <n v="0.54749999999999999"/>
    <n v="0.30410799999999999"/>
    <n v="326"/>
    <n v="4709"/>
    <n v="5035"/>
    <n v="5.9041510000000006"/>
    <n v="2.1249859999999998"/>
    <n v="54.75"/>
    <n v="20.375236000000001"/>
    <x v="3"/>
    <x v="1"/>
    <x v="0"/>
    <s v="November"/>
    <s v="Wednesday"/>
  </r>
  <r>
    <n v="678"/>
    <x v="677"/>
    <n v="4"/>
    <n v="1"/>
    <n v="11"/>
    <n v="0"/>
    <n v="4"/>
    <x v="1"/>
    <x v="1"/>
    <n v="0.35217399999999999"/>
    <n v="0.341891"/>
    <n v="0.333478"/>
    <n v="0.34783500000000001"/>
    <n v="340"/>
    <n v="4975"/>
    <n v="5315"/>
    <n v="8.5521779999999978"/>
    <n v="6.5648060000000008"/>
    <n v="33.347799999999999"/>
    <n v="23.304945"/>
    <x v="3"/>
    <x v="1"/>
    <x v="1"/>
    <s v="November"/>
    <s v="Thursday"/>
  </r>
  <r>
    <n v="679"/>
    <x v="678"/>
    <n v="4"/>
    <n v="1"/>
    <n v="11"/>
    <n v="0"/>
    <n v="5"/>
    <x v="1"/>
    <x v="1"/>
    <n v="0.36166700000000002"/>
    <n v="0.35541299999999998"/>
    <n v="0.54083300000000001"/>
    <n v="0.214558"/>
    <n v="709"/>
    <n v="5283"/>
    <n v="5992"/>
    <n v="8.998349000000001"/>
    <n v="7.4572579999999995"/>
    <n v="54.083300000000001"/>
    <n v="14.375386000000001"/>
    <x v="3"/>
    <x v="1"/>
    <x v="1"/>
    <s v="November"/>
    <s v="Friday"/>
  </r>
  <r>
    <n v="680"/>
    <x v="679"/>
    <n v="4"/>
    <n v="1"/>
    <n v="11"/>
    <n v="0"/>
    <n v="6"/>
    <x v="0"/>
    <x v="1"/>
    <n v="0.38916699999999999"/>
    <n v="0.39393699999999998"/>
    <n v="0.64541700000000002"/>
    <n v="5.7845800000000003E-2"/>
    <n v="2090"/>
    <n v="4446"/>
    <n v="6536"/>
    <n v="10.290848999999998"/>
    <n v="9.9998419999999975"/>
    <n v="64.541700000000006"/>
    <n v="3.8756686"/>
    <x v="3"/>
    <x v="1"/>
    <x v="1"/>
    <s v="November"/>
    <s v="Saturday"/>
  </r>
  <r>
    <n v="681"/>
    <x v="680"/>
    <n v="4"/>
    <n v="1"/>
    <n v="11"/>
    <n v="0"/>
    <n v="0"/>
    <x v="0"/>
    <x v="1"/>
    <n v="0.42083300000000001"/>
    <n v="0.421713"/>
    <n v="0.65916699999999995"/>
    <n v="0.1275"/>
    <n v="2290"/>
    <n v="4562"/>
    <n v="6852"/>
    <n v="11.779150999999999"/>
    <n v="11.833058000000001"/>
    <n v="65.916699999999992"/>
    <n v="8.5425000000000004"/>
    <x v="3"/>
    <x v="1"/>
    <x v="1"/>
    <s v="November"/>
    <s v="Sunday"/>
  </r>
  <r>
    <n v="682"/>
    <x v="681"/>
    <n v="4"/>
    <n v="1"/>
    <n v="11"/>
    <n v="1"/>
    <n v="1"/>
    <x v="0"/>
    <x v="1"/>
    <n v="0.48499999999999999"/>
    <n v="0.475383"/>
    <n v="0.74166699999999997"/>
    <n v="0.173517"/>
    <n v="1097"/>
    <n v="5172"/>
    <n v="6269"/>
    <n v="14.794999999999998"/>
    <n v="15.375278000000002"/>
    <n v="74.166699999999992"/>
    <n v="11.625639"/>
    <x v="3"/>
    <x v="1"/>
    <x v="1"/>
    <s v="November"/>
    <s v="Monday"/>
  </r>
  <r>
    <n v="683"/>
    <x v="682"/>
    <n v="4"/>
    <n v="1"/>
    <n v="11"/>
    <n v="0"/>
    <n v="2"/>
    <x v="1"/>
    <x v="0"/>
    <n v="0.343333"/>
    <n v="0.32322499999999998"/>
    <n v="0.66291699999999998"/>
    <n v="0.34204600000000002"/>
    <n v="327"/>
    <n v="3767"/>
    <n v="4094"/>
    <n v="8.1366510000000005"/>
    <n v="5.3328500000000005"/>
    <n v="66.291699999999992"/>
    <n v="22.917082000000001"/>
    <x v="3"/>
    <x v="1"/>
    <x v="0"/>
    <s v="November"/>
    <s v="Tuesday"/>
  </r>
  <r>
    <n v="684"/>
    <x v="683"/>
    <n v="4"/>
    <n v="1"/>
    <n v="11"/>
    <n v="0"/>
    <n v="3"/>
    <x v="1"/>
    <x v="1"/>
    <n v="0.28916700000000001"/>
    <n v="0.28156300000000001"/>
    <n v="0.55208299999999999"/>
    <n v="0.199625"/>
    <n v="373"/>
    <n v="5122"/>
    <n v="5495"/>
    <n v="5.5908490000000004"/>
    <n v="2.583158000000001"/>
    <n v="55.208300000000001"/>
    <n v="13.374874999999999"/>
    <x v="3"/>
    <x v="1"/>
    <x v="1"/>
    <s v="November"/>
    <s v="Wednesday"/>
  </r>
  <r>
    <n v="685"/>
    <x v="684"/>
    <n v="4"/>
    <n v="1"/>
    <n v="11"/>
    <n v="0"/>
    <n v="4"/>
    <x v="1"/>
    <x v="0"/>
    <n v="0.32166699999999998"/>
    <n v="0.324492"/>
    <n v="0.620417"/>
    <n v="0.15298700000000001"/>
    <n v="320"/>
    <n v="5125"/>
    <n v="5445"/>
    <n v="7.1183489999999985"/>
    <n v="5.4164719999999988"/>
    <n v="62.041699999999999"/>
    <n v="10.250129000000001"/>
    <x v="3"/>
    <x v="1"/>
    <x v="0"/>
    <s v="November"/>
    <s v="Thursday"/>
  </r>
  <r>
    <n v="686"/>
    <x v="685"/>
    <n v="4"/>
    <n v="1"/>
    <n v="11"/>
    <n v="0"/>
    <n v="5"/>
    <x v="1"/>
    <x v="1"/>
    <n v="0.34499999999999997"/>
    <n v="0.34720400000000001"/>
    <n v="0.52458300000000002"/>
    <n v="0.17102500000000001"/>
    <n v="484"/>
    <n v="5214"/>
    <n v="5698"/>
    <n v="8.2149999999999999"/>
    <n v="6.9154640000000001"/>
    <n v="52.458300000000001"/>
    <n v="11.458675000000001"/>
    <x v="3"/>
    <x v="1"/>
    <x v="1"/>
    <s v="November"/>
    <s v="Friday"/>
  </r>
  <r>
    <n v="687"/>
    <x v="686"/>
    <n v="4"/>
    <n v="1"/>
    <n v="11"/>
    <n v="0"/>
    <n v="6"/>
    <x v="0"/>
    <x v="1"/>
    <n v="0.32500000000000001"/>
    <n v="0.32638299999999998"/>
    <n v="0.54541700000000004"/>
    <n v="0.179729"/>
    <n v="1313"/>
    <n v="4316"/>
    <n v="5629"/>
    <n v="7.2750000000000004"/>
    <n v="5.5412779999999984"/>
    <n v="54.541700000000006"/>
    <n v="12.041843"/>
    <x v="3"/>
    <x v="1"/>
    <x v="1"/>
    <s v="November"/>
    <s v="Saturday"/>
  </r>
  <r>
    <n v="688"/>
    <x v="687"/>
    <n v="4"/>
    <n v="1"/>
    <n v="11"/>
    <n v="0"/>
    <n v="0"/>
    <x v="0"/>
    <x v="1"/>
    <n v="0.34250000000000003"/>
    <n v="0.33774599999999999"/>
    <n v="0.69291700000000001"/>
    <n v="0.22761200000000001"/>
    <n v="922"/>
    <n v="3747"/>
    <n v="4669"/>
    <n v="8.0975000000000001"/>
    <n v="6.2912359999999978"/>
    <n v="69.291700000000006"/>
    <n v="15.250004000000001"/>
    <x v="3"/>
    <x v="1"/>
    <x v="1"/>
    <s v="November"/>
    <s v="Sunday"/>
  </r>
  <r>
    <n v="689"/>
    <x v="688"/>
    <n v="4"/>
    <n v="1"/>
    <n v="11"/>
    <n v="0"/>
    <n v="1"/>
    <x v="1"/>
    <x v="0"/>
    <n v="0.38083299999999998"/>
    <n v="0.37562099999999998"/>
    <n v="0.62333300000000003"/>
    <n v="0.235067"/>
    <n v="449"/>
    <n v="5050"/>
    <n v="5499"/>
    <n v="9.8991509999999998"/>
    <n v="8.7909860000000002"/>
    <n v="62.333300000000001"/>
    <n v="15.749489000000001"/>
    <x v="3"/>
    <x v="1"/>
    <x v="0"/>
    <s v="November"/>
    <s v="Monday"/>
  </r>
  <r>
    <n v="690"/>
    <x v="689"/>
    <n v="4"/>
    <n v="1"/>
    <n v="11"/>
    <n v="0"/>
    <n v="2"/>
    <x v="1"/>
    <x v="0"/>
    <n v="0.37416700000000003"/>
    <n v="0.38066699999999998"/>
    <n v="0.68500000000000005"/>
    <n v="8.2725000000000007E-2"/>
    <n v="534"/>
    <n v="5100"/>
    <n v="5634"/>
    <n v="9.5858489999999996"/>
    <n v="9.1240220000000001"/>
    <n v="68.5"/>
    <n v="5.5425750000000003"/>
    <x v="3"/>
    <x v="1"/>
    <x v="0"/>
    <s v="November"/>
    <s v="Tuesday"/>
  </r>
  <r>
    <n v="691"/>
    <x v="690"/>
    <n v="4"/>
    <n v="1"/>
    <n v="11"/>
    <n v="0"/>
    <n v="3"/>
    <x v="1"/>
    <x v="1"/>
    <n v="0.35333300000000001"/>
    <n v="0.36489199999999999"/>
    <n v="0.61375000000000002"/>
    <n v="0.103246"/>
    <n v="615"/>
    <n v="4531"/>
    <n v="5146"/>
    <n v="8.6066509999999994"/>
    <n v="8.0828719999999983"/>
    <n v="61.375"/>
    <n v="6.9174820000000006"/>
    <x v="3"/>
    <x v="1"/>
    <x v="1"/>
    <s v="November"/>
    <s v="Wednesday"/>
  </r>
  <r>
    <n v="692"/>
    <x v="691"/>
    <n v="4"/>
    <n v="1"/>
    <n v="11"/>
    <n v="1"/>
    <n v="4"/>
    <x v="0"/>
    <x v="1"/>
    <n v="0.34"/>
    <n v="0.35037099999999999"/>
    <n v="0.58041699999999996"/>
    <n v="5.2870800000000003E-2"/>
    <n v="955"/>
    <n v="1470"/>
    <n v="2425"/>
    <n v="7.98"/>
    <n v="7.1244859999999974"/>
    <n v="58.041699999999999"/>
    <n v="3.5423436000000001"/>
    <x v="3"/>
    <x v="1"/>
    <x v="1"/>
    <s v="November"/>
    <s v="Thursday"/>
  </r>
  <r>
    <n v="693"/>
    <x v="692"/>
    <n v="4"/>
    <n v="1"/>
    <n v="11"/>
    <n v="0"/>
    <n v="5"/>
    <x v="1"/>
    <x v="1"/>
    <n v="0.36833300000000002"/>
    <n v="0.37877899999999998"/>
    <n v="0.56874999999999998"/>
    <n v="0.14802100000000001"/>
    <n v="1603"/>
    <n v="2307"/>
    <n v="3910"/>
    <n v="9.3116510000000012"/>
    <n v="8.999413999999998"/>
    <n v="56.875"/>
    <n v="9.9174070000000007"/>
    <x v="3"/>
    <x v="1"/>
    <x v="1"/>
    <s v="November"/>
    <s v="Friday"/>
  </r>
  <r>
    <n v="694"/>
    <x v="693"/>
    <n v="4"/>
    <n v="1"/>
    <n v="11"/>
    <n v="0"/>
    <n v="6"/>
    <x v="0"/>
    <x v="1"/>
    <n v="0.278333"/>
    <n v="0.24874199999999999"/>
    <n v="0.40458300000000003"/>
    <n v="0.37687100000000001"/>
    <n v="532"/>
    <n v="1745"/>
    <n v="2277"/>
    <n v="5.081650999999999"/>
    <n v="0.41697199999999768"/>
    <n v="40.458300000000001"/>
    <n v="25.250357000000001"/>
    <x v="3"/>
    <x v="1"/>
    <x v="1"/>
    <s v="November"/>
    <s v="Saturday"/>
  </r>
  <r>
    <n v="695"/>
    <x v="694"/>
    <n v="4"/>
    <n v="1"/>
    <n v="11"/>
    <n v="0"/>
    <n v="0"/>
    <x v="0"/>
    <x v="1"/>
    <n v="0.245833"/>
    <n v="0.25758300000000001"/>
    <n v="0.468333"/>
    <n v="0.15049999999999999"/>
    <n v="309"/>
    <n v="2115"/>
    <n v="2424"/>
    <n v="3.5541509999999992"/>
    <n v="1.0004780000000011"/>
    <n v="46.833300000000001"/>
    <n v="10.083499999999999"/>
    <x v="3"/>
    <x v="1"/>
    <x v="1"/>
    <s v="November"/>
    <s v="Sunday"/>
  </r>
  <r>
    <n v="696"/>
    <x v="695"/>
    <n v="4"/>
    <n v="1"/>
    <n v="11"/>
    <n v="0"/>
    <n v="1"/>
    <x v="1"/>
    <x v="1"/>
    <n v="0.31333299999999997"/>
    <n v="0.33900400000000003"/>
    <n v="0.53541700000000003"/>
    <n v="4.6649999999999997E-2"/>
    <n v="337"/>
    <n v="4750"/>
    <n v="5087"/>
    <n v="6.7266509999999986"/>
    <n v="6.3742640000000002"/>
    <n v="53.541700000000006"/>
    <n v="3.1255499999999996"/>
    <x v="3"/>
    <x v="1"/>
    <x v="1"/>
    <s v="November"/>
    <s v="Monday"/>
  </r>
  <r>
    <n v="697"/>
    <x v="696"/>
    <n v="4"/>
    <n v="1"/>
    <n v="11"/>
    <n v="0"/>
    <n v="2"/>
    <x v="1"/>
    <x v="0"/>
    <n v="0.29166700000000001"/>
    <n v="0.28155799999999997"/>
    <n v="0.78666700000000001"/>
    <n v="0.237562"/>
    <n v="123"/>
    <n v="3836"/>
    <n v="3959"/>
    <n v="5.7083490000000001"/>
    <n v="2.5828279999999992"/>
    <n v="78.666700000000006"/>
    <n v="15.916653999999999"/>
    <x v="3"/>
    <x v="1"/>
    <x v="0"/>
    <s v="November"/>
    <s v="Tuesday"/>
  </r>
  <r>
    <n v="698"/>
    <x v="697"/>
    <n v="4"/>
    <n v="1"/>
    <n v="11"/>
    <n v="0"/>
    <n v="3"/>
    <x v="1"/>
    <x v="1"/>
    <n v="0.29666700000000001"/>
    <n v="0.28976200000000002"/>
    <n v="0.50624999999999998"/>
    <n v="0.21082100000000001"/>
    <n v="198"/>
    <n v="5062"/>
    <n v="5260"/>
    <n v="5.9433490000000013"/>
    <n v="3.1242920000000005"/>
    <n v="50.625"/>
    <n v="14.125007"/>
    <x v="3"/>
    <x v="1"/>
    <x v="1"/>
    <s v="November"/>
    <s v="Wednesday"/>
  </r>
  <r>
    <n v="699"/>
    <x v="698"/>
    <n v="4"/>
    <n v="1"/>
    <n v="11"/>
    <n v="0"/>
    <n v="4"/>
    <x v="1"/>
    <x v="1"/>
    <n v="0.28087000000000001"/>
    <n v="0.29842200000000002"/>
    <n v="0.55565200000000003"/>
    <n v="0.115522"/>
    <n v="243"/>
    <n v="5080"/>
    <n v="5323"/>
    <n v="5.2008900000000011"/>
    <n v="3.6958520000000021"/>
    <n v="55.565200000000004"/>
    <n v="7.7399740000000001"/>
    <x v="3"/>
    <x v="1"/>
    <x v="1"/>
    <s v="November"/>
    <s v="Thursday"/>
  </r>
  <r>
    <n v="700"/>
    <x v="699"/>
    <n v="4"/>
    <n v="1"/>
    <n v="11"/>
    <n v="0"/>
    <n v="5"/>
    <x v="1"/>
    <x v="1"/>
    <n v="0.29833300000000001"/>
    <n v="0.32386700000000002"/>
    <n v="0.64958300000000002"/>
    <n v="5.8470800000000003E-2"/>
    <n v="362"/>
    <n v="5306"/>
    <n v="5668"/>
    <n v="6.0216510000000003"/>
    <n v="5.3752220000000008"/>
    <n v="64.958300000000008"/>
    <n v="3.9175436000000001"/>
    <x v="3"/>
    <x v="1"/>
    <x v="1"/>
    <s v="November"/>
    <s v="Friday"/>
  </r>
  <r>
    <n v="701"/>
    <x v="700"/>
    <n v="4"/>
    <n v="1"/>
    <n v="12"/>
    <n v="0"/>
    <n v="6"/>
    <x v="0"/>
    <x v="0"/>
    <n v="0.29833300000000001"/>
    <n v="0.31690400000000002"/>
    <n v="0.80666700000000002"/>
    <n v="5.9704199999999999E-2"/>
    <n v="951"/>
    <n v="4240"/>
    <n v="5191"/>
    <n v="6.0216510000000003"/>
    <n v="4.9156639999999996"/>
    <n v="80.666700000000006"/>
    <n v="4.0001813999999998"/>
    <x v="3"/>
    <x v="1"/>
    <x v="0"/>
    <s v="December"/>
    <s v="Saturday"/>
  </r>
  <r>
    <n v="702"/>
    <x v="701"/>
    <n v="4"/>
    <n v="1"/>
    <n v="12"/>
    <n v="0"/>
    <n v="0"/>
    <x v="0"/>
    <x v="0"/>
    <n v="0.34749999999999998"/>
    <n v="0.35920800000000003"/>
    <n v="0.82333299999999998"/>
    <n v="0.124379"/>
    <n v="892"/>
    <n v="3757"/>
    <n v="4649"/>
    <n v="8.3324999999999996"/>
    <n v="7.707728000000003"/>
    <n v="82.333299999999994"/>
    <n v="8.3333930000000009"/>
    <x v="3"/>
    <x v="1"/>
    <x v="0"/>
    <s v="December"/>
    <s v="Sunday"/>
  </r>
  <r>
    <n v="703"/>
    <x v="702"/>
    <n v="4"/>
    <n v="1"/>
    <n v="12"/>
    <n v="0"/>
    <n v="1"/>
    <x v="1"/>
    <x v="1"/>
    <n v="0.45250000000000001"/>
    <n v="0.45579599999999998"/>
    <n v="0.76749999999999996"/>
    <n v="8.2720799999999997E-2"/>
    <n v="555"/>
    <n v="5679"/>
    <n v="6234"/>
    <n v="13.267500000000002"/>
    <n v="14.082535999999998"/>
    <n v="76.75"/>
    <n v="5.5422935999999998"/>
    <x v="3"/>
    <x v="1"/>
    <x v="1"/>
    <s v="December"/>
    <s v="Monday"/>
  </r>
  <r>
    <n v="704"/>
    <x v="703"/>
    <n v="4"/>
    <n v="1"/>
    <n v="12"/>
    <n v="0"/>
    <n v="2"/>
    <x v="1"/>
    <x v="1"/>
    <n v="0.47583300000000001"/>
    <n v="0.46905400000000003"/>
    <n v="0.73375000000000001"/>
    <n v="0.17412900000000001"/>
    <n v="551"/>
    <n v="6055"/>
    <n v="6606"/>
    <n v="14.364151"/>
    <n v="14.957564000000001"/>
    <n v="73.375"/>
    <n v="11.666643000000001"/>
    <x v="3"/>
    <x v="1"/>
    <x v="1"/>
    <s v="December"/>
    <s v="Tuesday"/>
  </r>
  <r>
    <n v="705"/>
    <x v="704"/>
    <n v="4"/>
    <n v="1"/>
    <n v="12"/>
    <n v="0"/>
    <n v="3"/>
    <x v="1"/>
    <x v="1"/>
    <n v="0.43833299999999997"/>
    <n v="0.428012"/>
    <n v="0.48499999999999999"/>
    <n v="0.324021"/>
    <n v="331"/>
    <n v="5398"/>
    <n v="5729"/>
    <n v="12.601651"/>
    <n v="12.248792000000002"/>
    <n v="48.5"/>
    <n v="21.709406999999999"/>
    <x v="3"/>
    <x v="1"/>
    <x v="1"/>
    <s v="December"/>
    <s v="Wednesday"/>
  </r>
  <r>
    <n v="706"/>
    <x v="705"/>
    <n v="4"/>
    <n v="1"/>
    <n v="12"/>
    <n v="0"/>
    <n v="4"/>
    <x v="1"/>
    <x v="1"/>
    <n v="0.25583299999999998"/>
    <n v="0.25820399999999999"/>
    <n v="0.50875000000000004"/>
    <n v="0.17475399999999999"/>
    <n v="340"/>
    <n v="5035"/>
    <n v="5375"/>
    <n v="4.0241509999999998"/>
    <n v="1.0414639999999977"/>
    <n v="50.875"/>
    <n v="11.708518"/>
    <x v="3"/>
    <x v="1"/>
    <x v="1"/>
    <s v="December"/>
    <s v="Thursday"/>
  </r>
  <r>
    <n v="707"/>
    <x v="706"/>
    <n v="4"/>
    <n v="1"/>
    <n v="12"/>
    <n v="0"/>
    <n v="5"/>
    <x v="1"/>
    <x v="0"/>
    <n v="0.32083299999999998"/>
    <n v="0.32195800000000002"/>
    <n v="0.76416700000000004"/>
    <n v="0.13059999999999999"/>
    <n v="349"/>
    <n v="4659"/>
    <n v="5008"/>
    <n v="7.0791509999999995"/>
    <n v="5.2492280000000022"/>
    <n v="76.416700000000006"/>
    <n v="8.7501999999999995"/>
    <x v="3"/>
    <x v="1"/>
    <x v="0"/>
    <s v="December"/>
    <s v="Friday"/>
  </r>
  <r>
    <n v="708"/>
    <x v="707"/>
    <n v="4"/>
    <n v="1"/>
    <n v="12"/>
    <n v="0"/>
    <n v="6"/>
    <x v="0"/>
    <x v="0"/>
    <n v="0.38166699999999998"/>
    <n v="0.38950800000000002"/>
    <n v="0.91125"/>
    <n v="0.101379"/>
    <n v="1153"/>
    <n v="4429"/>
    <n v="5582"/>
    <n v="9.9383489999999988"/>
    <n v="9.7075279999999999"/>
    <n v="91.125"/>
    <n v="6.7923929999999997"/>
    <x v="3"/>
    <x v="1"/>
    <x v="0"/>
    <s v="December"/>
    <s v="Saturday"/>
  </r>
  <r>
    <n v="709"/>
    <x v="708"/>
    <n v="4"/>
    <n v="1"/>
    <n v="12"/>
    <n v="0"/>
    <n v="0"/>
    <x v="0"/>
    <x v="0"/>
    <n v="0.38416699999999998"/>
    <n v="0.39014599999999999"/>
    <n v="0.90541700000000003"/>
    <n v="0.157975"/>
    <n v="441"/>
    <n v="2787"/>
    <n v="3228"/>
    <n v="10.055848999999998"/>
    <n v="9.7496359999999989"/>
    <n v="90.541700000000006"/>
    <n v="10.584325"/>
    <x v="3"/>
    <x v="1"/>
    <x v="0"/>
    <s v="December"/>
    <s v="Sunday"/>
  </r>
  <r>
    <n v="710"/>
    <x v="709"/>
    <n v="4"/>
    <n v="1"/>
    <n v="12"/>
    <n v="0"/>
    <n v="1"/>
    <x v="1"/>
    <x v="0"/>
    <n v="0.43583300000000003"/>
    <n v="0.43557499999999999"/>
    <n v="0.92500000000000004"/>
    <n v="0.190308"/>
    <n v="329"/>
    <n v="4841"/>
    <n v="5170"/>
    <n v="12.484151000000001"/>
    <n v="12.747949999999999"/>
    <n v="92.5"/>
    <n v="12.750636"/>
    <x v="3"/>
    <x v="1"/>
    <x v="0"/>
    <s v="December"/>
    <s v="Monday"/>
  </r>
  <r>
    <n v="711"/>
    <x v="710"/>
    <n v="4"/>
    <n v="1"/>
    <n v="12"/>
    <n v="0"/>
    <n v="2"/>
    <x v="1"/>
    <x v="0"/>
    <n v="0.35333300000000001"/>
    <n v="0.33836300000000002"/>
    <n v="0.59666699999999995"/>
    <n v="0.29603699999999999"/>
    <n v="282"/>
    <n v="5219"/>
    <n v="5501"/>
    <n v="8.6066509999999994"/>
    <n v="6.3319580000000002"/>
    <n v="59.666699999999992"/>
    <n v="19.834478999999998"/>
    <x v="3"/>
    <x v="1"/>
    <x v="0"/>
    <s v="December"/>
    <s v="Tuesday"/>
  </r>
  <r>
    <n v="712"/>
    <x v="711"/>
    <n v="4"/>
    <n v="1"/>
    <n v="12"/>
    <n v="0"/>
    <n v="3"/>
    <x v="1"/>
    <x v="0"/>
    <n v="0.29749999999999999"/>
    <n v="0.29733799999999999"/>
    <n v="0.53833299999999995"/>
    <n v="0.162937"/>
    <n v="310"/>
    <n v="5009"/>
    <n v="5319"/>
    <n v="5.9824999999999999"/>
    <n v="3.6243079999999992"/>
    <n v="53.833299999999994"/>
    <n v="10.916779"/>
    <x v="3"/>
    <x v="1"/>
    <x v="0"/>
    <s v="December"/>
    <s v="Wednesday"/>
  </r>
  <r>
    <n v="713"/>
    <x v="712"/>
    <n v="4"/>
    <n v="1"/>
    <n v="12"/>
    <n v="0"/>
    <n v="4"/>
    <x v="1"/>
    <x v="1"/>
    <n v="0.29583300000000001"/>
    <n v="0.29418800000000001"/>
    <n v="0.48583300000000001"/>
    <n v="0.17412900000000001"/>
    <n v="425"/>
    <n v="5107"/>
    <n v="5532"/>
    <n v="5.9041510000000006"/>
    <n v="3.4164080000000006"/>
    <n v="48.583300000000001"/>
    <n v="11.666643000000001"/>
    <x v="3"/>
    <x v="1"/>
    <x v="1"/>
    <s v="December"/>
    <s v="Thursday"/>
  </r>
  <r>
    <n v="714"/>
    <x v="713"/>
    <n v="4"/>
    <n v="1"/>
    <n v="12"/>
    <n v="0"/>
    <n v="5"/>
    <x v="1"/>
    <x v="1"/>
    <n v="0.281667"/>
    <n v="0.29419200000000001"/>
    <n v="0.64291699999999996"/>
    <n v="0.13122900000000001"/>
    <n v="429"/>
    <n v="5182"/>
    <n v="5611"/>
    <n v="5.2383489999999995"/>
    <n v="3.4166720000000019"/>
    <n v="64.291699999999992"/>
    <n v="8.7923430000000007"/>
    <x v="3"/>
    <x v="1"/>
    <x v="1"/>
    <s v="December"/>
    <s v="Friday"/>
  </r>
  <r>
    <n v="715"/>
    <x v="714"/>
    <n v="4"/>
    <n v="1"/>
    <n v="12"/>
    <n v="0"/>
    <n v="6"/>
    <x v="0"/>
    <x v="1"/>
    <n v="0.32416699999999998"/>
    <n v="0.33838299999999999"/>
    <n v="0.65041700000000002"/>
    <n v="0.10635"/>
    <n v="767"/>
    <n v="4280"/>
    <n v="5047"/>
    <n v="7.235849"/>
    <n v="6.333278"/>
    <n v="65.041700000000006"/>
    <n v="7.1254499999999998"/>
    <x v="3"/>
    <x v="1"/>
    <x v="1"/>
    <s v="December"/>
    <s v="Saturday"/>
  </r>
  <r>
    <n v="716"/>
    <x v="715"/>
    <n v="4"/>
    <n v="1"/>
    <n v="12"/>
    <n v="0"/>
    <n v="0"/>
    <x v="0"/>
    <x v="0"/>
    <n v="0.36249999999999999"/>
    <n v="0.36993799999999999"/>
    <n v="0.83875"/>
    <n v="0.100742"/>
    <n v="538"/>
    <n v="3248"/>
    <n v="3786"/>
    <n v="9.0374999999999979"/>
    <n v="8.4159079999999982"/>
    <n v="83.875"/>
    <n v="6.749714"/>
    <x v="3"/>
    <x v="1"/>
    <x v="0"/>
    <s v="December"/>
    <s v="Sunday"/>
  </r>
  <r>
    <n v="717"/>
    <x v="716"/>
    <n v="4"/>
    <n v="1"/>
    <n v="12"/>
    <n v="0"/>
    <n v="1"/>
    <x v="1"/>
    <x v="0"/>
    <n v="0.39333299999999999"/>
    <n v="0.40150000000000002"/>
    <n v="0.90708299999999997"/>
    <n v="9.8258300000000007E-2"/>
    <n v="212"/>
    <n v="4373"/>
    <n v="4585"/>
    <n v="10.486650999999998"/>
    <n v="10.499000000000002"/>
    <n v="90.708299999999994"/>
    <n v="6.5833061000000006"/>
    <x v="3"/>
    <x v="1"/>
    <x v="0"/>
    <s v="December"/>
    <s v="Monday"/>
  </r>
  <r>
    <n v="718"/>
    <x v="717"/>
    <n v="4"/>
    <n v="1"/>
    <n v="12"/>
    <n v="0"/>
    <n v="2"/>
    <x v="1"/>
    <x v="1"/>
    <n v="0.410833"/>
    <n v="0.40970800000000002"/>
    <n v="0.66625000000000001"/>
    <n v="0.22140399999999999"/>
    <n v="433"/>
    <n v="5124"/>
    <n v="5557"/>
    <n v="11.309151"/>
    <n v="11.040728000000001"/>
    <n v="66.625"/>
    <n v="14.834067999999998"/>
    <x v="3"/>
    <x v="1"/>
    <x v="1"/>
    <s v="December"/>
    <s v="Tuesday"/>
  </r>
  <r>
    <n v="719"/>
    <x v="718"/>
    <n v="4"/>
    <n v="1"/>
    <n v="12"/>
    <n v="0"/>
    <n v="3"/>
    <x v="1"/>
    <x v="1"/>
    <n v="0.33250000000000002"/>
    <n v="0.34216200000000002"/>
    <n v="0.625417"/>
    <n v="0.18409200000000001"/>
    <n v="333"/>
    <n v="4934"/>
    <n v="5267"/>
    <n v="7.6275000000000013"/>
    <n v="6.5826920000000015"/>
    <n v="62.541699999999999"/>
    <n v="12.334164000000001"/>
    <x v="3"/>
    <x v="1"/>
    <x v="1"/>
    <s v="December"/>
    <s v="Wednesday"/>
  </r>
  <r>
    <n v="720"/>
    <x v="719"/>
    <n v="4"/>
    <n v="1"/>
    <n v="12"/>
    <n v="0"/>
    <n v="4"/>
    <x v="1"/>
    <x v="0"/>
    <n v="0.33"/>
    <n v="0.33521699999999999"/>
    <n v="0.66791699999999998"/>
    <n v="0.132463"/>
    <n v="314"/>
    <n v="3814"/>
    <n v="4128"/>
    <n v="7.5100000000000016"/>
    <n v="6.1243219999999994"/>
    <n v="66.791699999999992"/>
    <n v="8.8750210000000003"/>
    <x v="3"/>
    <x v="1"/>
    <x v="0"/>
    <s v="December"/>
    <s v="Thursday"/>
  </r>
  <r>
    <n v="721"/>
    <x v="720"/>
    <n v="1"/>
    <n v="1"/>
    <n v="12"/>
    <n v="0"/>
    <n v="5"/>
    <x v="1"/>
    <x v="0"/>
    <n v="0.32666699999999999"/>
    <n v="0.30176700000000001"/>
    <n v="0.55666700000000002"/>
    <n v="0.37438300000000002"/>
    <n v="221"/>
    <n v="3402"/>
    <n v="3623"/>
    <n v="7.3533489999999997"/>
    <n v="3.9166220000000003"/>
    <n v="55.666700000000006"/>
    <n v="25.083661000000003"/>
    <x v="0"/>
    <x v="1"/>
    <x v="0"/>
    <s v="December"/>
    <s v="Friday"/>
  </r>
  <r>
    <n v="722"/>
    <x v="721"/>
    <n v="1"/>
    <n v="1"/>
    <n v="12"/>
    <n v="0"/>
    <n v="6"/>
    <x v="0"/>
    <x v="1"/>
    <n v="0.26583299999999999"/>
    <n v="0.23611299999999999"/>
    <n v="0.44124999999999998"/>
    <n v="0.40734599999999999"/>
    <n v="205"/>
    <n v="1544"/>
    <n v="1749"/>
    <n v="4.4941509999999987"/>
    <n v="-0.41654200000000152"/>
    <n v="44.125"/>
    <n v="27.292182"/>
    <x v="0"/>
    <x v="1"/>
    <x v="1"/>
    <s v="December"/>
    <s v="Saturday"/>
  </r>
  <r>
    <n v="723"/>
    <x v="722"/>
    <n v="1"/>
    <n v="1"/>
    <n v="12"/>
    <n v="0"/>
    <n v="0"/>
    <x v="0"/>
    <x v="1"/>
    <n v="0.245833"/>
    <n v="0.25947100000000001"/>
    <n v="0.51541700000000001"/>
    <n v="0.13308300000000001"/>
    <n v="408"/>
    <n v="1379"/>
    <n v="1787"/>
    <n v="3.5541509999999992"/>
    <n v="1.1250859999999996"/>
    <n v="51.541699999999999"/>
    <n v="8.9165609999999997"/>
    <x v="0"/>
    <x v="1"/>
    <x v="1"/>
    <s v="December"/>
    <s v="Sunday"/>
  </r>
  <r>
    <n v="724"/>
    <x v="723"/>
    <n v="1"/>
    <n v="1"/>
    <n v="12"/>
    <n v="0"/>
    <n v="1"/>
    <x v="1"/>
    <x v="0"/>
    <n v="0.23130400000000001"/>
    <n v="0.25890000000000002"/>
    <n v="0.79130400000000001"/>
    <n v="7.7230400000000005E-2"/>
    <n v="174"/>
    <n v="746"/>
    <n v="920"/>
    <n v="2.8712879999999998"/>
    <n v="1.0874000000000024"/>
    <n v="79.130399999999995"/>
    <n v="5.1744368000000005"/>
    <x v="0"/>
    <x v="1"/>
    <x v="0"/>
    <s v="December"/>
    <s v="Monday"/>
  </r>
  <r>
    <n v="725"/>
    <x v="724"/>
    <n v="1"/>
    <n v="1"/>
    <n v="12"/>
    <n v="1"/>
    <n v="2"/>
    <x v="0"/>
    <x v="0"/>
    <n v="0.29130400000000001"/>
    <n v="0.29446499999999998"/>
    <n v="0.73478299999999996"/>
    <n v="0.16872599999999999"/>
    <n v="440"/>
    <n v="573"/>
    <n v="1013"/>
    <n v="5.6912880000000001"/>
    <n v="3.4346899999999998"/>
    <n v="73.47829999999999"/>
    <n v="11.304641999999999"/>
    <x v="0"/>
    <x v="1"/>
    <x v="0"/>
    <s v="December"/>
    <s v="Tuesday"/>
  </r>
  <r>
    <n v="726"/>
    <x v="725"/>
    <n v="1"/>
    <n v="1"/>
    <n v="12"/>
    <n v="0"/>
    <n v="3"/>
    <x v="1"/>
    <x v="2"/>
    <n v="0.24333299999999999"/>
    <n v="0.220333"/>
    <n v="0.82333299999999998"/>
    <n v="0.31654599999999999"/>
    <n v="9"/>
    <n v="432"/>
    <n v="441"/>
    <n v="3.4366509999999995"/>
    <n v="-1.4580219999999997"/>
    <n v="82.333299999999994"/>
    <n v="21.208582"/>
    <x v="0"/>
    <x v="1"/>
    <x v="2"/>
    <s v="December"/>
    <s v="Wednesday"/>
  </r>
  <r>
    <n v="727"/>
    <x v="726"/>
    <n v="1"/>
    <n v="1"/>
    <n v="12"/>
    <n v="0"/>
    <n v="4"/>
    <x v="1"/>
    <x v="0"/>
    <n v="0.25416699999999998"/>
    <n v="0.22664200000000001"/>
    <n v="0.65291699999999997"/>
    <n v="0.35013300000000003"/>
    <n v="247"/>
    <n v="1867"/>
    <n v="2114"/>
    <n v="3.9458489999999991"/>
    <n v="-1.0416279999999993"/>
    <n v="65.291699999999992"/>
    <n v="23.458911000000001"/>
    <x v="0"/>
    <x v="1"/>
    <x v="0"/>
    <s v="December"/>
    <s v="Thursday"/>
  </r>
  <r>
    <n v="728"/>
    <x v="727"/>
    <n v="1"/>
    <n v="1"/>
    <n v="12"/>
    <n v="0"/>
    <n v="5"/>
    <x v="1"/>
    <x v="0"/>
    <n v="0.25333299999999997"/>
    <n v="0.25504599999999999"/>
    <n v="0.59"/>
    <n v="0.155471"/>
    <n v="644"/>
    <n v="2451"/>
    <n v="3095"/>
    <n v="3.9066509999999983"/>
    <n v="0.83303599999999989"/>
    <n v="59"/>
    <n v="10.416556999999999"/>
    <x v="0"/>
    <x v="1"/>
    <x v="0"/>
    <s v="December"/>
    <s v="Friday"/>
  </r>
  <r>
    <n v="729"/>
    <x v="728"/>
    <n v="1"/>
    <n v="1"/>
    <n v="12"/>
    <n v="0"/>
    <n v="6"/>
    <x v="0"/>
    <x v="0"/>
    <n v="0.25333299999999997"/>
    <n v="0.2424"/>
    <n v="0.75291699999999995"/>
    <n v="0.12438299999999999"/>
    <n v="159"/>
    <n v="1182"/>
    <n v="1341"/>
    <n v="3.9066509999999983"/>
    <n v="-1.5999999999998238E-3"/>
    <n v="75.291699999999992"/>
    <n v="8.3336609999999993"/>
    <x v="0"/>
    <x v="1"/>
    <x v="0"/>
    <s v="December"/>
    <s v="Saturday"/>
  </r>
  <r>
    <n v="730"/>
    <x v="729"/>
    <n v="1"/>
    <n v="1"/>
    <n v="12"/>
    <n v="0"/>
    <n v="0"/>
    <x v="0"/>
    <x v="1"/>
    <n v="0.25583299999999998"/>
    <n v="0.23169999999999999"/>
    <n v="0.48333300000000001"/>
    <n v="0.35075400000000001"/>
    <n v="364"/>
    <n v="1432"/>
    <n v="1796"/>
    <n v="4.0241509999999998"/>
    <n v="-0.70780000000000065"/>
    <n v="48.333300000000001"/>
    <n v="23.500518"/>
    <x v="0"/>
    <x v="1"/>
    <x v="1"/>
    <s v="December"/>
    <s v="Sunday"/>
  </r>
  <r>
    <n v="731"/>
    <x v="730"/>
    <n v="1"/>
    <n v="1"/>
    <n v="12"/>
    <n v="0"/>
    <n v="1"/>
    <x v="1"/>
    <x v="0"/>
    <n v="0.215833"/>
    <n v="0.22348699999999999"/>
    <n v="0.57750000000000001"/>
    <n v="0.15484600000000001"/>
    <n v="439"/>
    <n v="2290"/>
    <n v="2729"/>
    <n v="2.144150999999999"/>
    <n v="-1.2498579999999997"/>
    <n v="57.75"/>
    <n v="10.374682"/>
    <x v="0"/>
    <x v="1"/>
    <x v="0"/>
    <s v="December"/>
    <s v="Mon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907743-B759-46F3-A16E-0244209EB92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9:B34" firstHeaderRow="1" firstDataRow="1" firstDataCol="1"/>
  <pivotFields count="28">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5">
        <item x="3"/>
        <item x="1"/>
        <item x="2"/>
        <item x="0"/>
        <item t="default"/>
      </items>
    </pivotField>
    <pivotField showAll="0">
      <items count="3">
        <item x="0"/>
        <item x="1"/>
        <item t="default"/>
      </items>
    </pivotField>
    <pivotField showAll="0"/>
    <pivotField showAll="0"/>
    <pivotField showAll="0"/>
    <pivotField showAll="0" defaultSubtotal="0"/>
    <pivotField showAll="0" defaultSubtotal="0"/>
    <pivotField showAll="0" defaultSubtotal="0">
      <items count="5">
        <item x="0"/>
        <item x="1"/>
        <item x="2"/>
        <item x="3"/>
        <item x="4"/>
      </items>
    </pivotField>
  </pivotFields>
  <rowFields count="1">
    <field x="20"/>
  </rowFields>
  <rowItems count="5">
    <i>
      <x/>
    </i>
    <i>
      <x v="1"/>
    </i>
    <i>
      <x v="2"/>
    </i>
    <i>
      <x v="3"/>
    </i>
    <i t="grand">
      <x/>
    </i>
  </rowItems>
  <colItems count="1">
    <i/>
  </colItems>
  <dataFields count="1">
    <dataField name="Average of cnt" fld="15" subtotal="average" baseField="20" baseItem="0"/>
  </dataFields>
  <chartFormats count="5">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89EF2F-2A2A-43FA-BD15-0AA7B8A48DAC}"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1:C26" firstHeaderRow="1" firstDataRow="1" firstDataCol="2"/>
  <pivotFields count="28">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3"/>
        <item x="1"/>
        <item x="2"/>
        <item x="0"/>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 compact="0" outline="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axis="axisRow" compact="0" outline="0" showAll="0" defaultSubtotal="0">
      <items count="5">
        <item x="0"/>
        <item x="1"/>
        <item x="2"/>
        <item x="3"/>
        <item x="4"/>
      </items>
      <extLst>
        <ext xmlns:x14="http://schemas.microsoft.com/office/spreadsheetml/2009/9/main" uri="{2946ED86-A175-432a-8AC1-64E0C546D7DE}">
          <x14:pivotField fillDownLabels="1"/>
        </ext>
      </extLst>
    </pivotField>
  </pivotFields>
  <rowFields count="2">
    <field x="27"/>
    <field x="25"/>
  </rowFields>
  <rowItems count="2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t="grand">
      <x/>
    </i>
  </rowItems>
  <colItems count="1">
    <i/>
  </colItems>
  <dataFields count="1">
    <dataField name="Average of cnt" fld="15" subtotal="average" baseField="27" baseItem="1"/>
  </dataFields>
  <chartFormats count="3">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8A5899-A69A-422F-AD34-88D562E0BA6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E36" firstHeaderRow="1" firstDataRow="2" firstDataCol="1"/>
  <pivotFields count="28">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5">
        <item x="3"/>
        <item x="1"/>
        <item x="2"/>
        <item x="0"/>
        <item t="default"/>
      </items>
    </pivotField>
    <pivotField showAll="0"/>
    <pivotField axis="axisCol" showAll="0">
      <items count="4">
        <item x="1"/>
        <item x="2"/>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0"/>
  </rowFields>
  <rowItems count="5">
    <i>
      <x/>
    </i>
    <i>
      <x v="1"/>
    </i>
    <i>
      <x v="2"/>
    </i>
    <i>
      <x v="3"/>
    </i>
    <i t="grand">
      <x/>
    </i>
  </rowItems>
  <colFields count="1">
    <field x="22"/>
  </colFields>
  <colItems count="4">
    <i>
      <x/>
    </i>
    <i>
      <x v="1"/>
    </i>
    <i>
      <x v="2"/>
    </i>
    <i t="grand">
      <x/>
    </i>
  </colItems>
  <dataFields count="1">
    <dataField name="Average of cnt" fld="15" subtotal="average" baseField="2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53BB0A-BC91-4B6E-8E01-E3C2866D71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4" firstHeaderRow="1" firstDataRow="1" firstDataCol="1"/>
  <pivotFields count="28">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3">
    <i>
      <x/>
    </i>
    <i>
      <x v="1"/>
    </i>
    <i t="grand">
      <x/>
    </i>
  </rowItems>
  <colItems count="1">
    <i/>
  </colItems>
  <dataFields count="1">
    <dataField name="Average of cnt" fld="15"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83BA03-9E36-4EFC-B515-D682BD8DB3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8">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0"/>
  </rowFields>
  <rowItems count="5">
    <i>
      <x/>
    </i>
    <i>
      <x v="1"/>
    </i>
    <i>
      <x v="2"/>
    </i>
    <i>
      <x v="3"/>
    </i>
    <i t="grand">
      <x/>
    </i>
  </rowItems>
  <colItems count="1">
    <i/>
  </colItems>
  <dataFields count="1">
    <dataField name="Average of cnt" fld="15" subtotal="average" baseField="2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B619B4-DFF1-44B4-B160-648E55ACDEC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3:B27" firstHeaderRow="1" firstDataRow="1" firstDataCol="1"/>
  <pivotFields count="28">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2"/>
  </rowFields>
  <rowItems count="4">
    <i>
      <x/>
    </i>
    <i>
      <x v="1"/>
    </i>
    <i>
      <x v="2"/>
    </i>
    <i t="grand">
      <x/>
    </i>
  </rowItems>
  <colItems count="1">
    <i/>
  </colItems>
  <dataFields count="1">
    <dataField name="Average of cnt" fld="15" subtotal="average" baseField="22"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7C4250-DE97-49F0-986C-8AF0750003D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C20" firstHeaderRow="0" firstDataRow="1" firstDataCol="1"/>
  <pivotFields count="28">
    <pivotField showAll="0"/>
    <pivotField numFmtId="1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3">
    <i>
      <x/>
    </i>
    <i>
      <x v="1"/>
    </i>
    <i t="grand">
      <x/>
    </i>
  </rowItems>
  <colFields count="1">
    <field x="-2"/>
  </colFields>
  <colItems count="2">
    <i>
      <x/>
    </i>
    <i i="1">
      <x v="1"/>
    </i>
  </colItems>
  <dataFields count="2">
    <dataField name="Average of casual" fld="13" subtotal="average" baseField="7" baseItem="0"/>
    <dataField name="Average of registered" fld="14"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_label" xr10:uid="{80487B8B-1FE3-4098-966E-1AA49833AD7E}" sourceName="season_label">
  <pivotTables>
    <pivotTable tabId="5" name="PivotTable6"/>
    <pivotTable tabId="5" name="PivotTable7"/>
  </pivotTables>
  <data>
    <tabular pivotCacheId="1028729156">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r_label" xr10:uid="{626F52F6-C409-41A0-B4E3-38DF86A5F257}" sourceName="yr_label">
  <pivotTables>
    <pivotTable tabId="5" name="PivotTable6"/>
    <pivotTable tabId="5" name="PivotTable7"/>
  </pivotTables>
  <data>
    <tabular pivotCacheId="102872915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_label" xr10:uid="{A48B8B71-D582-45ED-91F9-B07A466158FF}" cache="Slicer_season_label" caption="Season" columnCount="4" rowHeight="247650"/>
  <slicer name="yr_label" xr10:uid="{1FE97C15-7D46-42CC-8428-CA6467F811C2}" cache="Slicer_yr_label" caption="Year" columnCoun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A0A2B-5D17-4C0C-9A77-E1891BA20670}">
  <dimension ref="B1:H44"/>
  <sheetViews>
    <sheetView showGridLines="0" tabSelected="1" zoomScale="90" zoomScaleNormal="90" workbookViewId="0">
      <selection activeCell="O59" sqref="O59"/>
    </sheetView>
  </sheetViews>
  <sheetFormatPr defaultRowHeight="14.4" x14ac:dyDescent="0.3"/>
  <cols>
    <col min="2" max="2" width="25.77734375" customWidth="1"/>
    <col min="4" max="4" width="25.77734375" customWidth="1"/>
    <col min="6" max="6" width="25.77734375" customWidth="1"/>
    <col min="8" max="8" width="25.77734375" customWidth="1"/>
  </cols>
  <sheetData>
    <row r="1" spans="2:8" ht="31.2" x14ac:dyDescent="0.6">
      <c r="B1" s="14" t="s">
        <v>93</v>
      </c>
      <c r="C1" s="14"/>
      <c r="D1" s="14"/>
      <c r="E1" s="14"/>
      <c r="F1" s="14"/>
      <c r="G1" s="14"/>
      <c r="H1" s="14"/>
    </row>
    <row r="8" spans="2:8" ht="15.6" x14ac:dyDescent="0.3">
      <c r="B8" s="8" t="s">
        <v>89</v>
      </c>
      <c r="D8" s="8" t="s">
        <v>90</v>
      </c>
      <c r="F8" s="8" t="s">
        <v>91</v>
      </c>
      <c r="H8" s="8" t="s">
        <v>92</v>
      </c>
    </row>
    <row r="9" spans="2:8" ht="33.6" x14ac:dyDescent="0.65">
      <c r="B9" s="10">
        <f>'Dashboard_pivot _tables'!L1</f>
        <v>3292679</v>
      </c>
      <c r="D9" s="11">
        <f>'Dashboard_pivot _tables'!L2</f>
        <v>4504.3488372093025</v>
      </c>
      <c r="F9" s="12">
        <f>'Dashboard_pivot _tables'!L6</f>
        <v>0.64425318382609531</v>
      </c>
      <c r="H9" s="12">
        <f>'Dashboard_pivot _tables'!L10</f>
        <v>0.18830168382645257</v>
      </c>
    </row>
    <row r="43" spans="2:2" x14ac:dyDescent="0.3">
      <c r="B43" s="13" t="s">
        <v>94</v>
      </c>
    </row>
    <row r="44" spans="2:2" x14ac:dyDescent="0.3">
      <c r="B44" s="13" t="s">
        <v>95</v>
      </c>
    </row>
  </sheetData>
  <mergeCells count="1">
    <mergeCell ref="B1:H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DBC7-ADB7-4C11-82C7-FF575B9D0048}">
  <dimension ref="A1:L34"/>
  <sheetViews>
    <sheetView workbookViewId="0">
      <selection activeCell="E1" sqref="E1"/>
    </sheetView>
  </sheetViews>
  <sheetFormatPr defaultRowHeight="14.4" x14ac:dyDescent="0.3"/>
  <cols>
    <col min="1" max="4" width="12.44140625" bestFit="1" customWidth="1"/>
    <col min="11" max="11" width="27.44140625" customWidth="1"/>
    <col min="12" max="12" width="9.109375" bestFit="1" customWidth="1"/>
  </cols>
  <sheetData>
    <row r="1" spans="1:12" x14ac:dyDescent="0.3">
      <c r="A1" s="5" t="s">
        <v>79</v>
      </c>
      <c r="B1" s="5" t="s">
        <v>80</v>
      </c>
      <c r="C1" t="s">
        <v>62</v>
      </c>
      <c r="K1" t="s">
        <v>81</v>
      </c>
      <c r="L1">
        <f>SUM(Prepared_data!P2:P732)</f>
        <v>3292679</v>
      </c>
    </row>
    <row r="2" spans="1:12" x14ac:dyDescent="0.3">
      <c r="A2" t="s">
        <v>66</v>
      </c>
      <c r="B2" t="s">
        <v>68</v>
      </c>
      <c r="C2" s="16">
        <v>1231.9032258064517</v>
      </c>
      <c r="K2" t="s">
        <v>82</v>
      </c>
      <c r="L2" s="9">
        <f>AVERAGE(Prepared_data!P2:P732)</f>
        <v>4504.3488372093025</v>
      </c>
    </row>
    <row r="3" spans="1:12" x14ac:dyDescent="0.3">
      <c r="A3" t="s">
        <v>66</v>
      </c>
      <c r="B3" t="s">
        <v>69</v>
      </c>
      <c r="C3" s="16">
        <v>1721.9642857142858</v>
      </c>
    </row>
    <row r="4" spans="1:12" x14ac:dyDescent="0.3">
      <c r="A4" t="s">
        <v>66</v>
      </c>
      <c r="B4" t="s">
        <v>70</v>
      </c>
      <c r="C4" s="16">
        <v>2065.9677419354839</v>
      </c>
      <c r="K4" t="s">
        <v>83</v>
      </c>
      <c r="L4">
        <f>AVERAGEIF(Prepared_data!D:D, 0, Prepared_data!P:P)</f>
        <v>3405.7616438356163</v>
      </c>
    </row>
    <row r="5" spans="1:12" x14ac:dyDescent="0.3">
      <c r="A5" t="s">
        <v>66</v>
      </c>
      <c r="B5" t="s">
        <v>71</v>
      </c>
      <c r="C5" s="16">
        <v>3162.3333333333335</v>
      </c>
      <c r="K5" t="s">
        <v>84</v>
      </c>
      <c r="L5">
        <f>AVERAGEIF(Prepared_data!D:D,1,Prepared_data!P:P)</f>
        <v>5599.9344262295081</v>
      </c>
    </row>
    <row r="6" spans="1:12" x14ac:dyDescent="0.3">
      <c r="A6" t="s">
        <v>66</v>
      </c>
      <c r="B6" t="s">
        <v>39</v>
      </c>
      <c r="C6" s="16">
        <v>4381.322580645161</v>
      </c>
      <c r="K6" t="s">
        <v>85</v>
      </c>
      <c r="L6" s="7">
        <f>(L5-L4)/L4</f>
        <v>0.64425318382609531</v>
      </c>
    </row>
    <row r="7" spans="1:12" x14ac:dyDescent="0.3">
      <c r="A7" t="s">
        <v>66</v>
      </c>
      <c r="B7" t="s">
        <v>72</v>
      </c>
      <c r="C7" s="16">
        <v>4783.7333333333336</v>
      </c>
      <c r="L7" s="7"/>
    </row>
    <row r="8" spans="1:12" x14ac:dyDescent="0.3">
      <c r="A8" t="s">
        <v>66</v>
      </c>
      <c r="B8" t="s">
        <v>73</v>
      </c>
      <c r="C8" s="16">
        <v>4559.3870967741932</v>
      </c>
      <c r="K8" t="s">
        <v>86</v>
      </c>
      <c r="L8">
        <f>SUM(Prepared_data!N:N)</f>
        <v>620017</v>
      </c>
    </row>
    <row r="9" spans="1:12" x14ac:dyDescent="0.3">
      <c r="A9" t="s">
        <v>66</v>
      </c>
      <c r="B9" t="s">
        <v>74</v>
      </c>
      <c r="C9" s="16">
        <v>4409.3870967741932</v>
      </c>
      <c r="K9" t="s">
        <v>87</v>
      </c>
      <c r="L9">
        <f>SUM(Prepared_data!O:O)</f>
        <v>2672662</v>
      </c>
    </row>
    <row r="10" spans="1:12" x14ac:dyDescent="0.3">
      <c r="A10" t="s">
        <v>66</v>
      </c>
      <c r="B10" t="s">
        <v>75</v>
      </c>
      <c r="C10" s="16">
        <v>4247.2666666666664</v>
      </c>
      <c r="K10" t="s">
        <v>88</v>
      </c>
      <c r="L10" s="7">
        <f>L8/L1</f>
        <v>0.18830168382645257</v>
      </c>
    </row>
    <row r="11" spans="1:12" x14ac:dyDescent="0.3">
      <c r="A11" t="s">
        <v>66</v>
      </c>
      <c r="B11" t="s">
        <v>76</v>
      </c>
      <c r="C11" s="16">
        <v>3984.2258064516127</v>
      </c>
    </row>
    <row r="12" spans="1:12" x14ac:dyDescent="0.3">
      <c r="A12" t="s">
        <v>66</v>
      </c>
      <c r="B12" t="s">
        <v>77</v>
      </c>
      <c r="C12" s="16">
        <v>3405.5666666666666</v>
      </c>
    </row>
    <row r="13" spans="1:12" x14ac:dyDescent="0.3">
      <c r="A13" t="s">
        <v>66</v>
      </c>
      <c r="B13" t="s">
        <v>78</v>
      </c>
      <c r="C13" s="16">
        <v>2816.8709677419356</v>
      </c>
    </row>
    <row r="14" spans="1:12" x14ac:dyDescent="0.3">
      <c r="A14" t="s">
        <v>67</v>
      </c>
      <c r="B14" t="s">
        <v>68</v>
      </c>
      <c r="C14" s="16">
        <v>3120.7741935483873</v>
      </c>
    </row>
    <row r="15" spans="1:12" x14ac:dyDescent="0.3">
      <c r="A15" t="s">
        <v>67</v>
      </c>
      <c r="B15" t="s">
        <v>69</v>
      </c>
      <c r="C15" s="16">
        <v>3556.4482758620688</v>
      </c>
    </row>
    <row r="16" spans="1:12" x14ac:dyDescent="0.3">
      <c r="A16" t="s">
        <v>67</v>
      </c>
      <c r="B16" t="s">
        <v>70</v>
      </c>
      <c r="C16" s="16">
        <v>5318.5483870967746</v>
      </c>
    </row>
    <row r="17" spans="1:3" x14ac:dyDescent="0.3">
      <c r="A17" t="s">
        <v>67</v>
      </c>
      <c r="B17" t="s">
        <v>71</v>
      </c>
      <c r="C17" s="16">
        <v>5807.4666666666662</v>
      </c>
    </row>
    <row r="18" spans="1:3" x14ac:dyDescent="0.3">
      <c r="A18" t="s">
        <v>67</v>
      </c>
      <c r="B18" t="s">
        <v>39</v>
      </c>
      <c r="C18" s="16">
        <v>6318.2258064516127</v>
      </c>
    </row>
    <row r="19" spans="1:3" x14ac:dyDescent="0.3">
      <c r="A19" t="s">
        <v>67</v>
      </c>
      <c r="B19" t="s">
        <v>72</v>
      </c>
      <c r="C19" s="16">
        <v>6761</v>
      </c>
    </row>
    <row r="20" spans="1:3" x14ac:dyDescent="0.3">
      <c r="A20" t="s">
        <v>67</v>
      </c>
      <c r="B20" t="s">
        <v>73</v>
      </c>
      <c r="C20" s="16">
        <v>6567.9677419354839</v>
      </c>
    </row>
    <row r="21" spans="1:3" x14ac:dyDescent="0.3">
      <c r="A21" t="s">
        <v>67</v>
      </c>
      <c r="B21" t="s">
        <v>74</v>
      </c>
      <c r="C21" s="16">
        <v>6919.4516129032254</v>
      </c>
    </row>
    <row r="22" spans="1:3" x14ac:dyDescent="0.3">
      <c r="A22" t="s">
        <v>67</v>
      </c>
      <c r="B22" t="s">
        <v>75</v>
      </c>
      <c r="C22" s="16">
        <v>7285.7666666666664</v>
      </c>
    </row>
    <row r="23" spans="1:3" x14ac:dyDescent="0.3">
      <c r="A23" t="s">
        <v>67</v>
      </c>
      <c r="B23" t="s">
        <v>76</v>
      </c>
      <c r="C23" s="16">
        <v>6414.2258064516127</v>
      </c>
    </row>
    <row r="24" spans="1:3" x14ac:dyDescent="0.3">
      <c r="A24" t="s">
        <v>67</v>
      </c>
      <c r="B24" t="s">
        <v>77</v>
      </c>
      <c r="C24" s="16">
        <v>5088.8</v>
      </c>
    </row>
    <row r="25" spans="1:3" x14ac:dyDescent="0.3">
      <c r="A25" t="s">
        <v>67</v>
      </c>
      <c r="B25" t="s">
        <v>78</v>
      </c>
      <c r="C25" s="16">
        <v>3990.7419354838707</v>
      </c>
    </row>
    <row r="26" spans="1:3" x14ac:dyDescent="0.3">
      <c r="A26" t="s">
        <v>60</v>
      </c>
      <c r="C26" s="16">
        <v>4504.3488372093025</v>
      </c>
    </row>
    <row r="29" spans="1:3" x14ac:dyDescent="0.3">
      <c r="A29" s="5" t="s">
        <v>61</v>
      </c>
      <c r="B29" t="s">
        <v>62</v>
      </c>
    </row>
    <row r="30" spans="1:3" x14ac:dyDescent="0.3">
      <c r="A30" s="6" t="s">
        <v>25</v>
      </c>
      <c r="B30" s="16">
        <v>4728.1629213483147</v>
      </c>
    </row>
    <row r="31" spans="1:3" x14ac:dyDescent="0.3">
      <c r="A31" s="6" t="s">
        <v>23</v>
      </c>
      <c r="B31" s="16">
        <v>4992.33152173913</v>
      </c>
    </row>
    <row r="32" spans="1:3" x14ac:dyDescent="0.3">
      <c r="A32" s="6" t="s">
        <v>24</v>
      </c>
      <c r="B32" s="16">
        <v>5644.3031914893618</v>
      </c>
    </row>
    <row r="33" spans="1:2" x14ac:dyDescent="0.3">
      <c r="A33" s="6" t="s">
        <v>26</v>
      </c>
      <c r="B33" s="16">
        <v>2604.1325966850827</v>
      </c>
    </row>
    <row r="34" spans="1:2" x14ac:dyDescent="0.3">
      <c r="A34" s="6" t="s">
        <v>60</v>
      </c>
      <c r="B34" s="16">
        <v>4504.3488372093025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97D5C-072C-4E9C-93A2-5721AC10272E}">
  <dimension ref="A3:E36"/>
  <sheetViews>
    <sheetView workbookViewId="0">
      <selection activeCell="E1" sqref="E1"/>
    </sheetView>
  </sheetViews>
  <sheetFormatPr defaultRowHeight="14.4" x14ac:dyDescent="0.3"/>
  <cols>
    <col min="1" max="1" width="12.44140625" bestFit="1" customWidth="1"/>
    <col min="2" max="2" width="15.33203125" bestFit="1" customWidth="1"/>
    <col min="3" max="3" width="18.44140625" bestFit="1" customWidth="1"/>
    <col min="4" max="5" width="12" bestFit="1" customWidth="1"/>
    <col min="6" max="12" width="15.5546875" bestFit="1" customWidth="1"/>
    <col min="13" max="14" width="10.5546875" bestFit="1" customWidth="1"/>
  </cols>
  <sheetData>
    <row r="3" spans="1:2" x14ac:dyDescent="0.3">
      <c r="A3" s="5" t="s">
        <v>61</v>
      </c>
      <c r="B3" t="s">
        <v>62</v>
      </c>
    </row>
    <row r="4" spans="1:2" x14ac:dyDescent="0.3">
      <c r="A4" s="6" t="s">
        <v>25</v>
      </c>
      <c r="B4">
        <v>4728.1629213483147</v>
      </c>
    </row>
    <row r="5" spans="1:2" x14ac:dyDescent="0.3">
      <c r="A5" s="6" t="s">
        <v>23</v>
      </c>
      <c r="B5">
        <v>4992.33152173913</v>
      </c>
    </row>
    <row r="6" spans="1:2" x14ac:dyDescent="0.3">
      <c r="A6" s="6" t="s">
        <v>24</v>
      </c>
      <c r="B6">
        <v>5644.3031914893618</v>
      </c>
    </row>
    <row r="7" spans="1:2" x14ac:dyDescent="0.3">
      <c r="A7" s="6" t="s">
        <v>26</v>
      </c>
      <c r="B7">
        <v>2604.1325966850827</v>
      </c>
    </row>
    <row r="8" spans="1:2" x14ac:dyDescent="0.3">
      <c r="A8" s="6" t="s">
        <v>60</v>
      </c>
      <c r="B8">
        <v>4504.3488372093025</v>
      </c>
    </row>
    <row r="11" spans="1:2" x14ac:dyDescent="0.3">
      <c r="A11" s="5" t="s">
        <v>61</v>
      </c>
      <c r="B11" t="s">
        <v>62</v>
      </c>
    </row>
    <row r="12" spans="1:2" x14ac:dyDescent="0.3">
      <c r="A12" s="6">
        <v>0</v>
      </c>
      <c r="B12">
        <v>4330.1688311688313</v>
      </c>
    </row>
    <row r="13" spans="1:2" x14ac:dyDescent="0.3">
      <c r="A13" s="6">
        <v>1</v>
      </c>
      <c r="B13">
        <v>4584.82</v>
      </c>
    </row>
    <row r="14" spans="1:2" x14ac:dyDescent="0.3">
      <c r="A14" s="6" t="s">
        <v>60</v>
      </c>
      <c r="B14">
        <v>4504.3488372093025</v>
      </c>
    </row>
    <row r="17" spans="1:5" x14ac:dyDescent="0.3">
      <c r="A17" s="5" t="s">
        <v>61</v>
      </c>
      <c r="B17" t="s">
        <v>63</v>
      </c>
      <c r="C17" t="s">
        <v>64</v>
      </c>
    </row>
    <row r="18" spans="1:5" x14ac:dyDescent="0.3">
      <c r="A18" s="6">
        <v>0</v>
      </c>
      <c r="B18">
        <v>1371.1341991341992</v>
      </c>
      <c r="C18">
        <v>2959.0346320346321</v>
      </c>
    </row>
    <row r="19" spans="1:5" x14ac:dyDescent="0.3">
      <c r="A19" s="6">
        <v>1</v>
      </c>
      <c r="B19">
        <v>606.57000000000005</v>
      </c>
      <c r="C19">
        <v>3978.25</v>
      </c>
    </row>
    <row r="20" spans="1:5" x14ac:dyDescent="0.3">
      <c r="A20" s="6" t="s">
        <v>60</v>
      </c>
      <c r="B20">
        <v>848.17647058823525</v>
      </c>
      <c r="C20">
        <v>3656.1723666210669</v>
      </c>
    </row>
    <row r="23" spans="1:5" x14ac:dyDescent="0.3">
      <c r="A23" s="5" t="s">
        <v>61</v>
      </c>
      <c r="B23" t="s">
        <v>62</v>
      </c>
    </row>
    <row r="24" spans="1:5" x14ac:dyDescent="0.3">
      <c r="A24" s="6" t="s">
        <v>30</v>
      </c>
      <c r="B24">
        <v>4876.7861771058315</v>
      </c>
    </row>
    <row r="25" spans="1:5" x14ac:dyDescent="0.3">
      <c r="A25" s="6" t="s">
        <v>32</v>
      </c>
      <c r="B25">
        <v>1803.2857142857142</v>
      </c>
    </row>
    <row r="26" spans="1:5" x14ac:dyDescent="0.3">
      <c r="A26" s="6" t="s">
        <v>31</v>
      </c>
      <c r="B26">
        <v>4035.8623481781378</v>
      </c>
    </row>
    <row r="27" spans="1:5" x14ac:dyDescent="0.3">
      <c r="A27" s="6" t="s">
        <v>60</v>
      </c>
      <c r="B27">
        <v>4504.3488372093025</v>
      </c>
    </row>
    <row r="30" spans="1:5" x14ac:dyDescent="0.3">
      <c r="A30" s="5" t="s">
        <v>62</v>
      </c>
      <c r="B30" s="5" t="s">
        <v>65</v>
      </c>
    </row>
    <row r="31" spans="1:5" x14ac:dyDescent="0.3">
      <c r="A31" s="5" t="s">
        <v>61</v>
      </c>
      <c r="B31" t="s">
        <v>30</v>
      </c>
      <c r="C31" t="s">
        <v>32</v>
      </c>
      <c r="D31" t="s">
        <v>31</v>
      </c>
      <c r="E31" t="s">
        <v>60</v>
      </c>
    </row>
    <row r="32" spans="1:5" x14ac:dyDescent="0.3">
      <c r="A32" s="6" t="s">
        <v>25</v>
      </c>
      <c r="B32">
        <v>5043.5631067961167</v>
      </c>
      <c r="C32">
        <v>1961.6</v>
      </c>
      <c r="D32">
        <v>4654</v>
      </c>
      <c r="E32">
        <v>4728.1629213483147</v>
      </c>
    </row>
    <row r="33" spans="1:5" x14ac:dyDescent="0.3">
      <c r="A33" s="6" t="s">
        <v>23</v>
      </c>
      <c r="B33">
        <v>5548.5486725663714</v>
      </c>
      <c r="C33">
        <v>1169</v>
      </c>
      <c r="D33">
        <v>4236.7058823529414</v>
      </c>
      <c r="E33">
        <v>4992.33152173913</v>
      </c>
    </row>
    <row r="34" spans="1:5" x14ac:dyDescent="0.3">
      <c r="A34" s="6" t="s">
        <v>24</v>
      </c>
      <c r="B34">
        <v>5878.2573529411766</v>
      </c>
      <c r="C34">
        <v>2751.75</v>
      </c>
      <c r="D34">
        <v>5222.479166666667</v>
      </c>
      <c r="E34">
        <v>5644.3031914893618</v>
      </c>
    </row>
    <row r="35" spans="1:5" x14ac:dyDescent="0.3">
      <c r="A35" s="6" t="s">
        <v>26</v>
      </c>
      <c r="B35">
        <v>2811.135135135135</v>
      </c>
      <c r="C35">
        <v>934.75</v>
      </c>
      <c r="D35">
        <v>2357.1666666666665</v>
      </c>
      <c r="E35">
        <v>2604.1325966850827</v>
      </c>
    </row>
    <row r="36" spans="1:5" x14ac:dyDescent="0.3">
      <c r="A36" s="6" t="s">
        <v>60</v>
      </c>
      <c r="B36">
        <v>4876.7861771058315</v>
      </c>
      <c r="C36">
        <v>1803.2857142857142</v>
      </c>
      <c r="D36">
        <v>4035.8623481781378</v>
      </c>
      <c r="E36">
        <v>4504.3488372093025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523B3-B62A-41EE-A2A4-01D44017FF08}">
  <dimension ref="A1:N14"/>
  <sheetViews>
    <sheetView workbookViewId="0">
      <selection activeCell="I2" sqref="I2"/>
    </sheetView>
  </sheetViews>
  <sheetFormatPr defaultRowHeight="14.4" x14ac:dyDescent="0.3"/>
  <cols>
    <col min="7" max="7" width="5.21875" bestFit="1" customWidth="1"/>
    <col min="8" max="8" width="14.88671875" bestFit="1" customWidth="1"/>
    <col min="10" max="10" width="5.21875" bestFit="1" customWidth="1"/>
    <col min="11" max="11" width="9.77734375" bestFit="1" customWidth="1"/>
    <col min="13" max="13" width="5.21875" bestFit="1" customWidth="1"/>
    <col min="14" max="14" width="10.33203125" bestFit="1" customWidth="1"/>
  </cols>
  <sheetData>
    <row r="1" spans="1:14" x14ac:dyDescent="0.3">
      <c r="A1" s="15" t="s">
        <v>20</v>
      </c>
      <c r="B1" s="15"/>
      <c r="D1" s="15" t="s">
        <v>27</v>
      </c>
      <c r="E1" s="15"/>
      <c r="G1" s="15" t="s">
        <v>29</v>
      </c>
      <c r="H1" s="15"/>
      <c r="J1" s="15" t="s">
        <v>34</v>
      </c>
      <c r="K1" s="15"/>
      <c r="M1" s="15" t="s">
        <v>47</v>
      </c>
      <c r="N1" s="15"/>
    </row>
    <row r="2" spans="1:14" x14ac:dyDescent="0.3">
      <c r="A2" s="3" t="s">
        <v>21</v>
      </c>
      <c r="B2" s="3" t="s">
        <v>22</v>
      </c>
      <c r="D2" s="3" t="s">
        <v>21</v>
      </c>
      <c r="E2" s="3" t="s">
        <v>28</v>
      </c>
      <c r="G2" s="3" t="s">
        <v>21</v>
      </c>
      <c r="H2" s="3" t="s">
        <v>28</v>
      </c>
      <c r="J2" s="3" t="s">
        <v>21</v>
      </c>
      <c r="K2" s="3" t="s">
        <v>28</v>
      </c>
      <c r="M2" s="3" t="s">
        <v>21</v>
      </c>
      <c r="N2" s="3" t="s">
        <v>28</v>
      </c>
    </row>
    <row r="3" spans="1:14" x14ac:dyDescent="0.3">
      <c r="A3" s="3">
        <v>1</v>
      </c>
      <c r="B3" s="3" t="s">
        <v>26</v>
      </c>
      <c r="D3" s="3">
        <v>0</v>
      </c>
      <c r="E3" s="3">
        <v>2011</v>
      </c>
      <c r="G3" s="3">
        <v>1</v>
      </c>
      <c r="H3" s="3" t="s">
        <v>30</v>
      </c>
      <c r="J3" s="4">
        <v>1</v>
      </c>
      <c r="K3" s="4" t="s">
        <v>35</v>
      </c>
      <c r="M3" s="4">
        <v>0</v>
      </c>
      <c r="N3" s="4" t="s">
        <v>48</v>
      </c>
    </row>
    <row r="4" spans="1:14" x14ac:dyDescent="0.3">
      <c r="A4" s="3">
        <v>2</v>
      </c>
      <c r="B4" s="3" t="s">
        <v>23</v>
      </c>
      <c r="D4" s="3">
        <v>1</v>
      </c>
      <c r="E4" s="3">
        <v>2012</v>
      </c>
      <c r="G4" s="3">
        <v>2</v>
      </c>
      <c r="H4" s="3" t="s">
        <v>31</v>
      </c>
      <c r="J4" s="4">
        <v>2</v>
      </c>
      <c r="K4" s="4" t="s">
        <v>36</v>
      </c>
      <c r="M4" s="4">
        <v>1</v>
      </c>
      <c r="N4" s="4" t="s">
        <v>49</v>
      </c>
    </row>
    <row r="5" spans="1:14" x14ac:dyDescent="0.3">
      <c r="A5" s="3">
        <v>3</v>
      </c>
      <c r="B5" s="3" t="s">
        <v>24</v>
      </c>
      <c r="G5" s="3">
        <v>3</v>
      </c>
      <c r="H5" s="3" t="s">
        <v>32</v>
      </c>
      <c r="J5" s="4">
        <v>3</v>
      </c>
      <c r="K5" s="4" t="s">
        <v>37</v>
      </c>
      <c r="M5" s="4">
        <v>2</v>
      </c>
      <c r="N5" s="4" t="s">
        <v>50</v>
      </c>
    </row>
    <row r="6" spans="1:14" x14ac:dyDescent="0.3">
      <c r="A6" s="3">
        <v>4</v>
      </c>
      <c r="B6" s="3" t="s">
        <v>25</v>
      </c>
      <c r="G6" s="3">
        <v>4</v>
      </c>
      <c r="H6" s="3" t="s">
        <v>33</v>
      </c>
      <c r="J6" s="4">
        <v>4</v>
      </c>
      <c r="K6" s="4" t="s">
        <v>38</v>
      </c>
      <c r="M6" s="4">
        <v>3</v>
      </c>
      <c r="N6" s="4" t="s">
        <v>51</v>
      </c>
    </row>
    <row r="7" spans="1:14" x14ac:dyDescent="0.3">
      <c r="J7" s="4">
        <v>5</v>
      </c>
      <c r="K7" s="4" t="s">
        <v>39</v>
      </c>
      <c r="M7" s="4">
        <v>4</v>
      </c>
      <c r="N7" s="4" t="s">
        <v>52</v>
      </c>
    </row>
    <row r="8" spans="1:14" x14ac:dyDescent="0.3">
      <c r="J8" s="4">
        <v>6</v>
      </c>
      <c r="K8" s="4" t="s">
        <v>40</v>
      </c>
      <c r="M8" s="4">
        <v>5</v>
      </c>
      <c r="N8" s="4" t="s">
        <v>53</v>
      </c>
    </row>
    <row r="9" spans="1:14" x14ac:dyDescent="0.3">
      <c r="J9" s="4">
        <v>7</v>
      </c>
      <c r="K9" s="4" t="s">
        <v>41</v>
      </c>
      <c r="M9" s="4">
        <v>6</v>
      </c>
      <c r="N9" s="4" t="s">
        <v>54</v>
      </c>
    </row>
    <row r="10" spans="1:14" x14ac:dyDescent="0.3">
      <c r="J10" s="4">
        <v>8</v>
      </c>
      <c r="K10" s="4" t="s">
        <v>42</v>
      </c>
    </row>
    <row r="11" spans="1:14" x14ac:dyDescent="0.3">
      <c r="J11" s="4">
        <v>9</v>
      </c>
      <c r="K11" s="4" t="s">
        <v>43</v>
      </c>
    </row>
    <row r="12" spans="1:14" x14ac:dyDescent="0.3">
      <c r="J12" s="4">
        <v>10</v>
      </c>
      <c r="K12" s="4" t="s">
        <v>44</v>
      </c>
    </row>
    <row r="13" spans="1:14" x14ac:dyDescent="0.3">
      <c r="J13" s="4">
        <v>11</v>
      </c>
      <c r="K13" s="4" t="s">
        <v>45</v>
      </c>
    </row>
    <row r="14" spans="1:14" x14ac:dyDescent="0.3">
      <c r="J14" s="4">
        <v>12</v>
      </c>
      <c r="K14" s="4" t="s">
        <v>46</v>
      </c>
    </row>
  </sheetData>
  <mergeCells count="5">
    <mergeCell ref="A1:B1"/>
    <mergeCell ref="D1:E1"/>
    <mergeCell ref="G1:H1"/>
    <mergeCell ref="J1:K1"/>
    <mergeCell ref="M1:N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F03BC-FF5B-46A6-A9BE-741BF1094593}">
  <dimension ref="A1:Y732"/>
  <sheetViews>
    <sheetView workbookViewId="0"/>
  </sheetViews>
  <sheetFormatPr defaultRowHeight="14.4" x14ac:dyDescent="0.3"/>
  <cols>
    <col min="2" max="2" width="17.6640625" customWidth="1"/>
    <col min="17" max="17" width="10.88671875" customWidth="1"/>
    <col min="18" max="18" width="11.77734375" customWidth="1"/>
    <col min="19" max="19" width="11.33203125" customWidth="1"/>
    <col min="20" max="20" width="16" customWidth="1"/>
    <col min="21" max="21" width="14.6640625" customWidth="1"/>
    <col min="22" max="22" width="12" customWidth="1"/>
    <col min="23" max="23" width="14.109375" customWidth="1"/>
    <col min="24" max="24" width="11.44140625" customWidth="1"/>
    <col min="25" max="25" width="12.77734375"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s="2" t="s">
        <v>16</v>
      </c>
      <c r="R1" s="2" t="s">
        <v>17</v>
      </c>
      <c r="S1" s="2" t="s">
        <v>18</v>
      </c>
      <c r="T1" s="2" t="s">
        <v>19</v>
      </c>
      <c r="U1" s="2" t="s">
        <v>55</v>
      </c>
      <c r="V1" s="2" t="s">
        <v>57</v>
      </c>
      <c r="W1" s="2" t="s">
        <v>56</v>
      </c>
      <c r="X1" s="2" t="s">
        <v>58</v>
      </c>
      <c r="Y1" s="2" t="s">
        <v>59</v>
      </c>
    </row>
    <row r="2" spans="1:25" x14ac:dyDescent="0.3">
      <c r="A2">
        <v>1</v>
      </c>
      <c r="B2" s="1">
        <v>40544</v>
      </c>
      <c r="C2">
        <v>1</v>
      </c>
      <c r="D2">
        <v>0</v>
      </c>
      <c r="E2">
        <v>1</v>
      </c>
      <c r="F2">
        <v>0</v>
      </c>
      <c r="G2">
        <v>6</v>
      </c>
      <c r="H2">
        <v>0</v>
      </c>
      <c r="I2">
        <v>2</v>
      </c>
      <c r="J2">
        <v>0.344167</v>
      </c>
      <c r="K2">
        <v>0.36362499999999998</v>
      </c>
      <c r="L2">
        <v>0.80583300000000002</v>
      </c>
      <c r="M2">
        <v>0.16044600000000001</v>
      </c>
      <c r="N2">
        <v>331</v>
      </c>
      <c r="O2">
        <v>654</v>
      </c>
      <c r="P2">
        <v>985</v>
      </c>
      <c r="Q2">
        <f>J2*47-8</f>
        <v>8.1758489999999995</v>
      </c>
      <c r="R2">
        <f>K2*66-16</f>
        <v>7.99925</v>
      </c>
      <c r="S2">
        <f>L2*100</f>
        <v>80.583300000000008</v>
      </c>
      <c r="T2">
        <f>M2*67</f>
        <v>10.749881999999999</v>
      </c>
      <c r="U2" t="str">
        <f>_xlfn.XLOOKUP(C2,Lookup!$A$3:$A$6,Lookup!$B$3:$B$6)</f>
        <v>Winter</v>
      </c>
      <c r="V2">
        <f>_xlfn.XLOOKUP(D2,Lookup!$D$3:$D$4,Lookup!$E$3:$E$4)</f>
        <v>2011</v>
      </c>
      <c r="W2" t="str">
        <f>_xlfn.XLOOKUP(I2,Lookup!$G$3:$G$6,Lookup!$H$3:$H$6)</f>
        <v>Misty/Cloudy</v>
      </c>
      <c r="X2" t="str">
        <f>_xlfn.XLOOKUP(E2,Lookup!$J$3:$J$14,Lookup!$K$3:$K$14)</f>
        <v>January</v>
      </c>
      <c r="Y2" t="str">
        <f>_xlfn.XLOOKUP(G2,Lookup!$M$3:$M$9,Lookup!$N$3:$N$9)</f>
        <v>Saturday</v>
      </c>
    </row>
    <row r="3" spans="1:25" x14ac:dyDescent="0.3">
      <c r="A3">
        <v>2</v>
      </c>
      <c r="B3" s="1">
        <v>40545</v>
      </c>
      <c r="C3">
        <v>1</v>
      </c>
      <c r="D3">
        <v>0</v>
      </c>
      <c r="E3">
        <v>1</v>
      </c>
      <c r="F3">
        <v>0</v>
      </c>
      <c r="G3">
        <v>0</v>
      </c>
      <c r="H3">
        <v>0</v>
      </c>
      <c r="I3">
        <v>2</v>
      </c>
      <c r="J3">
        <v>0.36347800000000002</v>
      </c>
      <c r="K3">
        <v>0.35373900000000003</v>
      </c>
      <c r="L3">
        <v>0.69608700000000001</v>
      </c>
      <c r="M3">
        <v>0.24853900000000001</v>
      </c>
      <c r="N3">
        <v>131</v>
      </c>
      <c r="O3">
        <v>670</v>
      </c>
      <c r="P3">
        <v>801</v>
      </c>
      <c r="Q3">
        <f t="shared" ref="Q3:Q66" si="0">J3*47-8</f>
        <v>9.0834660000000014</v>
      </c>
      <c r="R3">
        <f t="shared" ref="R3:R66" si="1">K3*66-16</f>
        <v>7.3467740000000035</v>
      </c>
      <c r="S3">
        <f t="shared" ref="S3:S66" si="2">L3*100</f>
        <v>69.608699999999999</v>
      </c>
      <c r="T3">
        <f t="shared" ref="T3:T66" si="3">M3*67</f>
        <v>16.652113</v>
      </c>
      <c r="U3" t="str">
        <f>_xlfn.XLOOKUP(C3,Lookup!$A$3:$A$6,Lookup!$B$3:$B$6)</f>
        <v>Winter</v>
      </c>
      <c r="V3">
        <f>_xlfn.XLOOKUP(D3,Lookup!$D$3:$D$4,Lookup!$E$3:$E$4)</f>
        <v>2011</v>
      </c>
      <c r="W3" t="str">
        <f>_xlfn.XLOOKUP(I3,Lookup!$G$3:$G$6,Lookup!$H$3:$H$6)</f>
        <v>Misty/Cloudy</v>
      </c>
      <c r="X3" t="str">
        <f>_xlfn.XLOOKUP(E3,Lookup!$J$3:$J$14,Lookup!$K$3:$K$14)</f>
        <v>January</v>
      </c>
      <c r="Y3" t="str">
        <f>_xlfn.XLOOKUP(G3,Lookup!$M$3:$M$9,Lookup!$N$3:$N$9)</f>
        <v>Sunday</v>
      </c>
    </row>
    <row r="4" spans="1:25" x14ac:dyDescent="0.3">
      <c r="A4">
        <v>3</v>
      </c>
      <c r="B4" s="1">
        <v>40546</v>
      </c>
      <c r="C4">
        <v>1</v>
      </c>
      <c r="D4">
        <v>0</v>
      </c>
      <c r="E4">
        <v>1</v>
      </c>
      <c r="F4">
        <v>0</v>
      </c>
      <c r="G4">
        <v>1</v>
      </c>
      <c r="H4">
        <v>1</v>
      </c>
      <c r="I4">
        <v>1</v>
      </c>
      <c r="J4">
        <v>0.19636400000000001</v>
      </c>
      <c r="K4">
        <v>0.18940499999999999</v>
      </c>
      <c r="L4">
        <v>0.43727300000000002</v>
      </c>
      <c r="M4">
        <v>0.248309</v>
      </c>
      <c r="N4">
        <v>120</v>
      </c>
      <c r="O4">
        <v>1229</v>
      </c>
      <c r="P4">
        <v>1349</v>
      </c>
      <c r="Q4">
        <f t="shared" si="0"/>
        <v>1.2291080000000001</v>
      </c>
      <c r="R4">
        <f t="shared" si="1"/>
        <v>-3.499270000000001</v>
      </c>
      <c r="S4">
        <f t="shared" si="2"/>
        <v>43.7273</v>
      </c>
      <c r="T4">
        <f t="shared" si="3"/>
        <v>16.636703000000001</v>
      </c>
      <c r="U4" t="str">
        <f>_xlfn.XLOOKUP(C4,Lookup!$A$3:$A$6,Lookup!$B$3:$B$6)</f>
        <v>Winter</v>
      </c>
      <c r="V4">
        <f>_xlfn.XLOOKUP(D4,Lookup!$D$3:$D$4,Lookup!$E$3:$E$4)</f>
        <v>2011</v>
      </c>
      <c r="W4" t="str">
        <f>_xlfn.XLOOKUP(I4,Lookup!$G$3:$G$6,Lookup!$H$3:$H$6)</f>
        <v>Clear</v>
      </c>
      <c r="X4" t="str">
        <f>_xlfn.XLOOKUP(E4,Lookup!$J$3:$J$14,Lookup!$K$3:$K$14)</f>
        <v>January</v>
      </c>
      <c r="Y4" t="str">
        <f>_xlfn.XLOOKUP(G4,Lookup!$M$3:$M$9,Lookup!$N$3:$N$9)</f>
        <v>Monday</v>
      </c>
    </row>
    <row r="5" spans="1:25" x14ac:dyDescent="0.3">
      <c r="A5">
        <v>4</v>
      </c>
      <c r="B5" s="1">
        <v>40547</v>
      </c>
      <c r="C5">
        <v>1</v>
      </c>
      <c r="D5">
        <v>0</v>
      </c>
      <c r="E5">
        <v>1</v>
      </c>
      <c r="F5">
        <v>0</v>
      </c>
      <c r="G5">
        <v>2</v>
      </c>
      <c r="H5">
        <v>1</v>
      </c>
      <c r="I5">
        <v>1</v>
      </c>
      <c r="J5">
        <v>0.2</v>
      </c>
      <c r="K5">
        <v>0.212122</v>
      </c>
      <c r="L5">
        <v>0.59043500000000004</v>
      </c>
      <c r="M5">
        <v>0.16029599999999999</v>
      </c>
      <c r="N5">
        <v>108</v>
      </c>
      <c r="O5">
        <v>1454</v>
      </c>
      <c r="P5">
        <v>1562</v>
      </c>
      <c r="Q5">
        <f t="shared" si="0"/>
        <v>1.4000000000000004</v>
      </c>
      <c r="R5">
        <f t="shared" si="1"/>
        <v>-1.9999479999999998</v>
      </c>
      <c r="S5">
        <f t="shared" si="2"/>
        <v>59.043500000000002</v>
      </c>
      <c r="T5">
        <f t="shared" si="3"/>
        <v>10.739832</v>
      </c>
      <c r="U5" t="str">
        <f>_xlfn.XLOOKUP(C5,Lookup!$A$3:$A$6,Lookup!$B$3:$B$6)</f>
        <v>Winter</v>
      </c>
      <c r="V5">
        <f>_xlfn.XLOOKUP(D5,Lookup!$D$3:$D$4,Lookup!$E$3:$E$4)</f>
        <v>2011</v>
      </c>
      <c r="W5" t="str">
        <f>_xlfn.XLOOKUP(I5,Lookup!$G$3:$G$6,Lookup!$H$3:$H$6)</f>
        <v>Clear</v>
      </c>
      <c r="X5" t="str">
        <f>_xlfn.XLOOKUP(E5,Lookup!$J$3:$J$14,Lookup!$K$3:$K$14)</f>
        <v>January</v>
      </c>
      <c r="Y5" t="str">
        <f>_xlfn.XLOOKUP(G5,Lookup!$M$3:$M$9,Lookup!$N$3:$N$9)</f>
        <v>Tuesday</v>
      </c>
    </row>
    <row r="6" spans="1:25" x14ac:dyDescent="0.3">
      <c r="A6">
        <v>5</v>
      </c>
      <c r="B6" s="1">
        <v>40548</v>
      </c>
      <c r="C6">
        <v>1</v>
      </c>
      <c r="D6">
        <v>0</v>
      </c>
      <c r="E6">
        <v>1</v>
      </c>
      <c r="F6">
        <v>0</v>
      </c>
      <c r="G6">
        <v>3</v>
      </c>
      <c r="H6">
        <v>1</v>
      </c>
      <c r="I6">
        <v>1</v>
      </c>
      <c r="J6">
        <v>0.22695699999999999</v>
      </c>
      <c r="K6">
        <v>0.22927</v>
      </c>
      <c r="L6">
        <v>0.43695699999999998</v>
      </c>
      <c r="M6">
        <v>0.18690000000000001</v>
      </c>
      <c r="N6">
        <v>82</v>
      </c>
      <c r="O6">
        <v>1518</v>
      </c>
      <c r="P6">
        <v>1600</v>
      </c>
      <c r="Q6">
        <f t="shared" si="0"/>
        <v>2.6669789999999995</v>
      </c>
      <c r="R6">
        <f t="shared" si="1"/>
        <v>-0.86818000000000062</v>
      </c>
      <c r="S6">
        <f t="shared" si="2"/>
        <v>43.695699999999995</v>
      </c>
      <c r="T6">
        <f t="shared" si="3"/>
        <v>12.522300000000001</v>
      </c>
      <c r="U6" t="str">
        <f>_xlfn.XLOOKUP(C6,Lookup!$A$3:$A$6,Lookup!$B$3:$B$6)</f>
        <v>Winter</v>
      </c>
      <c r="V6">
        <f>_xlfn.XLOOKUP(D6,Lookup!$D$3:$D$4,Lookup!$E$3:$E$4)</f>
        <v>2011</v>
      </c>
      <c r="W6" t="str">
        <f>_xlfn.XLOOKUP(I6,Lookup!$G$3:$G$6,Lookup!$H$3:$H$6)</f>
        <v>Clear</v>
      </c>
      <c r="X6" t="str">
        <f>_xlfn.XLOOKUP(E6,Lookup!$J$3:$J$14,Lookup!$K$3:$K$14)</f>
        <v>January</v>
      </c>
      <c r="Y6" t="str">
        <f>_xlfn.XLOOKUP(G6,Lookup!$M$3:$M$9,Lookup!$N$3:$N$9)</f>
        <v>Wednesday</v>
      </c>
    </row>
    <row r="7" spans="1:25" x14ac:dyDescent="0.3">
      <c r="A7">
        <v>6</v>
      </c>
      <c r="B7" s="1">
        <v>40549</v>
      </c>
      <c r="C7">
        <v>1</v>
      </c>
      <c r="D7">
        <v>0</v>
      </c>
      <c r="E7">
        <v>1</v>
      </c>
      <c r="F7">
        <v>0</v>
      </c>
      <c r="G7">
        <v>4</v>
      </c>
      <c r="H7">
        <v>1</v>
      </c>
      <c r="I7">
        <v>1</v>
      </c>
      <c r="J7">
        <v>0.204348</v>
      </c>
      <c r="K7">
        <v>0.233209</v>
      </c>
      <c r="L7">
        <v>0.51826099999999997</v>
      </c>
      <c r="M7">
        <v>8.9565199999999998E-2</v>
      </c>
      <c r="N7">
        <v>88</v>
      </c>
      <c r="O7">
        <v>1518</v>
      </c>
      <c r="P7">
        <v>1606</v>
      </c>
      <c r="Q7">
        <f t="shared" si="0"/>
        <v>1.6043559999999992</v>
      </c>
      <c r="R7">
        <f t="shared" si="1"/>
        <v>-0.60820599999999914</v>
      </c>
      <c r="S7">
        <f t="shared" si="2"/>
        <v>51.826099999999997</v>
      </c>
      <c r="T7">
        <f t="shared" si="3"/>
        <v>6.0008683999999999</v>
      </c>
      <c r="U7" t="str">
        <f>_xlfn.XLOOKUP(C7,Lookup!$A$3:$A$6,Lookup!$B$3:$B$6)</f>
        <v>Winter</v>
      </c>
      <c r="V7">
        <f>_xlfn.XLOOKUP(D7,Lookup!$D$3:$D$4,Lookup!$E$3:$E$4)</f>
        <v>2011</v>
      </c>
      <c r="W7" t="str">
        <f>_xlfn.XLOOKUP(I7,Lookup!$G$3:$G$6,Lookup!$H$3:$H$6)</f>
        <v>Clear</v>
      </c>
      <c r="X7" t="str">
        <f>_xlfn.XLOOKUP(E7,Lookup!$J$3:$J$14,Lookup!$K$3:$K$14)</f>
        <v>January</v>
      </c>
      <c r="Y7" t="str">
        <f>_xlfn.XLOOKUP(G7,Lookup!$M$3:$M$9,Lookup!$N$3:$N$9)</f>
        <v>Thursday</v>
      </c>
    </row>
    <row r="8" spans="1:25" x14ac:dyDescent="0.3">
      <c r="A8">
        <v>7</v>
      </c>
      <c r="B8" s="1">
        <v>40550</v>
      </c>
      <c r="C8">
        <v>1</v>
      </c>
      <c r="D8">
        <v>0</v>
      </c>
      <c r="E8">
        <v>1</v>
      </c>
      <c r="F8">
        <v>0</v>
      </c>
      <c r="G8">
        <v>5</v>
      </c>
      <c r="H8">
        <v>1</v>
      </c>
      <c r="I8">
        <v>2</v>
      </c>
      <c r="J8">
        <v>0.196522</v>
      </c>
      <c r="K8">
        <v>0.208839</v>
      </c>
      <c r="L8">
        <v>0.49869599999999997</v>
      </c>
      <c r="M8">
        <v>0.16872599999999999</v>
      </c>
      <c r="N8">
        <v>148</v>
      </c>
      <c r="O8">
        <v>1362</v>
      </c>
      <c r="P8">
        <v>1510</v>
      </c>
      <c r="Q8">
        <f t="shared" si="0"/>
        <v>1.2365340000000007</v>
      </c>
      <c r="R8">
        <f t="shared" si="1"/>
        <v>-2.2166259999999998</v>
      </c>
      <c r="S8">
        <f t="shared" si="2"/>
        <v>49.869599999999998</v>
      </c>
      <c r="T8">
        <f t="shared" si="3"/>
        <v>11.304641999999999</v>
      </c>
      <c r="U8" t="str">
        <f>_xlfn.XLOOKUP(C8,Lookup!$A$3:$A$6,Lookup!$B$3:$B$6)</f>
        <v>Winter</v>
      </c>
      <c r="V8">
        <f>_xlfn.XLOOKUP(D8,Lookup!$D$3:$D$4,Lookup!$E$3:$E$4)</f>
        <v>2011</v>
      </c>
      <c r="W8" t="str">
        <f>_xlfn.XLOOKUP(I8,Lookup!$G$3:$G$6,Lookup!$H$3:$H$6)</f>
        <v>Misty/Cloudy</v>
      </c>
      <c r="X8" t="str">
        <f>_xlfn.XLOOKUP(E8,Lookup!$J$3:$J$14,Lookup!$K$3:$K$14)</f>
        <v>January</v>
      </c>
      <c r="Y8" t="str">
        <f>_xlfn.XLOOKUP(G8,Lookup!$M$3:$M$9,Lookup!$N$3:$N$9)</f>
        <v>Friday</v>
      </c>
    </row>
    <row r="9" spans="1:25" x14ac:dyDescent="0.3">
      <c r="A9">
        <v>8</v>
      </c>
      <c r="B9" s="1">
        <v>40551</v>
      </c>
      <c r="C9">
        <v>1</v>
      </c>
      <c r="D9">
        <v>0</v>
      </c>
      <c r="E9">
        <v>1</v>
      </c>
      <c r="F9">
        <v>0</v>
      </c>
      <c r="G9">
        <v>6</v>
      </c>
      <c r="H9">
        <v>0</v>
      </c>
      <c r="I9">
        <v>2</v>
      </c>
      <c r="J9">
        <v>0.16500000000000001</v>
      </c>
      <c r="K9">
        <v>0.16225400000000001</v>
      </c>
      <c r="L9">
        <v>0.535833</v>
      </c>
      <c r="M9">
        <v>0.26680399999999999</v>
      </c>
      <c r="N9">
        <v>68</v>
      </c>
      <c r="O9">
        <v>891</v>
      </c>
      <c r="P9">
        <v>959</v>
      </c>
      <c r="Q9">
        <f t="shared" si="0"/>
        <v>-0.24499999999999922</v>
      </c>
      <c r="R9">
        <f t="shared" si="1"/>
        <v>-5.2912359999999996</v>
      </c>
      <c r="S9">
        <f t="shared" si="2"/>
        <v>53.583300000000001</v>
      </c>
      <c r="T9">
        <f t="shared" si="3"/>
        <v>17.875868000000001</v>
      </c>
      <c r="U9" t="str">
        <f>_xlfn.XLOOKUP(C9,Lookup!$A$3:$A$6,Lookup!$B$3:$B$6)</f>
        <v>Winter</v>
      </c>
      <c r="V9">
        <f>_xlfn.XLOOKUP(D9,Lookup!$D$3:$D$4,Lookup!$E$3:$E$4)</f>
        <v>2011</v>
      </c>
      <c r="W9" t="str">
        <f>_xlfn.XLOOKUP(I9,Lookup!$G$3:$G$6,Lookup!$H$3:$H$6)</f>
        <v>Misty/Cloudy</v>
      </c>
      <c r="X9" t="str">
        <f>_xlfn.XLOOKUP(E9,Lookup!$J$3:$J$14,Lookup!$K$3:$K$14)</f>
        <v>January</v>
      </c>
      <c r="Y9" t="str">
        <f>_xlfn.XLOOKUP(G9,Lookup!$M$3:$M$9,Lookup!$N$3:$N$9)</f>
        <v>Saturday</v>
      </c>
    </row>
    <row r="10" spans="1:25" x14ac:dyDescent="0.3">
      <c r="A10">
        <v>9</v>
      </c>
      <c r="B10" s="1">
        <v>40552</v>
      </c>
      <c r="C10">
        <v>1</v>
      </c>
      <c r="D10">
        <v>0</v>
      </c>
      <c r="E10">
        <v>1</v>
      </c>
      <c r="F10">
        <v>0</v>
      </c>
      <c r="G10">
        <v>0</v>
      </c>
      <c r="H10">
        <v>0</v>
      </c>
      <c r="I10">
        <v>1</v>
      </c>
      <c r="J10">
        <v>0.13833300000000001</v>
      </c>
      <c r="K10">
        <v>0.116175</v>
      </c>
      <c r="L10">
        <v>0.43416700000000003</v>
      </c>
      <c r="M10">
        <v>0.36194999999999999</v>
      </c>
      <c r="N10">
        <v>54</v>
      </c>
      <c r="O10">
        <v>768</v>
      </c>
      <c r="P10">
        <v>822</v>
      </c>
      <c r="Q10">
        <f t="shared" si="0"/>
        <v>-1.4983489999999993</v>
      </c>
      <c r="R10">
        <f t="shared" si="1"/>
        <v>-8.3324499999999997</v>
      </c>
      <c r="S10">
        <f t="shared" si="2"/>
        <v>43.416700000000006</v>
      </c>
      <c r="T10">
        <f t="shared" si="3"/>
        <v>24.25065</v>
      </c>
      <c r="U10" t="str">
        <f>_xlfn.XLOOKUP(C10,Lookup!$A$3:$A$6,Lookup!$B$3:$B$6)</f>
        <v>Winter</v>
      </c>
      <c r="V10">
        <f>_xlfn.XLOOKUP(D10,Lookup!$D$3:$D$4,Lookup!$E$3:$E$4)</f>
        <v>2011</v>
      </c>
      <c r="W10" t="str">
        <f>_xlfn.XLOOKUP(I10,Lookup!$G$3:$G$6,Lookup!$H$3:$H$6)</f>
        <v>Clear</v>
      </c>
      <c r="X10" t="str">
        <f>_xlfn.XLOOKUP(E10,Lookup!$J$3:$J$14,Lookup!$K$3:$K$14)</f>
        <v>January</v>
      </c>
      <c r="Y10" t="str">
        <f>_xlfn.XLOOKUP(G10,Lookup!$M$3:$M$9,Lookup!$N$3:$N$9)</f>
        <v>Sunday</v>
      </c>
    </row>
    <row r="11" spans="1:25" x14ac:dyDescent="0.3">
      <c r="A11">
        <v>10</v>
      </c>
      <c r="B11" s="1">
        <v>40553</v>
      </c>
      <c r="C11">
        <v>1</v>
      </c>
      <c r="D11">
        <v>0</v>
      </c>
      <c r="E11">
        <v>1</v>
      </c>
      <c r="F11">
        <v>0</v>
      </c>
      <c r="G11">
        <v>1</v>
      </c>
      <c r="H11">
        <v>1</v>
      </c>
      <c r="I11">
        <v>1</v>
      </c>
      <c r="J11">
        <v>0.15083299999999999</v>
      </c>
      <c r="K11">
        <v>0.15088799999999999</v>
      </c>
      <c r="L11">
        <v>0.48291699999999999</v>
      </c>
      <c r="M11">
        <v>0.22326699999999999</v>
      </c>
      <c r="N11">
        <v>41</v>
      </c>
      <c r="O11">
        <v>1280</v>
      </c>
      <c r="P11">
        <v>1321</v>
      </c>
      <c r="Q11">
        <f t="shared" si="0"/>
        <v>-0.91084900000000069</v>
      </c>
      <c r="R11">
        <f t="shared" si="1"/>
        <v>-6.0413920000000001</v>
      </c>
      <c r="S11">
        <f t="shared" si="2"/>
        <v>48.291699999999999</v>
      </c>
      <c r="T11">
        <f t="shared" si="3"/>
        <v>14.958888999999999</v>
      </c>
      <c r="U11" t="str">
        <f>_xlfn.XLOOKUP(C11,Lookup!$A$3:$A$6,Lookup!$B$3:$B$6)</f>
        <v>Winter</v>
      </c>
      <c r="V11">
        <f>_xlfn.XLOOKUP(D11,Lookup!$D$3:$D$4,Lookup!$E$3:$E$4)</f>
        <v>2011</v>
      </c>
      <c r="W11" t="str">
        <f>_xlfn.XLOOKUP(I11,Lookup!$G$3:$G$6,Lookup!$H$3:$H$6)</f>
        <v>Clear</v>
      </c>
      <c r="X11" t="str">
        <f>_xlfn.XLOOKUP(E11,Lookup!$J$3:$J$14,Lookup!$K$3:$K$14)</f>
        <v>January</v>
      </c>
      <c r="Y11" t="str">
        <f>_xlfn.XLOOKUP(G11,Lookup!$M$3:$M$9,Lookup!$N$3:$N$9)</f>
        <v>Monday</v>
      </c>
    </row>
    <row r="12" spans="1:25" x14ac:dyDescent="0.3">
      <c r="A12">
        <v>11</v>
      </c>
      <c r="B12" s="1">
        <v>40554</v>
      </c>
      <c r="C12">
        <v>1</v>
      </c>
      <c r="D12">
        <v>0</v>
      </c>
      <c r="E12">
        <v>1</v>
      </c>
      <c r="F12">
        <v>0</v>
      </c>
      <c r="G12">
        <v>2</v>
      </c>
      <c r="H12">
        <v>1</v>
      </c>
      <c r="I12">
        <v>2</v>
      </c>
      <c r="J12">
        <v>0.16909099999999999</v>
      </c>
      <c r="K12">
        <v>0.191464</v>
      </c>
      <c r="L12">
        <v>0.68636399999999997</v>
      </c>
      <c r="M12">
        <v>0.122132</v>
      </c>
      <c r="N12">
        <v>43</v>
      </c>
      <c r="O12">
        <v>1220</v>
      </c>
      <c r="P12">
        <v>1263</v>
      </c>
      <c r="Q12">
        <f t="shared" si="0"/>
        <v>-5.2723000000000297E-2</v>
      </c>
      <c r="R12">
        <f t="shared" si="1"/>
        <v>-3.3633760000000006</v>
      </c>
      <c r="S12">
        <f t="shared" si="2"/>
        <v>68.636399999999995</v>
      </c>
      <c r="T12">
        <f t="shared" si="3"/>
        <v>8.1828440000000011</v>
      </c>
      <c r="U12" t="str">
        <f>_xlfn.XLOOKUP(C12,Lookup!$A$3:$A$6,Lookup!$B$3:$B$6)</f>
        <v>Winter</v>
      </c>
      <c r="V12">
        <f>_xlfn.XLOOKUP(D12,Lookup!$D$3:$D$4,Lookup!$E$3:$E$4)</f>
        <v>2011</v>
      </c>
      <c r="W12" t="str">
        <f>_xlfn.XLOOKUP(I12,Lookup!$G$3:$G$6,Lookup!$H$3:$H$6)</f>
        <v>Misty/Cloudy</v>
      </c>
      <c r="X12" t="str">
        <f>_xlfn.XLOOKUP(E12,Lookup!$J$3:$J$14,Lookup!$K$3:$K$14)</f>
        <v>January</v>
      </c>
      <c r="Y12" t="str">
        <f>_xlfn.XLOOKUP(G12,Lookup!$M$3:$M$9,Lookup!$N$3:$N$9)</f>
        <v>Tuesday</v>
      </c>
    </row>
    <row r="13" spans="1:25" x14ac:dyDescent="0.3">
      <c r="A13">
        <v>12</v>
      </c>
      <c r="B13" s="1">
        <v>40555</v>
      </c>
      <c r="C13">
        <v>1</v>
      </c>
      <c r="D13">
        <v>0</v>
      </c>
      <c r="E13">
        <v>1</v>
      </c>
      <c r="F13">
        <v>0</v>
      </c>
      <c r="G13">
        <v>3</v>
      </c>
      <c r="H13">
        <v>1</v>
      </c>
      <c r="I13">
        <v>1</v>
      </c>
      <c r="J13">
        <v>0.17272699999999999</v>
      </c>
      <c r="K13">
        <v>0.160473</v>
      </c>
      <c r="L13">
        <v>0.59954499999999999</v>
      </c>
      <c r="M13">
        <v>0.30462699999999998</v>
      </c>
      <c r="N13">
        <v>25</v>
      </c>
      <c r="O13">
        <v>1137</v>
      </c>
      <c r="P13">
        <v>1162</v>
      </c>
      <c r="Q13">
        <f t="shared" si="0"/>
        <v>0.11816899999999997</v>
      </c>
      <c r="R13">
        <f t="shared" si="1"/>
        <v>-5.4087820000000004</v>
      </c>
      <c r="S13">
        <f t="shared" si="2"/>
        <v>59.954499999999996</v>
      </c>
      <c r="T13">
        <f t="shared" si="3"/>
        <v>20.410008999999999</v>
      </c>
      <c r="U13" t="str">
        <f>_xlfn.XLOOKUP(C13,Lookup!$A$3:$A$6,Lookup!$B$3:$B$6)</f>
        <v>Winter</v>
      </c>
      <c r="V13">
        <f>_xlfn.XLOOKUP(D13,Lookup!$D$3:$D$4,Lookup!$E$3:$E$4)</f>
        <v>2011</v>
      </c>
      <c r="W13" t="str">
        <f>_xlfn.XLOOKUP(I13,Lookup!$G$3:$G$6,Lookup!$H$3:$H$6)</f>
        <v>Clear</v>
      </c>
      <c r="X13" t="str">
        <f>_xlfn.XLOOKUP(E13,Lookup!$J$3:$J$14,Lookup!$K$3:$K$14)</f>
        <v>January</v>
      </c>
      <c r="Y13" t="str">
        <f>_xlfn.XLOOKUP(G13,Lookup!$M$3:$M$9,Lookup!$N$3:$N$9)</f>
        <v>Wednesday</v>
      </c>
    </row>
    <row r="14" spans="1:25" x14ac:dyDescent="0.3">
      <c r="A14">
        <v>13</v>
      </c>
      <c r="B14" s="1">
        <v>40556</v>
      </c>
      <c r="C14">
        <v>1</v>
      </c>
      <c r="D14">
        <v>0</v>
      </c>
      <c r="E14">
        <v>1</v>
      </c>
      <c r="F14">
        <v>0</v>
      </c>
      <c r="G14">
        <v>4</v>
      </c>
      <c r="H14">
        <v>1</v>
      </c>
      <c r="I14">
        <v>1</v>
      </c>
      <c r="J14">
        <v>0.16500000000000001</v>
      </c>
      <c r="K14">
        <v>0.15088299999999999</v>
      </c>
      <c r="L14">
        <v>0.47041699999999997</v>
      </c>
      <c r="M14">
        <v>0.30099999999999999</v>
      </c>
      <c r="N14">
        <v>38</v>
      </c>
      <c r="O14">
        <v>1368</v>
      </c>
      <c r="P14">
        <v>1406</v>
      </c>
      <c r="Q14">
        <f t="shared" si="0"/>
        <v>-0.24499999999999922</v>
      </c>
      <c r="R14">
        <f t="shared" si="1"/>
        <v>-6.041722</v>
      </c>
      <c r="S14">
        <f t="shared" si="2"/>
        <v>47.041699999999999</v>
      </c>
      <c r="T14">
        <f t="shared" si="3"/>
        <v>20.166999999999998</v>
      </c>
      <c r="U14" t="str">
        <f>_xlfn.XLOOKUP(C14,Lookup!$A$3:$A$6,Lookup!$B$3:$B$6)</f>
        <v>Winter</v>
      </c>
      <c r="V14">
        <f>_xlfn.XLOOKUP(D14,Lookup!$D$3:$D$4,Lookup!$E$3:$E$4)</f>
        <v>2011</v>
      </c>
      <c r="W14" t="str">
        <f>_xlfn.XLOOKUP(I14,Lookup!$G$3:$G$6,Lookup!$H$3:$H$6)</f>
        <v>Clear</v>
      </c>
      <c r="X14" t="str">
        <f>_xlfn.XLOOKUP(E14,Lookup!$J$3:$J$14,Lookup!$K$3:$K$14)</f>
        <v>January</v>
      </c>
      <c r="Y14" t="str">
        <f>_xlfn.XLOOKUP(G14,Lookup!$M$3:$M$9,Lookup!$N$3:$N$9)</f>
        <v>Thursday</v>
      </c>
    </row>
    <row r="15" spans="1:25" x14ac:dyDescent="0.3">
      <c r="A15">
        <v>14</v>
      </c>
      <c r="B15" s="1">
        <v>40557</v>
      </c>
      <c r="C15">
        <v>1</v>
      </c>
      <c r="D15">
        <v>0</v>
      </c>
      <c r="E15">
        <v>1</v>
      </c>
      <c r="F15">
        <v>0</v>
      </c>
      <c r="G15">
        <v>5</v>
      </c>
      <c r="H15">
        <v>1</v>
      </c>
      <c r="I15">
        <v>1</v>
      </c>
      <c r="J15">
        <v>0.16087000000000001</v>
      </c>
      <c r="K15">
        <v>0.188413</v>
      </c>
      <c r="L15">
        <v>0.53782600000000003</v>
      </c>
      <c r="M15">
        <v>0.12654799999999999</v>
      </c>
      <c r="N15">
        <v>54</v>
      </c>
      <c r="O15">
        <v>1367</v>
      </c>
      <c r="P15">
        <v>1421</v>
      </c>
      <c r="Q15">
        <f t="shared" si="0"/>
        <v>-0.43910999999999945</v>
      </c>
      <c r="R15">
        <f t="shared" si="1"/>
        <v>-3.5647420000000007</v>
      </c>
      <c r="S15">
        <f t="shared" si="2"/>
        <v>53.782600000000002</v>
      </c>
      <c r="T15">
        <f t="shared" si="3"/>
        <v>8.4787160000000004</v>
      </c>
      <c r="U15" t="str">
        <f>_xlfn.XLOOKUP(C15,Lookup!$A$3:$A$6,Lookup!$B$3:$B$6)</f>
        <v>Winter</v>
      </c>
      <c r="V15">
        <f>_xlfn.XLOOKUP(D15,Lookup!$D$3:$D$4,Lookup!$E$3:$E$4)</f>
        <v>2011</v>
      </c>
      <c r="W15" t="str">
        <f>_xlfn.XLOOKUP(I15,Lookup!$G$3:$G$6,Lookup!$H$3:$H$6)</f>
        <v>Clear</v>
      </c>
      <c r="X15" t="str">
        <f>_xlfn.XLOOKUP(E15,Lookup!$J$3:$J$14,Lookup!$K$3:$K$14)</f>
        <v>January</v>
      </c>
      <c r="Y15" t="str">
        <f>_xlfn.XLOOKUP(G15,Lookup!$M$3:$M$9,Lookup!$N$3:$N$9)</f>
        <v>Friday</v>
      </c>
    </row>
    <row r="16" spans="1:25" x14ac:dyDescent="0.3">
      <c r="A16">
        <v>15</v>
      </c>
      <c r="B16" s="1">
        <v>40558</v>
      </c>
      <c r="C16">
        <v>1</v>
      </c>
      <c r="D16">
        <v>0</v>
      </c>
      <c r="E16">
        <v>1</v>
      </c>
      <c r="F16">
        <v>0</v>
      </c>
      <c r="G16">
        <v>6</v>
      </c>
      <c r="H16">
        <v>0</v>
      </c>
      <c r="I16">
        <v>2</v>
      </c>
      <c r="J16">
        <v>0.23333300000000001</v>
      </c>
      <c r="K16">
        <v>0.248112</v>
      </c>
      <c r="L16">
        <v>0.49875000000000003</v>
      </c>
      <c r="M16">
        <v>0.15796299999999999</v>
      </c>
      <c r="N16">
        <v>222</v>
      </c>
      <c r="O16">
        <v>1026</v>
      </c>
      <c r="P16">
        <v>1248</v>
      </c>
      <c r="Q16">
        <f t="shared" si="0"/>
        <v>2.9666510000000006</v>
      </c>
      <c r="R16">
        <f t="shared" si="1"/>
        <v>0.3753920000000015</v>
      </c>
      <c r="S16">
        <f t="shared" si="2"/>
        <v>49.875</v>
      </c>
      <c r="T16">
        <f t="shared" si="3"/>
        <v>10.583520999999999</v>
      </c>
      <c r="U16" t="str">
        <f>_xlfn.XLOOKUP(C16,Lookup!$A$3:$A$6,Lookup!$B$3:$B$6)</f>
        <v>Winter</v>
      </c>
      <c r="V16">
        <f>_xlfn.XLOOKUP(D16,Lookup!$D$3:$D$4,Lookup!$E$3:$E$4)</f>
        <v>2011</v>
      </c>
      <c r="W16" t="str">
        <f>_xlfn.XLOOKUP(I16,Lookup!$G$3:$G$6,Lookup!$H$3:$H$6)</f>
        <v>Misty/Cloudy</v>
      </c>
      <c r="X16" t="str">
        <f>_xlfn.XLOOKUP(E16,Lookup!$J$3:$J$14,Lookup!$K$3:$K$14)</f>
        <v>January</v>
      </c>
      <c r="Y16" t="str">
        <f>_xlfn.XLOOKUP(G16,Lookup!$M$3:$M$9,Lookup!$N$3:$N$9)</f>
        <v>Saturday</v>
      </c>
    </row>
    <row r="17" spans="1:25" x14ac:dyDescent="0.3">
      <c r="A17">
        <v>16</v>
      </c>
      <c r="B17" s="1">
        <v>40559</v>
      </c>
      <c r="C17">
        <v>1</v>
      </c>
      <c r="D17">
        <v>0</v>
      </c>
      <c r="E17">
        <v>1</v>
      </c>
      <c r="F17">
        <v>0</v>
      </c>
      <c r="G17">
        <v>0</v>
      </c>
      <c r="H17">
        <v>0</v>
      </c>
      <c r="I17">
        <v>1</v>
      </c>
      <c r="J17">
        <v>0.23166700000000001</v>
      </c>
      <c r="K17">
        <v>0.23421700000000001</v>
      </c>
      <c r="L17">
        <v>0.48375000000000001</v>
      </c>
      <c r="M17">
        <v>0.18843299999999999</v>
      </c>
      <c r="N17">
        <v>251</v>
      </c>
      <c r="O17">
        <v>953</v>
      </c>
      <c r="P17">
        <v>1204</v>
      </c>
      <c r="Q17">
        <f t="shared" si="0"/>
        <v>2.8883489999999998</v>
      </c>
      <c r="R17">
        <f t="shared" si="1"/>
        <v>-0.54167799999999922</v>
      </c>
      <c r="S17">
        <f t="shared" si="2"/>
        <v>48.375</v>
      </c>
      <c r="T17">
        <f t="shared" si="3"/>
        <v>12.625010999999999</v>
      </c>
      <c r="U17" t="str">
        <f>_xlfn.XLOOKUP(C17,Lookup!$A$3:$A$6,Lookup!$B$3:$B$6)</f>
        <v>Winter</v>
      </c>
      <c r="V17">
        <f>_xlfn.XLOOKUP(D17,Lookup!$D$3:$D$4,Lookup!$E$3:$E$4)</f>
        <v>2011</v>
      </c>
      <c r="W17" t="str">
        <f>_xlfn.XLOOKUP(I17,Lookup!$G$3:$G$6,Lookup!$H$3:$H$6)</f>
        <v>Clear</v>
      </c>
      <c r="X17" t="str">
        <f>_xlfn.XLOOKUP(E17,Lookup!$J$3:$J$14,Lookup!$K$3:$K$14)</f>
        <v>January</v>
      </c>
      <c r="Y17" t="str">
        <f>_xlfn.XLOOKUP(G17,Lookup!$M$3:$M$9,Lookup!$N$3:$N$9)</f>
        <v>Sunday</v>
      </c>
    </row>
    <row r="18" spans="1:25" x14ac:dyDescent="0.3">
      <c r="A18">
        <v>17</v>
      </c>
      <c r="B18" s="1">
        <v>40560</v>
      </c>
      <c r="C18">
        <v>1</v>
      </c>
      <c r="D18">
        <v>0</v>
      </c>
      <c r="E18">
        <v>1</v>
      </c>
      <c r="F18">
        <v>1</v>
      </c>
      <c r="G18">
        <v>1</v>
      </c>
      <c r="H18">
        <v>0</v>
      </c>
      <c r="I18">
        <v>2</v>
      </c>
      <c r="J18">
        <v>0.17583299999999999</v>
      </c>
      <c r="K18">
        <v>0.17677100000000001</v>
      </c>
      <c r="L18">
        <v>0.53749999999999998</v>
      </c>
      <c r="M18">
        <v>0.194017</v>
      </c>
      <c r="N18">
        <v>117</v>
      </c>
      <c r="O18">
        <v>883</v>
      </c>
      <c r="P18">
        <v>1000</v>
      </c>
      <c r="Q18">
        <f t="shared" si="0"/>
        <v>0.26415100000000002</v>
      </c>
      <c r="R18">
        <f t="shared" si="1"/>
        <v>-4.3331139999999984</v>
      </c>
      <c r="S18">
        <f t="shared" si="2"/>
        <v>53.75</v>
      </c>
      <c r="T18">
        <f t="shared" si="3"/>
        <v>12.999139</v>
      </c>
      <c r="U18" t="str">
        <f>_xlfn.XLOOKUP(C18,Lookup!$A$3:$A$6,Lookup!$B$3:$B$6)</f>
        <v>Winter</v>
      </c>
      <c r="V18">
        <f>_xlfn.XLOOKUP(D18,Lookup!$D$3:$D$4,Lookup!$E$3:$E$4)</f>
        <v>2011</v>
      </c>
      <c r="W18" t="str">
        <f>_xlfn.XLOOKUP(I18,Lookup!$G$3:$G$6,Lookup!$H$3:$H$6)</f>
        <v>Misty/Cloudy</v>
      </c>
      <c r="X18" t="str">
        <f>_xlfn.XLOOKUP(E18,Lookup!$J$3:$J$14,Lookup!$K$3:$K$14)</f>
        <v>January</v>
      </c>
      <c r="Y18" t="str">
        <f>_xlfn.XLOOKUP(G18,Lookup!$M$3:$M$9,Lookup!$N$3:$N$9)</f>
        <v>Monday</v>
      </c>
    </row>
    <row r="19" spans="1:25" x14ac:dyDescent="0.3">
      <c r="A19">
        <v>18</v>
      </c>
      <c r="B19" s="1">
        <v>40561</v>
      </c>
      <c r="C19">
        <v>1</v>
      </c>
      <c r="D19">
        <v>0</v>
      </c>
      <c r="E19">
        <v>1</v>
      </c>
      <c r="F19">
        <v>0</v>
      </c>
      <c r="G19">
        <v>2</v>
      </c>
      <c r="H19">
        <v>1</v>
      </c>
      <c r="I19">
        <v>2</v>
      </c>
      <c r="J19">
        <v>0.216667</v>
      </c>
      <c r="K19">
        <v>0.23233300000000001</v>
      </c>
      <c r="L19">
        <v>0.86166699999999996</v>
      </c>
      <c r="M19">
        <v>0.14677499999999999</v>
      </c>
      <c r="N19">
        <v>9</v>
      </c>
      <c r="O19">
        <v>674</v>
      </c>
      <c r="P19">
        <v>683</v>
      </c>
      <c r="Q19">
        <f t="shared" si="0"/>
        <v>2.1833489999999998</v>
      </c>
      <c r="R19">
        <f t="shared" si="1"/>
        <v>-0.66602199999999989</v>
      </c>
      <c r="S19">
        <f t="shared" si="2"/>
        <v>86.166699999999992</v>
      </c>
      <c r="T19">
        <f t="shared" si="3"/>
        <v>9.8339249999999989</v>
      </c>
      <c r="U19" t="str">
        <f>_xlfn.XLOOKUP(C19,Lookup!$A$3:$A$6,Lookup!$B$3:$B$6)</f>
        <v>Winter</v>
      </c>
      <c r="V19">
        <f>_xlfn.XLOOKUP(D19,Lookup!$D$3:$D$4,Lookup!$E$3:$E$4)</f>
        <v>2011</v>
      </c>
      <c r="W19" t="str">
        <f>_xlfn.XLOOKUP(I19,Lookup!$G$3:$G$6,Lookup!$H$3:$H$6)</f>
        <v>Misty/Cloudy</v>
      </c>
      <c r="X19" t="str">
        <f>_xlfn.XLOOKUP(E19,Lookup!$J$3:$J$14,Lookup!$K$3:$K$14)</f>
        <v>January</v>
      </c>
      <c r="Y19" t="str">
        <f>_xlfn.XLOOKUP(G19,Lookup!$M$3:$M$9,Lookup!$N$3:$N$9)</f>
        <v>Tuesday</v>
      </c>
    </row>
    <row r="20" spans="1:25" x14ac:dyDescent="0.3">
      <c r="A20">
        <v>19</v>
      </c>
      <c r="B20" s="1">
        <v>40562</v>
      </c>
      <c r="C20">
        <v>1</v>
      </c>
      <c r="D20">
        <v>0</v>
      </c>
      <c r="E20">
        <v>1</v>
      </c>
      <c r="F20">
        <v>0</v>
      </c>
      <c r="G20">
        <v>3</v>
      </c>
      <c r="H20">
        <v>1</v>
      </c>
      <c r="I20">
        <v>2</v>
      </c>
      <c r="J20">
        <v>0.29217399999999999</v>
      </c>
      <c r="K20">
        <v>0.29842200000000002</v>
      </c>
      <c r="L20">
        <v>0.74173900000000004</v>
      </c>
      <c r="M20">
        <v>0.208317</v>
      </c>
      <c r="N20">
        <v>78</v>
      </c>
      <c r="O20">
        <v>1572</v>
      </c>
      <c r="P20">
        <v>1650</v>
      </c>
      <c r="Q20">
        <f t="shared" si="0"/>
        <v>5.7321779999999993</v>
      </c>
      <c r="R20">
        <f t="shared" si="1"/>
        <v>3.6958520000000021</v>
      </c>
      <c r="S20">
        <f t="shared" si="2"/>
        <v>74.173900000000003</v>
      </c>
      <c r="T20">
        <f t="shared" si="3"/>
        <v>13.957239</v>
      </c>
      <c r="U20" t="str">
        <f>_xlfn.XLOOKUP(C20,Lookup!$A$3:$A$6,Lookup!$B$3:$B$6)</f>
        <v>Winter</v>
      </c>
      <c r="V20">
        <f>_xlfn.XLOOKUP(D20,Lookup!$D$3:$D$4,Lookup!$E$3:$E$4)</f>
        <v>2011</v>
      </c>
      <c r="W20" t="str">
        <f>_xlfn.XLOOKUP(I20,Lookup!$G$3:$G$6,Lookup!$H$3:$H$6)</f>
        <v>Misty/Cloudy</v>
      </c>
      <c r="X20" t="str">
        <f>_xlfn.XLOOKUP(E20,Lookup!$J$3:$J$14,Lookup!$K$3:$K$14)</f>
        <v>January</v>
      </c>
      <c r="Y20" t="str">
        <f>_xlfn.XLOOKUP(G20,Lookup!$M$3:$M$9,Lookup!$N$3:$N$9)</f>
        <v>Wednesday</v>
      </c>
    </row>
    <row r="21" spans="1:25" x14ac:dyDescent="0.3">
      <c r="A21">
        <v>20</v>
      </c>
      <c r="B21" s="1">
        <v>40563</v>
      </c>
      <c r="C21">
        <v>1</v>
      </c>
      <c r="D21">
        <v>0</v>
      </c>
      <c r="E21">
        <v>1</v>
      </c>
      <c r="F21">
        <v>0</v>
      </c>
      <c r="G21">
        <v>4</v>
      </c>
      <c r="H21">
        <v>1</v>
      </c>
      <c r="I21">
        <v>2</v>
      </c>
      <c r="J21">
        <v>0.26166699999999998</v>
      </c>
      <c r="K21">
        <v>0.25505</v>
      </c>
      <c r="L21">
        <v>0.53833299999999995</v>
      </c>
      <c r="M21">
        <v>0.19590399999999999</v>
      </c>
      <c r="N21">
        <v>83</v>
      </c>
      <c r="O21">
        <v>1844</v>
      </c>
      <c r="P21">
        <v>1927</v>
      </c>
      <c r="Q21">
        <f t="shared" si="0"/>
        <v>4.298349</v>
      </c>
      <c r="R21">
        <f t="shared" si="1"/>
        <v>0.83330000000000126</v>
      </c>
      <c r="S21">
        <f t="shared" si="2"/>
        <v>53.833299999999994</v>
      </c>
      <c r="T21">
        <f t="shared" si="3"/>
        <v>13.125567999999999</v>
      </c>
      <c r="U21" t="str">
        <f>_xlfn.XLOOKUP(C21,Lookup!$A$3:$A$6,Lookup!$B$3:$B$6)</f>
        <v>Winter</v>
      </c>
      <c r="V21">
        <f>_xlfn.XLOOKUP(D21,Lookup!$D$3:$D$4,Lookup!$E$3:$E$4)</f>
        <v>2011</v>
      </c>
      <c r="W21" t="str">
        <f>_xlfn.XLOOKUP(I21,Lookup!$G$3:$G$6,Lookup!$H$3:$H$6)</f>
        <v>Misty/Cloudy</v>
      </c>
      <c r="X21" t="str">
        <f>_xlfn.XLOOKUP(E21,Lookup!$J$3:$J$14,Lookup!$K$3:$K$14)</f>
        <v>January</v>
      </c>
      <c r="Y21" t="str">
        <f>_xlfn.XLOOKUP(G21,Lookup!$M$3:$M$9,Lookup!$N$3:$N$9)</f>
        <v>Thursday</v>
      </c>
    </row>
    <row r="22" spans="1:25" x14ac:dyDescent="0.3">
      <c r="A22">
        <v>21</v>
      </c>
      <c r="B22" s="1">
        <v>40564</v>
      </c>
      <c r="C22">
        <v>1</v>
      </c>
      <c r="D22">
        <v>0</v>
      </c>
      <c r="E22">
        <v>1</v>
      </c>
      <c r="F22">
        <v>0</v>
      </c>
      <c r="G22">
        <v>5</v>
      </c>
      <c r="H22">
        <v>1</v>
      </c>
      <c r="I22">
        <v>1</v>
      </c>
      <c r="J22">
        <v>0.17749999999999999</v>
      </c>
      <c r="K22">
        <v>0.157833</v>
      </c>
      <c r="L22">
        <v>0.45708300000000002</v>
      </c>
      <c r="M22">
        <v>0.353242</v>
      </c>
      <c r="N22">
        <v>75</v>
      </c>
      <c r="O22">
        <v>1468</v>
      </c>
      <c r="P22">
        <v>1543</v>
      </c>
      <c r="Q22">
        <f t="shared" si="0"/>
        <v>0.34249999999999936</v>
      </c>
      <c r="R22">
        <f t="shared" si="1"/>
        <v>-5.5830219999999997</v>
      </c>
      <c r="S22">
        <f t="shared" si="2"/>
        <v>45.708300000000001</v>
      </c>
      <c r="T22">
        <f t="shared" si="3"/>
        <v>23.667214000000001</v>
      </c>
      <c r="U22" t="str">
        <f>_xlfn.XLOOKUP(C22,Lookup!$A$3:$A$6,Lookup!$B$3:$B$6)</f>
        <v>Winter</v>
      </c>
      <c r="V22">
        <f>_xlfn.XLOOKUP(D22,Lookup!$D$3:$D$4,Lookup!$E$3:$E$4)</f>
        <v>2011</v>
      </c>
      <c r="W22" t="str">
        <f>_xlfn.XLOOKUP(I22,Lookup!$G$3:$G$6,Lookup!$H$3:$H$6)</f>
        <v>Clear</v>
      </c>
      <c r="X22" t="str">
        <f>_xlfn.XLOOKUP(E22,Lookup!$J$3:$J$14,Lookup!$K$3:$K$14)</f>
        <v>January</v>
      </c>
      <c r="Y22" t="str">
        <f>_xlfn.XLOOKUP(G22,Lookup!$M$3:$M$9,Lookup!$N$3:$N$9)</f>
        <v>Friday</v>
      </c>
    </row>
    <row r="23" spans="1:25" x14ac:dyDescent="0.3">
      <c r="A23">
        <v>22</v>
      </c>
      <c r="B23" s="1">
        <v>40565</v>
      </c>
      <c r="C23">
        <v>1</v>
      </c>
      <c r="D23">
        <v>0</v>
      </c>
      <c r="E23">
        <v>1</v>
      </c>
      <c r="F23">
        <v>0</v>
      </c>
      <c r="G23">
        <v>6</v>
      </c>
      <c r="H23">
        <v>0</v>
      </c>
      <c r="I23">
        <v>1</v>
      </c>
      <c r="J23">
        <v>5.91304E-2</v>
      </c>
      <c r="K23">
        <v>7.9069600000000004E-2</v>
      </c>
      <c r="L23">
        <v>0.4</v>
      </c>
      <c r="M23">
        <v>0.17197000000000001</v>
      </c>
      <c r="N23">
        <v>93</v>
      </c>
      <c r="O23">
        <v>888</v>
      </c>
      <c r="P23">
        <v>981</v>
      </c>
      <c r="Q23">
        <f t="shared" si="0"/>
        <v>-5.2208711999999995</v>
      </c>
      <c r="R23">
        <f t="shared" si="1"/>
        <v>-10.7814064</v>
      </c>
      <c r="S23">
        <f t="shared" si="2"/>
        <v>40</v>
      </c>
      <c r="T23">
        <f t="shared" si="3"/>
        <v>11.521990000000001</v>
      </c>
      <c r="U23" t="str">
        <f>_xlfn.XLOOKUP(C23,Lookup!$A$3:$A$6,Lookup!$B$3:$B$6)</f>
        <v>Winter</v>
      </c>
      <c r="V23">
        <f>_xlfn.XLOOKUP(D23,Lookup!$D$3:$D$4,Lookup!$E$3:$E$4)</f>
        <v>2011</v>
      </c>
      <c r="W23" t="str">
        <f>_xlfn.XLOOKUP(I23,Lookup!$G$3:$G$6,Lookup!$H$3:$H$6)</f>
        <v>Clear</v>
      </c>
      <c r="X23" t="str">
        <f>_xlfn.XLOOKUP(E23,Lookup!$J$3:$J$14,Lookup!$K$3:$K$14)</f>
        <v>January</v>
      </c>
      <c r="Y23" t="str">
        <f>_xlfn.XLOOKUP(G23,Lookup!$M$3:$M$9,Lookup!$N$3:$N$9)</f>
        <v>Saturday</v>
      </c>
    </row>
    <row r="24" spans="1:25" x14ac:dyDescent="0.3">
      <c r="A24">
        <v>23</v>
      </c>
      <c r="B24" s="1">
        <v>40566</v>
      </c>
      <c r="C24">
        <v>1</v>
      </c>
      <c r="D24">
        <v>0</v>
      </c>
      <c r="E24">
        <v>1</v>
      </c>
      <c r="F24">
        <v>0</v>
      </c>
      <c r="G24">
        <v>0</v>
      </c>
      <c r="H24">
        <v>0</v>
      </c>
      <c r="I24">
        <v>1</v>
      </c>
      <c r="J24">
        <v>9.6521700000000002E-2</v>
      </c>
      <c r="K24">
        <v>9.8839099999999999E-2</v>
      </c>
      <c r="L24">
        <v>0.43652200000000002</v>
      </c>
      <c r="M24">
        <v>0.24660000000000001</v>
      </c>
      <c r="N24">
        <v>150</v>
      </c>
      <c r="O24">
        <v>836</v>
      </c>
      <c r="P24">
        <v>986</v>
      </c>
      <c r="Q24">
        <f t="shared" si="0"/>
        <v>-3.4634801</v>
      </c>
      <c r="R24">
        <f t="shared" si="1"/>
        <v>-9.4766194000000006</v>
      </c>
      <c r="S24">
        <f t="shared" si="2"/>
        <v>43.652200000000001</v>
      </c>
      <c r="T24">
        <f t="shared" si="3"/>
        <v>16.522200000000002</v>
      </c>
      <c r="U24" t="str">
        <f>_xlfn.XLOOKUP(C24,Lookup!$A$3:$A$6,Lookup!$B$3:$B$6)</f>
        <v>Winter</v>
      </c>
      <c r="V24">
        <f>_xlfn.XLOOKUP(D24,Lookup!$D$3:$D$4,Lookup!$E$3:$E$4)</f>
        <v>2011</v>
      </c>
      <c r="W24" t="str">
        <f>_xlfn.XLOOKUP(I24,Lookup!$G$3:$G$6,Lookup!$H$3:$H$6)</f>
        <v>Clear</v>
      </c>
      <c r="X24" t="str">
        <f>_xlfn.XLOOKUP(E24,Lookup!$J$3:$J$14,Lookup!$K$3:$K$14)</f>
        <v>January</v>
      </c>
      <c r="Y24" t="str">
        <f>_xlfn.XLOOKUP(G24,Lookup!$M$3:$M$9,Lookup!$N$3:$N$9)</f>
        <v>Sunday</v>
      </c>
    </row>
    <row r="25" spans="1:25" x14ac:dyDescent="0.3">
      <c r="A25">
        <v>24</v>
      </c>
      <c r="B25" s="1">
        <v>40567</v>
      </c>
      <c r="C25">
        <v>1</v>
      </c>
      <c r="D25">
        <v>0</v>
      </c>
      <c r="E25">
        <v>1</v>
      </c>
      <c r="F25">
        <v>0</v>
      </c>
      <c r="G25">
        <v>1</v>
      </c>
      <c r="H25">
        <v>1</v>
      </c>
      <c r="I25">
        <v>1</v>
      </c>
      <c r="J25">
        <v>9.73913E-2</v>
      </c>
      <c r="K25">
        <v>0.11792999999999999</v>
      </c>
      <c r="L25">
        <v>0.49173899999999998</v>
      </c>
      <c r="M25">
        <v>0.15833</v>
      </c>
      <c r="N25">
        <v>86</v>
      </c>
      <c r="O25">
        <v>1330</v>
      </c>
      <c r="P25">
        <v>1416</v>
      </c>
      <c r="Q25">
        <f t="shared" si="0"/>
        <v>-3.4226089000000002</v>
      </c>
      <c r="R25">
        <f t="shared" si="1"/>
        <v>-8.2166200000000007</v>
      </c>
      <c r="S25">
        <f t="shared" si="2"/>
        <v>49.173899999999996</v>
      </c>
      <c r="T25">
        <f t="shared" si="3"/>
        <v>10.60811</v>
      </c>
      <c r="U25" t="str">
        <f>_xlfn.XLOOKUP(C25,Lookup!$A$3:$A$6,Lookup!$B$3:$B$6)</f>
        <v>Winter</v>
      </c>
      <c r="V25">
        <f>_xlfn.XLOOKUP(D25,Lookup!$D$3:$D$4,Lookup!$E$3:$E$4)</f>
        <v>2011</v>
      </c>
      <c r="W25" t="str">
        <f>_xlfn.XLOOKUP(I25,Lookup!$G$3:$G$6,Lookup!$H$3:$H$6)</f>
        <v>Clear</v>
      </c>
      <c r="X25" t="str">
        <f>_xlfn.XLOOKUP(E25,Lookup!$J$3:$J$14,Lookup!$K$3:$K$14)</f>
        <v>January</v>
      </c>
      <c r="Y25" t="str">
        <f>_xlfn.XLOOKUP(G25,Lookup!$M$3:$M$9,Lookup!$N$3:$N$9)</f>
        <v>Monday</v>
      </c>
    </row>
    <row r="26" spans="1:25" x14ac:dyDescent="0.3">
      <c r="A26">
        <v>25</v>
      </c>
      <c r="B26" s="1">
        <v>40568</v>
      </c>
      <c r="C26">
        <v>1</v>
      </c>
      <c r="D26">
        <v>0</v>
      </c>
      <c r="E26">
        <v>1</v>
      </c>
      <c r="F26">
        <v>0</v>
      </c>
      <c r="G26">
        <v>2</v>
      </c>
      <c r="H26">
        <v>1</v>
      </c>
      <c r="I26">
        <v>2</v>
      </c>
      <c r="J26">
        <v>0.22347800000000001</v>
      </c>
      <c r="K26">
        <v>0.23452600000000001</v>
      </c>
      <c r="L26">
        <v>0.61695699999999998</v>
      </c>
      <c r="M26">
        <v>0.12979599999999999</v>
      </c>
      <c r="N26">
        <v>186</v>
      </c>
      <c r="O26">
        <v>1799</v>
      </c>
      <c r="P26">
        <v>1985</v>
      </c>
      <c r="Q26">
        <f t="shared" si="0"/>
        <v>2.5034660000000013</v>
      </c>
      <c r="R26">
        <f t="shared" si="1"/>
        <v>-0.52128399999999964</v>
      </c>
      <c r="S26">
        <f t="shared" si="2"/>
        <v>61.695699999999995</v>
      </c>
      <c r="T26">
        <f t="shared" si="3"/>
        <v>8.696332</v>
      </c>
      <c r="U26" t="str">
        <f>_xlfn.XLOOKUP(C26,Lookup!$A$3:$A$6,Lookup!$B$3:$B$6)</f>
        <v>Winter</v>
      </c>
      <c r="V26">
        <f>_xlfn.XLOOKUP(D26,Lookup!$D$3:$D$4,Lookup!$E$3:$E$4)</f>
        <v>2011</v>
      </c>
      <c r="W26" t="str">
        <f>_xlfn.XLOOKUP(I26,Lookup!$G$3:$G$6,Lookup!$H$3:$H$6)</f>
        <v>Misty/Cloudy</v>
      </c>
      <c r="X26" t="str">
        <f>_xlfn.XLOOKUP(E26,Lookup!$J$3:$J$14,Lookup!$K$3:$K$14)</f>
        <v>January</v>
      </c>
      <c r="Y26" t="str">
        <f>_xlfn.XLOOKUP(G26,Lookup!$M$3:$M$9,Lookup!$N$3:$N$9)</f>
        <v>Tuesday</v>
      </c>
    </row>
    <row r="27" spans="1:25" x14ac:dyDescent="0.3">
      <c r="A27">
        <v>26</v>
      </c>
      <c r="B27" s="1">
        <v>40569</v>
      </c>
      <c r="C27">
        <v>1</v>
      </c>
      <c r="D27">
        <v>0</v>
      </c>
      <c r="E27">
        <v>1</v>
      </c>
      <c r="F27">
        <v>0</v>
      </c>
      <c r="G27">
        <v>3</v>
      </c>
      <c r="H27">
        <v>1</v>
      </c>
      <c r="I27">
        <v>3</v>
      </c>
      <c r="J27">
        <v>0.2175</v>
      </c>
      <c r="K27">
        <v>0.2036</v>
      </c>
      <c r="L27">
        <v>0.86250000000000004</v>
      </c>
      <c r="M27">
        <v>0.29385</v>
      </c>
      <c r="N27">
        <v>34</v>
      </c>
      <c r="O27">
        <v>472</v>
      </c>
      <c r="P27">
        <v>506</v>
      </c>
      <c r="Q27">
        <f t="shared" si="0"/>
        <v>2.2225000000000001</v>
      </c>
      <c r="R27">
        <f t="shared" si="1"/>
        <v>-2.5624000000000002</v>
      </c>
      <c r="S27">
        <f t="shared" si="2"/>
        <v>86.25</v>
      </c>
      <c r="T27">
        <f t="shared" si="3"/>
        <v>19.687950000000001</v>
      </c>
      <c r="U27" t="str">
        <f>_xlfn.XLOOKUP(C27,Lookup!$A$3:$A$6,Lookup!$B$3:$B$6)</f>
        <v>Winter</v>
      </c>
      <c r="V27">
        <f>_xlfn.XLOOKUP(D27,Lookup!$D$3:$D$4,Lookup!$E$3:$E$4)</f>
        <v>2011</v>
      </c>
      <c r="W27" t="str">
        <f>_xlfn.XLOOKUP(I27,Lookup!$G$3:$G$6,Lookup!$H$3:$H$6)</f>
        <v>Light Snow/Rain</v>
      </c>
      <c r="X27" t="str">
        <f>_xlfn.XLOOKUP(E27,Lookup!$J$3:$J$14,Lookup!$K$3:$K$14)</f>
        <v>January</v>
      </c>
      <c r="Y27" t="str">
        <f>_xlfn.XLOOKUP(G27,Lookup!$M$3:$M$9,Lookup!$N$3:$N$9)</f>
        <v>Wednesday</v>
      </c>
    </row>
    <row r="28" spans="1:25" x14ac:dyDescent="0.3">
      <c r="A28">
        <v>27</v>
      </c>
      <c r="B28" s="1">
        <v>40570</v>
      </c>
      <c r="C28">
        <v>1</v>
      </c>
      <c r="D28">
        <v>0</v>
      </c>
      <c r="E28">
        <v>1</v>
      </c>
      <c r="F28">
        <v>0</v>
      </c>
      <c r="G28">
        <v>4</v>
      </c>
      <c r="H28">
        <v>1</v>
      </c>
      <c r="I28">
        <v>1</v>
      </c>
      <c r="J28">
        <v>0.19500000000000001</v>
      </c>
      <c r="K28">
        <v>0.21970000000000001</v>
      </c>
      <c r="L28">
        <v>0.6875</v>
      </c>
      <c r="M28">
        <v>0.11383699999999999</v>
      </c>
      <c r="N28">
        <v>15</v>
      </c>
      <c r="O28">
        <v>416</v>
      </c>
      <c r="P28">
        <v>431</v>
      </c>
      <c r="Q28">
        <f t="shared" si="0"/>
        <v>1.1650000000000009</v>
      </c>
      <c r="R28">
        <f t="shared" si="1"/>
        <v>-1.4998000000000005</v>
      </c>
      <c r="S28">
        <f t="shared" si="2"/>
        <v>68.75</v>
      </c>
      <c r="T28">
        <f t="shared" si="3"/>
        <v>7.6270789999999993</v>
      </c>
      <c r="U28" t="str">
        <f>_xlfn.XLOOKUP(C28,Lookup!$A$3:$A$6,Lookup!$B$3:$B$6)</f>
        <v>Winter</v>
      </c>
      <c r="V28">
        <f>_xlfn.XLOOKUP(D28,Lookup!$D$3:$D$4,Lookup!$E$3:$E$4)</f>
        <v>2011</v>
      </c>
      <c r="W28" t="str">
        <f>_xlfn.XLOOKUP(I28,Lookup!$G$3:$G$6,Lookup!$H$3:$H$6)</f>
        <v>Clear</v>
      </c>
      <c r="X28" t="str">
        <f>_xlfn.XLOOKUP(E28,Lookup!$J$3:$J$14,Lookup!$K$3:$K$14)</f>
        <v>January</v>
      </c>
      <c r="Y28" t="str">
        <f>_xlfn.XLOOKUP(G28,Lookup!$M$3:$M$9,Lookup!$N$3:$N$9)</f>
        <v>Thursday</v>
      </c>
    </row>
    <row r="29" spans="1:25" x14ac:dyDescent="0.3">
      <c r="A29">
        <v>28</v>
      </c>
      <c r="B29" s="1">
        <v>40571</v>
      </c>
      <c r="C29">
        <v>1</v>
      </c>
      <c r="D29">
        <v>0</v>
      </c>
      <c r="E29">
        <v>1</v>
      </c>
      <c r="F29">
        <v>0</v>
      </c>
      <c r="G29">
        <v>5</v>
      </c>
      <c r="H29">
        <v>1</v>
      </c>
      <c r="I29">
        <v>2</v>
      </c>
      <c r="J29">
        <v>0.20347799999999999</v>
      </c>
      <c r="K29">
        <v>0.22331699999999999</v>
      </c>
      <c r="L29">
        <v>0.79304300000000005</v>
      </c>
      <c r="M29">
        <v>0.12330000000000001</v>
      </c>
      <c r="N29">
        <v>38</v>
      </c>
      <c r="O29">
        <v>1129</v>
      </c>
      <c r="P29">
        <v>1167</v>
      </c>
      <c r="Q29">
        <f t="shared" si="0"/>
        <v>1.563466</v>
      </c>
      <c r="R29">
        <f t="shared" si="1"/>
        <v>-1.2610780000000013</v>
      </c>
      <c r="S29">
        <f t="shared" si="2"/>
        <v>79.304300000000012</v>
      </c>
      <c r="T29">
        <f t="shared" si="3"/>
        <v>8.2611000000000008</v>
      </c>
      <c r="U29" t="str">
        <f>_xlfn.XLOOKUP(C29,Lookup!$A$3:$A$6,Lookup!$B$3:$B$6)</f>
        <v>Winter</v>
      </c>
      <c r="V29">
        <f>_xlfn.XLOOKUP(D29,Lookup!$D$3:$D$4,Lookup!$E$3:$E$4)</f>
        <v>2011</v>
      </c>
      <c r="W29" t="str">
        <f>_xlfn.XLOOKUP(I29,Lookup!$G$3:$G$6,Lookup!$H$3:$H$6)</f>
        <v>Misty/Cloudy</v>
      </c>
      <c r="X29" t="str">
        <f>_xlfn.XLOOKUP(E29,Lookup!$J$3:$J$14,Lookup!$K$3:$K$14)</f>
        <v>January</v>
      </c>
      <c r="Y29" t="str">
        <f>_xlfn.XLOOKUP(G29,Lookup!$M$3:$M$9,Lookup!$N$3:$N$9)</f>
        <v>Friday</v>
      </c>
    </row>
    <row r="30" spans="1:25" x14ac:dyDescent="0.3">
      <c r="A30">
        <v>29</v>
      </c>
      <c r="B30" s="1">
        <v>40572</v>
      </c>
      <c r="C30">
        <v>1</v>
      </c>
      <c r="D30">
        <v>0</v>
      </c>
      <c r="E30">
        <v>1</v>
      </c>
      <c r="F30">
        <v>0</v>
      </c>
      <c r="G30">
        <v>6</v>
      </c>
      <c r="H30">
        <v>0</v>
      </c>
      <c r="I30">
        <v>1</v>
      </c>
      <c r="J30">
        <v>0.196522</v>
      </c>
      <c r="K30">
        <v>0.21212600000000001</v>
      </c>
      <c r="L30">
        <v>0.65173899999999996</v>
      </c>
      <c r="M30">
        <v>0.14536499999999999</v>
      </c>
      <c r="N30">
        <v>123</v>
      </c>
      <c r="O30">
        <v>975</v>
      </c>
      <c r="P30">
        <v>1098</v>
      </c>
      <c r="Q30">
        <f t="shared" si="0"/>
        <v>1.2365340000000007</v>
      </c>
      <c r="R30">
        <f t="shared" si="1"/>
        <v>-1.9996840000000002</v>
      </c>
      <c r="S30">
        <f t="shared" si="2"/>
        <v>65.173899999999989</v>
      </c>
      <c r="T30">
        <f t="shared" si="3"/>
        <v>9.7394549999999995</v>
      </c>
      <c r="U30" t="str">
        <f>_xlfn.XLOOKUP(C30,Lookup!$A$3:$A$6,Lookup!$B$3:$B$6)</f>
        <v>Winter</v>
      </c>
      <c r="V30">
        <f>_xlfn.XLOOKUP(D30,Lookup!$D$3:$D$4,Lookup!$E$3:$E$4)</f>
        <v>2011</v>
      </c>
      <c r="W30" t="str">
        <f>_xlfn.XLOOKUP(I30,Lookup!$G$3:$G$6,Lookup!$H$3:$H$6)</f>
        <v>Clear</v>
      </c>
      <c r="X30" t="str">
        <f>_xlfn.XLOOKUP(E30,Lookup!$J$3:$J$14,Lookup!$K$3:$K$14)</f>
        <v>January</v>
      </c>
      <c r="Y30" t="str">
        <f>_xlfn.XLOOKUP(G30,Lookup!$M$3:$M$9,Lookup!$N$3:$N$9)</f>
        <v>Saturday</v>
      </c>
    </row>
    <row r="31" spans="1:25" x14ac:dyDescent="0.3">
      <c r="A31">
        <v>30</v>
      </c>
      <c r="B31" s="1">
        <v>40573</v>
      </c>
      <c r="C31">
        <v>1</v>
      </c>
      <c r="D31">
        <v>0</v>
      </c>
      <c r="E31">
        <v>1</v>
      </c>
      <c r="F31">
        <v>0</v>
      </c>
      <c r="G31">
        <v>0</v>
      </c>
      <c r="H31">
        <v>0</v>
      </c>
      <c r="I31">
        <v>1</v>
      </c>
      <c r="J31">
        <v>0.21652199999999999</v>
      </c>
      <c r="K31">
        <v>0.25032199999999999</v>
      </c>
      <c r="L31">
        <v>0.72217399999999998</v>
      </c>
      <c r="M31">
        <v>7.3982599999999996E-2</v>
      </c>
      <c r="N31">
        <v>140</v>
      </c>
      <c r="O31">
        <v>956</v>
      </c>
      <c r="P31">
        <v>1096</v>
      </c>
      <c r="Q31">
        <f t="shared" si="0"/>
        <v>2.1765340000000002</v>
      </c>
      <c r="R31">
        <f t="shared" si="1"/>
        <v>0.52125200000000049</v>
      </c>
      <c r="S31">
        <f t="shared" si="2"/>
        <v>72.217399999999998</v>
      </c>
      <c r="T31">
        <f t="shared" si="3"/>
        <v>4.9568341999999994</v>
      </c>
      <c r="U31" t="str">
        <f>_xlfn.XLOOKUP(C31,Lookup!$A$3:$A$6,Lookup!$B$3:$B$6)</f>
        <v>Winter</v>
      </c>
      <c r="V31">
        <f>_xlfn.XLOOKUP(D31,Lookup!$D$3:$D$4,Lookup!$E$3:$E$4)</f>
        <v>2011</v>
      </c>
      <c r="W31" t="str">
        <f>_xlfn.XLOOKUP(I31,Lookup!$G$3:$G$6,Lookup!$H$3:$H$6)</f>
        <v>Clear</v>
      </c>
      <c r="X31" t="str">
        <f>_xlfn.XLOOKUP(E31,Lookup!$J$3:$J$14,Lookup!$K$3:$K$14)</f>
        <v>January</v>
      </c>
      <c r="Y31" t="str">
        <f>_xlfn.XLOOKUP(G31,Lookup!$M$3:$M$9,Lookup!$N$3:$N$9)</f>
        <v>Sunday</v>
      </c>
    </row>
    <row r="32" spans="1:25" x14ac:dyDescent="0.3">
      <c r="A32">
        <v>31</v>
      </c>
      <c r="B32" s="1">
        <v>40574</v>
      </c>
      <c r="C32">
        <v>1</v>
      </c>
      <c r="D32">
        <v>0</v>
      </c>
      <c r="E32">
        <v>1</v>
      </c>
      <c r="F32">
        <v>0</v>
      </c>
      <c r="G32">
        <v>1</v>
      </c>
      <c r="H32">
        <v>1</v>
      </c>
      <c r="I32">
        <v>2</v>
      </c>
      <c r="J32">
        <v>0.18083299999999999</v>
      </c>
      <c r="K32">
        <v>0.18625</v>
      </c>
      <c r="L32">
        <v>0.60375000000000001</v>
      </c>
      <c r="M32">
        <v>0.187192</v>
      </c>
      <c r="N32">
        <v>42</v>
      </c>
      <c r="O32">
        <v>1459</v>
      </c>
      <c r="P32">
        <v>1501</v>
      </c>
      <c r="Q32">
        <f t="shared" si="0"/>
        <v>0.49915099999999946</v>
      </c>
      <c r="R32">
        <f t="shared" si="1"/>
        <v>-3.7074999999999996</v>
      </c>
      <c r="S32">
        <f t="shared" si="2"/>
        <v>60.375</v>
      </c>
      <c r="T32">
        <f t="shared" si="3"/>
        <v>12.541864</v>
      </c>
      <c r="U32" t="str">
        <f>_xlfn.XLOOKUP(C32,Lookup!$A$3:$A$6,Lookup!$B$3:$B$6)</f>
        <v>Winter</v>
      </c>
      <c r="V32">
        <f>_xlfn.XLOOKUP(D32,Lookup!$D$3:$D$4,Lookup!$E$3:$E$4)</f>
        <v>2011</v>
      </c>
      <c r="W32" t="str">
        <f>_xlfn.XLOOKUP(I32,Lookup!$G$3:$G$6,Lookup!$H$3:$H$6)</f>
        <v>Misty/Cloudy</v>
      </c>
      <c r="X32" t="str">
        <f>_xlfn.XLOOKUP(E32,Lookup!$J$3:$J$14,Lookup!$K$3:$K$14)</f>
        <v>January</v>
      </c>
      <c r="Y32" t="str">
        <f>_xlfn.XLOOKUP(G32,Lookup!$M$3:$M$9,Lookup!$N$3:$N$9)</f>
        <v>Monday</v>
      </c>
    </row>
    <row r="33" spans="1:25" x14ac:dyDescent="0.3">
      <c r="A33">
        <v>32</v>
      </c>
      <c r="B33" s="1">
        <v>40575</v>
      </c>
      <c r="C33">
        <v>1</v>
      </c>
      <c r="D33">
        <v>0</v>
      </c>
      <c r="E33">
        <v>2</v>
      </c>
      <c r="F33">
        <v>0</v>
      </c>
      <c r="G33">
        <v>2</v>
      </c>
      <c r="H33">
        <v>1</v>
      </c>
      <c r="I33">
        <v>2</v>
      </c>
      <c r="J33">
        <v>0.19217400000000001</v>
      </c>
      <c r="K33">
        <v>0.23452999999999999</v>
      </c>
      <c r="L33">
        <v>0.829565</v>
      </c>
      <c r="M33">
        <v>5.3213000000000003E-2</v>
      </c>
      <c r="N33">
        <v>47</v>
      </c>
      <c r="O33">
        <v>1313</v>
      </c>
      <c r="P33">
        <v>1360</v>
      </c>
      <c r="Q33">
        <f t="shared" si="0"/>
        <v>1.032178</v>
      </c>
      <c r="R33">
        <f t="shared" si="1"/>
        <v>-0.52102000000000004</v>
      </c>
      <c r="S33">
        <f t="shared" si="2"/>
        <v>82.956500000000005</v>
      </c>
      <c r="T33">
        <f t="shared" si="3"/>
        <v>3.5652710000000001</v>
      </c>
      <c r="U33" t="str">
        <f>_xlfn.XLOOKUP(C33,Lookup!$A$3:$A$6,Lookup!$B$3:$B$6)</f>
        <v>Winter</v>
      </c>
      <c r="V33">
        <f>_xlfn.XLOOKUP(D33,Lookup!$D$3:$D$4,Lookup!$E$3:$E$4)</f>
        <v>2011</v>
      </c>
      <c r="W33" t="str">
        <f>_xlfn.XLOOKUP(I33,Lookup!$G$3:$G$6,Lookup!$H$3:$H$6)</f>
        <v>Misty/Cloudy</v>
      </c>
      <c r="X33" t="str">
        <f>_xlfn.XLOOKUP(E33,Lookup!$J$3:$J$14,Lookup!$K$3:$K$14)</f>
        <v>February</v>
      </c>
      <c r="Y33" t="str">
        <f>_xlfn.XLOOKUP(G33,Lookup!$M$3:$M$9,Lookup!$N$3:$N$9)</f>
        <v>Tuesday</v>
      </c>
    </row>
    <row r="34" spans="1:25" x14ac:dyDescent="0.3">
      <c r="A34">
        <v>33</v>
      </c>
      <c r="B34" s="1">
        <v>40576</v>
      </c>
      <c r="C34">
        <v>1</v>
      </c>
      <c r="D34">
        <v>0</v>
      </c>
      <c r="E34">
        <v>2</v>
      </c>
      <c r="F34">
        <v>0</v>
      </c>
      <c r="G34">
        <v>3</v>
      </c>
      <c r="H34">
        <v>1</v>
      </c>
      <c r="I34">
        <v>2</v>
      </c>
      <c r="J34">
        <v>0.26</v>
      </c>
      <c r="K34">
        <v>0.254417</v>
      </c>
      <c r="L34">
        <v>0.77541700000000002</v>
      </c>
      <c r="M34">
        <v>0.26430799999999999</v>
      </c>
      <c r="N34">
        <v>72</v>
      </c>
      <c r="O34">
        <v>1454</v>
      </c>
      <c r="P34">
        <v>1526</v>
      </c>
      <c r="Q34">
        <f t="shared" si="0"/>
        <v>4.2200000000000006</v>
      </c>
      <c r="R34">
        <f t="shared" si="1"/>
        <v>0.7915220000000005</v>
      </c>
      <c r="S34">
        <f t="shared" si="2"/>
        <v>77.541700000000006</v>
      </c>
      <c r="T34">
        <f t="shared" si="3"/>
        <v>17.708635999999998</v>
      </c>
      <c r="U34" t="str">
        <f>_xlfn.XLOOKUP(C34,Lookup!$A$3:$A$6,Lookup!$B$3:$B$6)</f>
        <v>Winter</v>
      </c>
      <c r="V34">
        <f>_xlfn.XLOOKUP(D34,Lookup!$D$3:$D$4,Lookup!$E$3:$E$4)</f>
        <v>2011</v>
      </c>
      <c r="W34" t="str">
        <f>_xlfn.XLOOKUP(I34,Lookup!$G$3:$G$6,Lookup!$H$3:$H$6)</f>
        <v>Misty/Cloudy</v>
      </c>
      <c r="X34" t="str">
        <f>_xlfn.XLOOKUP(E34,Lookup!$J$3:$J$14,Lookup!$K$3:$K$14)</f>
        <v>February</v>
      </c>
      <c r="Y34" t="str">
        <f>_xlfn.XLOOKUP(G34,Lookup!$M$3:$M$9,Lookup!$N$3:$N$9)</f>
        <v>Wednesday</v>
      </c>
    </row>
    <row r="35" spans="1:25" x14ac:dyDescent="0.3">
      <c r="A35">
        <v>34</v>
      </c>
      <c r="B35" s="1">
        <v>40577</v>
      </c>
      <c r="C35">
        <v>1</v>
      </c>
      <c r="D35">
        <v>0</v>
      </c>
      <c r="E35">
        <v>2</v>
      </c>
      <c r="F35">
        <v>0</v>
      </c>
      <c r="G35">
        <v>4</v>
      </c>
      <c r="H35">
        <v>1</v>
      </c>
      <c r="I35">
        <v>1</v>
      </c>
      <c r="J35">
        <v>0.18695700000000001</v>
      </c>
      <c r="K35">
        <v>0.17787800000000001</v>
      </c>
      <c r="L35">
        <v>0.43782599999999999</v>
      </c>
      <c r="M35">
        <v>0.277752</v>
      </c>
      <c r="N35">
        <v>61</v>
      </c>
      <c r="O35">
        <v>1489</v>
      </c>
      <c r="P35">
        <v>1550</v>
      </c>
      <c r="Q35">
        <f t="shared" si="0"/>
        <v>0.78697900000000054</v>
      </c>
      <c r="R35">
        <f t="shared" si="1"/>
        <v>-4.2600519999999999</v>
      </c>
      <c r="S35">
        <f t="shared" si="2"/>
        <v>43.782600000000002</v>
      </c>
      <c r="T35">
        <f t="shared" si="3"/>
        <v>18.609383999999999</v>
      </c>
      <c r="U35" t="str">
        <f>_xlfn.XLOOKUP(C35,Lookup!$A$3:$A$6,Lookup!$B$3:$B$6)</f>
        <v>Winter</v>
      </c>
      <c r="V35">
        <f>_xlfn.XLOOKUP(D35,Lookup!$D$3:$D$4,Lookup!$E$3:$E$4)</f>
        <v>2011</v>
      </c>
      <c r="W35" t="str">
        <f>_xlfn.XLOOKUP(I35,Lookup!$G$3:$G$6,Lookup!$H$3:$H$6)</f>
        <v>Clear</v>
      </c>
      <c r="X35" t="str">
        <f>_xlfn.XLOOKUP(E35,Lookup!$J$3:$J$14,Lookup!$K$3:$K$14)</f>
        <v>February</v>
      </c>
      <c r="Y35" t="str">
        <f>_xlfn.XLOOKUP(G35,Lookup!$M$3:$M$9,Lookup!$N$3:$N$9)</f>
        <v>Thursday</v>
      </c>
    </row>
    <row r="36" spans="1:25" x14ac:dyDescent="0.3">
      <c r="A36">
        <v>35</v>
      </c>
      <c r="B36" s="1">
        <v>40578</v>
      </c>
      <c r="C36">
        <v>1</v>
      </c>
      <c r="D36">
        <v>0</v>
      </c>
      <c r="E36">
        <v>2</v>
      </c>
      <c r="F36">
        <v>0</v>
      </c>
      <c r="G36">
        <v>5</v>
      </c>
      <c r="H36">
        <v>1</v>
      </c>
      <c r="I36">
        <v>2</v>
      </c>
      <c r="J36">
        <v>0.21130399999999999</v>
      </c>
      <c r="K36">
        <v>0.22858700000000001</v>
      </c>
      <c r="L36">
        <v>0.58521699999999999</v>
      </c>
      <c r="M36">
        <v>0.12783900000000001</v>
      </c>
      <c r="N36">
        <v>88</v>
      </c>
      <c r="O36">
        <v>1620</v>
      </c>
      <c r="P36">
        <v>1708</v>
      </c>
      <c r="Q36">
        <f t="shared" si="0"/>
        <v>1.9312880000000003</v>
      </c>
      <c r="R36">
        <f t="shared" si="1"/>
        <v>-0.91325799999999902</v>
      </c>
      <c r="S36">
        <f t="shared" si="2"/>
        <v>58.521699999999996</v>
      </c>
      <c r="T36">
        <f t="shared" si="3"/>
        <v>8.565213</v>
      </c>
      <c r="U36" t="str">
        <f>_xlfn.XLOOKUP(C36,Lookup!$A$3:$A$6,Lookup!$B$3:$B$6)</f>
        <v>Winter</v>
      </c>
      <c r="V36">
        <f>_xlfn.XLOOKUP(D36,Lookup!$D$3:$D$4,Lookup!$E$3:$E$4)</f>
        <v>2011</v>
      </c>
      <c r="W36" t="str">
        <f>_xlfn.XLOOKUP(I36,Lookup!$G$3:$G$6,Lookup!$H$3:$H$6)</f>
        <v>Misty/Cloudy</v>
      </c>
      <c r="X36" t="str">
        <f>_xlfn.XLOOKUP(E36,Lookup!$J$3:$J$14,Lookup!$K$3:$K$14)</f>
        <v>February</v>
      </c>
      <c r="Y36" t="str">
        <f>_xlfn.XLOOKUP(G36,Lookup!$M$3:$M$9,Lookup!$N$3:$N$9)</f>
        <v>Friday</v>
      </c>
    </row>
    <row r="37" spans="1:25" x14ac:dyDescent="0.3">
      <c r="A37">
        <v>36</v>
      </c>
      <c r="B37" s="1">
        <v>40579</v>
      </c>
      <c r="C37">
        <v>1</v>
      </c>
      <c r="D37">
        <v>0</v>
      </c>
      <c r="E37">
        <v>2</v>
      </c>
      <c r="F37">
        <v>0</v>
      </c>
      <c r="G37">
        <v>6</v>
      </c>
      <c r="H37">
        <v>0</v>
      </c>
      <c r="I37">
        <v>2</v>
      </c>
      <c r="J37">
        <v>0.23333300000000001</v>
      </c>
      <c r="K37">
        <v>0.243058</v>
      </c>
      <c r="L37">
        <v>0.92916699999999997</v>
      </c>
      <c r="M37">
        <v>0.161079</v>
      </c>
      <c r="N37">
        <v>100</v>
      </c>
      <c r="O37">
        <v>905</v>
      </c>
      <c r="P37">
        <v>1005</v>
      </c>
      <c r="Q37">
        <f t="shared" si="0"/>
        <v>2.9666510000000006</v>
      </c>
      <c r="R37">
        <f t="shared" si="1"/>
        <v>4.1827999999998866E-2</v>
      </c>
      <c r="S37">
        <f t="shared" si="2"/>
        <v>92.916699999999992</v>
      </c>
      <c r="T37">
        <f t="shared" si="3"/>
        <v>10.792293000000001</v>
      </c>
      <c r="U37" t="str">
        <f>_xlfn.XLOOKUP(C37,Lookup!$A$3:$A$6,Lookup!$B$3:$B$6)</f>
        <v>Winter</v>
      </c>
      <c r="V37">
        <f>_xlfn.XLOOKUP(D37,Lookup!$D$3:$D$4,Lookup!$E$3:$E$4)</f>
        <v>2011</v>
      </c>
      <c r="W37" t="str">
        <f>_xlfn.XLOOKUP(I37,Lookup!$G$3:$G$6,Lookup!$H$3:$H$6)</f>
        <v>Misty/Cloudy</v>
      </c>
      <c r="X37" t="str">
        <f>_xlfn.XLOOKUP(E37,Lookup!$J$3:$J$14,Lookup!$K$3:$K$14)</f>
        <v>February</v>
      </c>
      <c r="Y37" t="str">
        <f>_xlfn.XLOOKUP(G37,Lookup!$M$3:$M$9,Lookup!$N$3:$N$9)</f>
        <v>Saturday</v>
      </c>
    </row>
    <row r="38" spans="1:25" x14ac:dyDescent="0.3">
      <c r="A38">
        <v>37</v>
      </c>
      <c r="B38" s="1">
        <v>40580</v>
      </c>
      <c r="C38">
        <v>1</v>
      </c>
      <c r="D38">
        <v>0</v>
      </c>
      <c r="E38">
        <v>2</v>
      </c>
      <c r="F38">
        <v>0</v>
      </c>
      <c r="G38">
        <v>0</v>
      </c>
      <c r="H38">
        <v>0</v>
      </c>
      <c r="I38">
        <v>1</v>
      </c>
      <c r="J38">
        <v>0.285833</v>
      </c>
      <c r="K38">
        <v>0.29167100000000001</v>
      </c>
      <c r="L38">
        <v>0.56833299999999998</v>
      </c>
      <c r="M38">
        <v>0.14180000000000001</v>
      </c>
      <c r="N38">
        <v>354</v>
      </c>
      <c r="O38">
        <v>1269</v>
      </c>
      <c r="P38">
        <v>1623</v>
      </c>
      <c r="Q38">
        <f t="shared" si="0"/>
        <v>5.434151</v>
      </c>
      <c r="R38">
        <f t="shared" si="1"/>
        <v>3.2502860000000027</v>
      </c>
      <c r="S38">
        <f t="shared" si="2"/>
        <v>56.833299999999994</v>
      </c>
      <c r="T38">
        <f t="shared" si="3"/>
        <v>9.5006000000000004</v>
      </c>
      <c r="U38" t="str">
        <f>_xlfn.XLOOKUP(C38,Lookup!$A$3:$A$6,Lookup!$B$3:$B$6)</f>
        <v>Winter</v>
      </c>
      <c r="V38">
        <f>_xlfn.XLOOKUP(D38,Lookup!$D$3:$D$4,Lookup!$E$3:$E$4)</f>
        <v>2011</v>
      </c>
      <c r="W38" t="str">
        <f>_xlfn.XLOOKUP(I38,Lookup!$G$3:$G$6,Lookup!$H$3:$H$6)</f>
        <v>Clear</v>
      </c>
      <c r="X38" t="str">
        <f>_xlfn.XLOOKUP(E38,Lookup!$J$3:$J$14,Lookup!$K$3:$K$14)</f>
        <v>February</v>
      </c>
      <c r="Y38" t="str">
        <f>_xlfn.XLOOKUP(G38,Lookup!$M$3:$M$9,Lookup!$N$3:$N$9)</f>
        <v>Sunday</v>
      </c>
    </row>
    <row r="39" spans="1:25" x14ac:dyDescent="0.3">
      <c r="A39">
        <v>38</v>
      </c>
      <c r="B39" s="1">
        <v>40581</v>
      </c>
      <c r="C39">
        <v>1</v>
      </c>
      <c r="D39">
        <v>0</v>
      </c>
      <c r="E39">
        <v>2</v>
      </c>
      <c r="F39">
        <v>0</v>
      </c>
      <c r="G39">
        <v>1</v>
      </c>
      <c r="H39">
        <v>1</v>
      </c>
      <c r="I39">
        <v>1</v>
      </c>
      <c r="J39">
        <v>0.27166699999999999</v>
      </c>
      <c r="K39">
        <v>0.30365799999999998</v>
      </c>
      <c r="L39">
        <v>0.73833300000000002</v>
      </c>
      <c r="M39">
        <v>4.5408299999999999E-2</v>
      </c>
      <c r="N39">
        <v>120</v>
      </c>
      <c r="O39">
        <v>1592</v>
      </c>
      <c r="P39">
        <v>1712</v>
      </c>
      <c r="Q39">
        <f t="shared" si="0"/>
        <v>4.7683489999999988</v>
      </c>
      <c r="R39">
        <f t="shared" si="1"/>
        <v>4.0414279999999998</v>
      </c>
      <c r="S39">
        <f t="shared" si="2"/>
        <v>73.833300000000008</v>
      </c>
      <c r="T39">
        <f t="shared" si="3"/>
        <v>3.0423561000000001</v>
      </c>
      <c r="U39" t="str">
        <f>_xlfn.XLOOKUP(C39,Lookup!$A$3:$A$6,Lookup!$B$3:$B$6)</f>
        <v>Winter</v>
      </c>
      <c r="V39">
        <f>_xlfn.XLOOKUP(D39,Lookup!$D$3:$D$4,Lookup!$E$3:$E$4)</f>
        <v>2011</v>
      </c>
      <c r="W39" t="str">
        <f>_xlfn.XLOOKUP(I39,Lookup!$G$3:$G$6,Lookup!$H$3:$H$6)</f>
        <v>Clear</v>
      </c>
      <c r="X39" t="str">
        <f>_xlfn.XLOOKUP(E39,Lookup!$J$3:$J$14,Lookup!$K$3:$K$14)</f>
        <v>February</v>
      </c>
      <c r="Y39" t="str">
        <f>_xlfn.XLOOKUP(G39,Lookup!$M$3:$M$9,Lookup!$N$3:$N$9)</f>
        <v>Monday</v>
      </c>
    </row>
    <row r="40" spans="1:25" x14ac:dyDescent="0.3">
      <c r="A40">
        <v>39</v>
      </c>
      <c r="B40" s="1">
        <v>40582</v>
      </c>
      <c r="C40">
        <v>1</v>
      </c>
      <c r="D40">
        <v>0</v>
      </c>
      <c r="E40">
        <v>2</v>
      </c>
      <c r="F40">
        <v>0</v>
      </c>
      <c r="G40">
        <v>2</v>
      </c>
      <c r="H40">
        <v>1</v>
      </c>
      <c r="I40">
        <v>1</v>
      </c>
      <c r="J40">
        <v>0.220833</v>
      </c>
      <c r="K40">
        <v>0.19824600000000001</v>
      </c>
      <c r="L40">
        <v>0.53791699999999998</v>
      </c>
      <c r="M40">
        <v>0.36194999999999999</v>
      </c>
      <c r="N40">
        <v>64</v>
      </c>
      <c r="O40">
        <v>1466</v>
      </c>
      <c r="P40">
        <v>1530</v>
      </c>
      <c r="Q40">
        <f t="shared" si="0"/>
        <v>2.3791510000000002</v>
      </c>
      <c r="R40">
        <f t="shared" si="1"/>
        <v>-2.9157639999999994</v>
      </c>
      <c r="S40">
        <f t="shared" si="2"/>
        <v>53.791699999999999</v>
      </c>
      <c r="T40">
        <f t="shared" si="3"/>
        <v>24.25065</v>
      </c>
      <c r="U40" t="str">
        <f>_xlfn.XLOOKUP(C40,Lookup!$A$3:$A$6,Lookup!$B$3:$B$6)</f>
        <v>Winter</v>
      </c>
      <c r="V40">
        <f>_xlfn.XLOOKUP(D40,Lookup!$D$3:$D$4,Lookup!$E$3:$E$4)</f>
        <v>2011</v>
      </c>
      <c r="W40" t="str">
        <f>_xlfn.XLOOKUP(I40,Lookup!$G$3:$G$6,Lookup!$H$3:$H$6)</f>
        <v>Clear</v>
      </c>
      <c r="X40" t="str">
        <f>_xlfn.XLOOKUP(E40,Lookup!$J$3:$J$14,Lookup!$K$3:$K$14)</f>
        <v>February</v>
      </c>
      <c r="Y40" t="str">
        <f>_xlfn.XLOOKUP(G40,Lookup!$M$3:$M$9,Lookup!$N$3:$N$9)</f>
        <v>Tuesday</v>
      </c>
    </row>
    <row r="41" spans="1:25" x14ac:dyDescent="0.3">
      <c r="A41">
        <v>40</v>
      </c>
      <c r="B41" s="1">
        <v>40583</v>
      </c>
      <c r="C41">
        <v>1</v>
      </c>
      <c r="D41">
        <v>0</v>
      </c>
      <c r="E41">
        <v>2</v>
      </c>
      <c r="F41">
        <v>0</v>
      </c>
      <c r="G41">
        <v>3</v>
      </c>
      <c r="H41">
        <v>1</v>
      </c>
      <c r="I41">
        <v>2</v>
      </c>
      <c r="J41">
        <v>0.13478299999999999</v>
      </c>
      <c r="K41">
        <v>0.14428299999999999</v>
      </c>
      <c r="L41">
        <v>0.49478299999999997</v>
      </c>
      <c r="M41">
        <v>0.18883900000000001</v>
      </c>
      <c r="N41">
        <v>53</v>
      </c>
      <c r="O41">
        <v>1552</v>
      </c>
      <c r="P41">
        <v>1605</v>
      </c>
      <c r="Q41">
        <f t="shared" si="0"/>
        <v>-1.6651990000000003</v>
      </c>
      <c r="R41">
        <f t="shared" si="1"/>
        <v>-6.4773220000000009</v>
      </c>
      <c r="S41">
        <f t="shared" si="2"/>
        <v>49.478299999999997</v>
      </c>
      <c r="T41">
        <f t="shared" si="3"/>
        <v>12.652213</v>
      </c>
      <c r="U41" t="str">
        <f>_xlfn.XLOOKUP(C41,Lookup!$A$3:$A$6,Lookup!$B$3:$B$6)</f>
        <v>Winter</v>
      </c>
      <c r="V41">
        <f>_xlfn.XLOOKUP(D41,Lookup!$D$3:$D$4,Lookup!$E$3:$E$4)</f>
        <v>2011</v>
      </c>
      <c r="W41" t="str">
        <f>_xlfn.XLOOKUP(I41,Lookup!$G$3:$G$6,Lookup!$H$3:$H$6)</f>
        <v>Misty/Cloudy</v>
      </c>
      <c r="X41" t="str">
        <f>_xlfn.XLOOKUP(E41,Lookup!$J$3:$J$14,Lookup!$K$3:$K$14)</f>
        <v>February</v>
      </c>
      <c r="Y41" t="str">
        <f>_xlfn.XLOOKUP(G41,Lookup!$M$3:$M$9,Lookup!$N$3:$N$9)</f>
        <v>Wednesday</v>
      </c>
    </row>
    <row r="42" spans="1:25" x14ac:dyDescent="0.3">
      <c r="A42">
        <v>41</v>
      </c>
      <c r="B42" s="1">
        <v>40584</v>
      </c>
      <c r="C42">
        <v>1</v>
      </c>
      <c r="D42">
        <v>0</v>
      </c>
      <c r="E42">
        <v>2</v>
      </c>
      <c r="F42">
        <v>0</v>
      </c>
      <c r="G42">
        <v>4</v>
      </c>
      <c r="H42">
        <v>1</v>
      </c>
      <c r="I42">
        <v>1</v>
      </c>
      <c r="J42">
        <v>0.144348</v>
      </c>
      <c r="K42">
        <v>0.14954799999999999</v>
      </c>
      <c r="L42">
        <v>0.43739099999999997</v>
      </c>
      <c r="M42">
        <v>0.22193499999999999</v>
      </c>
      <c r="N42">
        <v>47</v>
      </c>
      <c r="O42">
        <v>1491</v>
      </c>
      <c r="P42">
        <v>1538</v>
      </c>
      <c r="Q42">
        <f t="shared" si="0"/>
        <v>-1.2156440000000002</v>
      </c>
      <c r="R42">
        <f t="shared" si="1"/>
        <v>-6.1298320000000004</v>
      </c>
      <c r="S42">
        <f t="shared" si="2"/>
        <v>43.739100000000001</v>
      </c>
      <c r="T42">
        <f t="shared" si="3"/>
        <v>14.869645</v>
      </c>
      <c r="U42" t="str">
        <f>_xlfn.XLOOKUP(C42,Lookup!$A$3:$A$6,Lookup!$B$3:$B$6)</f>
        <v>Winter</v>
      </c>
      <c r="V42">
        <f>_xlfn.XLOOKUP(D42,Lookup!$D$3:$D$4,Lookup!$E$3:$E$4)</f>
        <v>2011</v>
      </c>
      <c r="W42" t="str">
        <f>_xlfn.XLOOKUP(I42,Lookup!$G$3:$G$6,Lookup!$H$3:$H$6)</f>
        <v>Clear</v>
      </c>
      <c r="X42" t="str">
        <f>_xlfn.XLOOKUP(E42,Lookup!$J$3:$J$14,Lookup!$K$3:$K$14)</f>
        <v>February</v>
      </c>
      <c r="Y42" t="str">
        <f>_xlfn.XLOOKUP(G42,Lookup!$M$3:$M$9,Lookup!$N$3:$N$9)</f>
        <v>Thursday</v>
      </c>
    </row>
    <row r="43" spans="1:25" x14ac:dyDescent="0.3">
      <c r="A43">
        <v>42</v>
      </c>
      <c r="B43" s="1">
        <v>40585</v>
      </c>
      <c r="C43">
        <v>1</v>
      </c>
      <c r="D43">
        <v>0</v>
      </c>
      <c r="E43">
        <v>2</v>
      </c>
      <c r="F43">
        <v>0</v>
      </c>
      <c r="G43">
        <v>5</v>
      </c>
      <c r="H43">
        <v>1</v>
      </c>
      <c r="I43">
        <v>1</v>
      </c>
      <c r="J43">
        <v>0.18909100000000001</v>
      </c>
      <c r="K43">
        <v>0.213509</v>
      </c>
      <c r="L43">
        <v>0.50636400000000004</v>
      </c>
      <c r="M43">
        <v>0.10854999999999999</v>
      </c>
      <c r="N43">
        <v>149</v>
      </c>
      <c r="O43">
        <v>1597</v>
      </c>
      <c r="P43">
        <v>1746</v>
      </c>
      <c r="Q43">
        <f t="shared" si="0"/>
        <v>0.88727700000000098</v>
      </c>
      <c r="R43">
        <f t="shared" si="1"/>
        <v>-1.9084059999999994</v>
      </c>
      <c r="S43">
        <f t="shared" si="2"/>
        <v>50.636400000000002</v>
      </c>
      <c r="T43">
        <f t="shared" si="3"/>
        <v>7.2728499999999991</v>
      </c>
      <c r="U43" t="str">
        <f>_xlfn.XLOOKUP(C43,Lookup!$A$3:$A$6,Lookup!$B$3:$B$6)</f>
        <v>Winter</v>
      </c>
      <c r="V43">
        <f>_xlfn.XLOOKUP(D43,Lookup!$D$3:$D$4,Lookup!$E$3:$E$4)</f>
        <v>2011</v>
      </c>
      <c r="W43" t="str">
        <f>_xlfn.XLOOKUP(I43,Lookup!$G$3:$G$6,Lookup!$H$3:$H$6)</f>
        <v>Clear</v>
      </c>
      <c r="X43" t="str">
        <f>_xlfn.XLOOKUP(E43,Lookup!$J$3:$J$14,Lookup!$K$3:$K$14)</f>
        <v>February</v>
      </c>
      <c r="Y43" t="str">
        <f>_xlfn.XLOOKUP(G43,Lookup!$M$3:$M$9,Lookup!$N$3:$N$9)</f>
        <v>Friday</v>
      </c>
    </row>
    <row r="44" spans="1:25" x14ac:dyDescent="0.3">
      <c r="A44">
        <v>43</v>
      </c>
      <c r="B44" s="1">
        <v>40586</v>
      </c>
      <c r="C44">
        <v>1</v>
      </c>
      <c r="D44">
        <v>0</v>
      </c>
      <c r="E44">
        <v>2</v>
      </c>
      <c r="F44">
        <v>0</v>
      </c>
      <c r="G44">
        <v>6</v>
      </c>
      <c r="H44">
        <v>0</v>
      </c>
      <c r="I44">
        <v>1</v>
      </c>
      <c r="J44">
        <v>0.2225</v>
      </c>
      <c r="K44">
        <v>0.23295399999999999</v>
      </c>
      <c r="L44">
        <v>0.54416699999999996</v>
      </c>
      <c r="M44">
        <v>0.20336699999999999</v>
      </c>
      <c r="N44">
        <v>288</v>
      </c>
      <c r="O44">
        <v>1184</v>
      </c>
      <c r="P44">
        <v>1472</v>
      </c>
      <c r="Q44">
        <f t="shared" si="0"/>
        <v>2.4574999999999996</v>
      </c>
      <c r="R44">
        <f t="shared" si="1"/>
        <v>-0.6250359999999997</v>
      </c>
      <c r="S44">
        <f t="shared" si="2"/>
        <v>54.416699999999999</v>
      </c>
      <c r="T44">
        <f t="shared" si="3"/>
        <v>13.625589</v>
      </c>
      <c r="U44" t="str">
        <f>_xlfn.XLOOKUP(C44,Lookup!$A$3:$A$6,Lookup!$B$3:$B$6)</f>
        <v>Winter</v>
      </c>
      <c r="V44">
        <f>_xlfn.XLOOKUP(D44,Lookup!$D$3:$D$4,Lookup!$E$3:$E$4)</f>
        <v>2011</v>
      </c>
      <c r="W44" t="str">
        <f>_xlfn.XLOOKUP(I44,Lookup!$G$3:$G$6,Lookup!$H$3:$H$6)</f>
        <v>Clear</v>
      </c>
      <c r="X44" t="str">
        <f>_xlfn.XLOOKUP(E44,Lookup!$J$3:$J$14,Lookup!$K$3:$K$14)</f>
        <v>February</v>
      </c>
      <c r="Y44" t="str">
        <f>_xlfn.XLOOKUP(G44,Lookup!$M$3:$M$9,Lookup!$N$3:$N$9)</f>
        <v>Saturday</v>
      </c>
    </row>
    <row r="45" spans="1:25" x14ac:dyDescent="0.3">
      <c r="A45">
        <v>44</v>
      </c>
      <c r="B45" s="1">
        <v>40587</v>
      </c>
      <c r="C45">
        <v>1</v>
      </c>
      <c r="D45">
        <v>0</v>
      </c>
      <c r="E45">
        <v>2</v>
      </c>
      <c r="F45">
        <v>0</v>
      </c>
      <c r="G45">
        <v>0</v>
      </c>
      <c r="H45">
        <v>0</v>
      </c>
      <c r="I45">
        <v>1</v>
      </c>
      <c r="J45">
        <v>0.31652200000000003</v>
      </c>
      <c r="K45">
        <v>0.32411299999999998</v>
      </c>
      <c r="L45">
        <v>0.45739099999999999</v>
      </c>
      <c r="M45">
        <v>0.26088299999999998</v>
      </c>
      <c r="N45">
        <v>397</v>
      </c>
      <c r="O45">
        <v>1192</v>
      </c>
      <c r="P45">
        <v>1589</v>
      </c>
      <c r="Q45">
        <f t="shared" si="0"/>
        <v>6.8765340000000013</v>
      </c>
      <c r="R45">
        <f t="shared" si="1"/>
        <v>5.3914580000000001</v>
      </c>
      <c r="S45">
        <f t="shared" si="2"/>
        <v>45.739100000000001</v>
      </c>
      <c r="T45">
        <f t="shared" si="3"/>
        <v>17.479160999999998</v>
      </c>
      <c r="U45" t="str">
        <f>_xlfn.XLOOKUP(C45,Lookup!$A$3:$A$6,Lookup!$B$3:$B$6)</f>
        <v>Winter</v>
      </c>
      <c r="V45">
        <f>_xlfn.XLOOKUP(D45,Lookup!$D$3:$D$4,Lookup!$E$3:$E$4)</f>
        <v>2011</v>
      </c>
      <c r="W45" t="str">
        <f>_xlfn.XLOOKUP(I45,Lookup!$G$3:$G$6,Lookup!$H$3:$H$6)</f>
        <v>Clear</v>
      </c>
      <c r="X45" t="str">
        <f>_xlfn.XLOOKUP(E45,Lookup!$J$3:$J$14,Lookup!$K$3:$K$14)</f>
        <v>February</v>
      </c>
      <c r="Y45" t="str">
        <f>_xlfn.XLOOKUP(G45,Lookup!$M$3:$M$9,Lookup!$N$3:$N$9)</f>
        <v>Sunday</v>
      </c>
    </row>
    <row r="46" spans="1:25" x14ac:dyDescent="0.3">
      <c r="A46">
        <v>45</v>
      </c>
      <c r="B46" s="1">
        <v>40588</v>
      </c>
      <c r="C46">
        <v>1</v>
      </c>
      <c r="D46">
        <v>0</v>
      </c>
      <c r="E46">
        <v>2</v>
      </c>
      <c r="F46">
        <v>0</v>
      </c>
      <c r="G46">
        <v>1</v>
      </c>
      <c r="H46">
        <v>1</v>
      </c>
      <c r="I46">
        <v>1</v>
      </c>
      <c r="J46">
        <v>0.41499999999999998</v>
      </c>
      <c r="K46">
        <v>0.39834999999999998</v>
      </c>
      <c r="L46">
        <v>0.37583299999999997</v>
      </c>
      <c r="M46">
        <v>0.417908</v>
      </c>
      <c r="N46">
        <v>208</v>
      </c>
      <c r="O46">
        <v>1705</v>
      </c>
      <c r="P46">
        <v>1913</v>
      </c>
      <c r="Q46">
        <f t="shared" si="0"/>
        <v>11.504999999999999</v>
      </c>
      <c r="R46">
        <f t="shared" si="1"/>
        <v>10.2911</v>
      </c>
      <c r="S46">
        <f t="shared" si="2"/>
        <v>37.583299999999994</v>
      </c>
      <c r="T46">
        <f t="shared" si="3"/>
        <v>27.999835999999998</v>
      </c>
      <c r="U46" t="str">
        <f>_xlfn.XLOOKUP(C46,Lookup!$A$3:$A$6,Lookup!$B$3:$B$6)</f>
        <v>Winter</v>
      </c>
      <c r="V46">
        <f>_xlfn.XLOOKUP(D46,Lookup!$D$3:$D$4,Lookup!$E$3:$E$4)</f>
        <v>2011</v>
      </c>
      <c r="W46" t="str">
        <f>_xlfn.XLOOKUP(I46,Lookup!$G$3:$G$6,Lookup!$H$3:$H$6)</f>
        <v>Clear</v>
      </c>
      <c r="X46" t="str">
        <f>_xlfn.XLOOKUP(E46,Lookup!$J$3:$J$14,Lookup!$K$3:$K$14)</f>
        <v>February</v>
      </c>
      <c r="Y46" t="str">
        <f>_xlfn.XLOOKUP(G46,Lookup!$M$3:$M$9,Lookup!$N$3:$N$9)</f>
        <v>Monday</v>
      </c>
    </row>
    <row r="47" spans="1:25" x14ac:dyDescent="0.3">
      <c r="A47">
        <v>46</v>
      </c>
      <c r="B47" s="1">
        <v>40589</v>
      </c>
      <c r="C47">
        <v>1</v>
      </c>
      <c r="D47">
        <v>0</v>
      </c>
      <c r="E47">
        <v>2</v>
      </c>
      <c r="F47">
        <v>0</v>
      </c>
      <c r="G47">
        <v>2</v>
      </c>
      <c r="H47">
        <v>1</v>
      </c>
      <c r="I47">
        <v>1</v>
      </c>
      <c r="J47">
        <v>0.26608700000000002</v>
      </c>
      <c r="K47">
        <v>0.254274</v>
      </c>
      <c r="L47">
        <v>0.31434800000000002</v>
      </c>
      <c r="M47">
        <v>0.29137400000000002</v>
      </c>
      <c r="N47">
        <v>140</v>
      </c>
      <c r="O47">
        <v>1675</v>
      </c>
      <c r="P47">
        <v>1815</v>
      </c>
      <c r="Q47">
        <f t="shared" si="0"/>
        <v>4.5060890000000011</v>
      </c>
      <c r="R47">
        <f t="shared" si="1"/>
        <v>0.78208400000000111</v>
      </c>
      <c r="S47">
        <f t="shared" si="2"/>
        <v>31.434800000000003</v>
      </c>
      <c r="T47">
        <f t="shared" si="3"/>
        <v>19.522058000000001</v>
      </c>
      <c r="U47" t="str">
        <f>_xlfn.XLOOKUP(C47,Lookup!$A$3:$A$6,Lookup!$B$3:$B$6)</f>
        <v>Winter</v>
      </c>
      <c r="V47">
        <f>_xlfn.XLOOKUP(D47,Lookup!$D$3:$D$4,Lookup!$E$3:$E$4)</f>
        <v>2011</v>
      </c>
      <c r="W47" t="str">
        <f>_xlfn.XLOOKUP(I47,Lookup!$G$3:$G$6,Lookup!$H$3:$H$6)</f>
        <v>Clear</v>
      </c>
      <c r="X47" t="str">
        <f>_xlfn.XLOOKUP(E47,Lookup!$J$3:$J$14,Lookup!$K$3:$K$14)</f>
        <v>February</v>
      </c>
      <c r="Y47" t="str">
        <f>_xlfn.XLOOKUP(G47,Lookup!$M$3:$M$9,Lookup!$N$3:$N$9)</f>
        <v>Tuesday</v>
      </c>
    </row>
    <row r="48" spans="1:25" x14ac:dyDescent="0.3">
      <c r="A48">
        <v>47</v>
      </c>
      <c r="B48" s="1">
        <v>40590</v>
      </c>
      <c r="C48">
        <v>1</v>
      </c>
      <c r="D48">
        <v>0</v>
      </c>
      <c r="E48">
        <v>2</v>
      </c>
      <c r="F48">
        <v>0</v>
      </c>
      <c r="G48">
        <v>3</v>
      </c>
      <c r="H48">
        <v>1</v>
      </c>
      <c r="I48">
        <v>1</v>
      </c>
      <c r="J48">
        <v>0.31826100000000002</v>
      </c>
      <c r="K48">
        <v>0.31619999999999998</v>
      </c>
      <c r="L48">
        <v>0.42347800000000002</v>
      </c>
      <c r="M48">
        <v>0.25179099999999999</v>
      </c>
      <c r="N48">
        <v>218</v>
      </c>
      <c r="O48">
        <v>1897</v>
      </c>
      <c r="P48">
        <v>2115</v>
      </c>
      <c r="Q48">
        <f t="shared" si="0"/>
        <v>6.9582670000000011</v>
      </c>
      <c r="R48">
        <f t="shared" si="1"/>
        <v>4.8691999999999993</v>
      </c>
      <c r="S48">
        <f t="shared" si="2"/>
        <v>42.347799999999999</v>
      </c>
      <c r="T48">
        <f t="shared" si="3"/>
        <v>16.869996999999998</v>
      </c>
      <c r="U48" t="str">
        <f>_xlfn.XLOOKUP(C48,Lookup!$A$3:$A$6,Lookup!$B$3:$B$6)</f>
        <v>Winter</v>
      </c>
      <c r="V48">
        <f>_xlfn.XLOOKUP(D48,Lookup!$D$3:$D$4,Lookup!$E$3:$E$4)</f>
        <v>2011</v>
      </c>
      <c r="W48" t="str">
        <f>_xlfn.XLOOKUP(I48,Lookup!$G$3:$G$6,Lookup!$H$3:$H$6)</f>
        <v>Clear</v>
      </c>
      <c r="X48" t="str">
        <f>_xlfn.XLOOKUP(E48,Lookup!$J$3:$J$14,Lookup!$K$3:$K$14)</f>
        <v>February</v>
      </c>
      <c r="Y48" t="str">
        <f>_xlfn.XLOOKUP(G48,Lookup!$M$3:$M$9,Lookup!$N$3:$N$9)</f>
        <v>Wednesday</v>
      </c>
    </row>
    <row r="49" spans="1:25" x14ac:dyDescent="0.3">
      <c r="A49">
        <v>48</v>
      </c>
      <c r="B49" s="1">
        <v>40591</v>
      </c>
      <c r="C49">
        <v>1</v>
      </c>
      <c r="D49">
        <v>0</v>
      </c>
      <c r="E49">
        <v>2</v>
      </c>
      <c r="F49">
        <v>0</v>
      </c>
      <c r="G49">
        <v>4</v>
      </c>
      <c r="H49">
        <v>1</v>
      </c>
      <c r="I49">
        <v>1</v>
      </c>
      <c r="J49">
        <v>0.43583300000000003</v>
      </c>
      <c r="K49">
        <v>0.42865799999999998</v>
      </c>
      <c r="L49">
        <v>0.505</v>
      </c>
      <c r="M49">
        <v>0.230104</v>
      </c>
      <c r="N49">
        <v>259</v>
      </c>
      <c r="O49">
        <v>2216</v>
      </c>
      <c r="P49">
        <v>2475</v>
      </c>
      <c r="Q49">
        <f t="shared" si="0"/>
        <v>12.484151000000001</v>
      </c>
      <c r="R49">
        <f t="shared" si="1"/>
        <v>12.291428</v>
      </c>
      <c r="S49">
        <f t="shared" si="2"/>
        <v>50.5</v>
      </c>
      <c r="T49">
        <f t="shared" si="3"/>
        <v>15.416968000000001</v>
      </c>
      <c r="U49" t="str">
        <f>_xlfn.XLOOKUP(C49,Lookup!$A$3:$A$6,Lookup!$B$3:$B$6)</f>
        <v>Winter</v>
      </c>
      <c r="V49">
        <f>_xlfn.XLOOKUP(D49,Lookup!$D$3:$D$4,Lookup!$E$3:$E$4)</f>
        <v>2011</v>
      </c>
      <c r="W49" t="str">
        <f>_xlfn.XLOOKUP(I49,Lookup!$G$3:$G$6,Lookup!$H$3:$H$6)</f>
        <v>Clear</v>
      </c>
      <c r="X49" t="str">
        <f>_xlfn.XLOOKUP(E49,Lookup!$J$3:$J$14,Lookup!$K$3:$K$14)</f>
        <v>February</v>
      </c>
      <c r="Y49" t="str">
        <f>_xlfn.XLOOKUP(G49,Lookup!$M$3:$M$9,Lookup!$N$3:$N$9)</f>
        <v>Thursday</v>
      </c>
    </row>
    <row r="50" spans="1:25" x14ac:dyDescent="0.3">
      <c r="A50">
        <v>49</v>
      </c>
      <c r="B50" s="1">
        <v>40592</v>
      </c>
      <c r="C50">
        <v>1</v>
      </c>
      <c r="D50">
        <v>0</v>
      </c>
      <c r="E50">
        <v>2</v>
      </c>
      <c r="F50">
        <v>0</v>
      </c>
      <c r="G50">
        <v>5</v>
      </c>
      <c r="H50">
        <v>1</v>
      </c>
      <c r="I50">
        <v>1</v>
      </c>
      <c r="J50">
        <v>0.52166699999999999</v>
      </c>
      <c r="K50">
        <v>0.51198299999999997</v>
      </c>
      <c r="L50">
        <v>0.51666699999999999</v>
      </c>
      <c r="M50">
        <v>0.26492500000000002</v>
      </c>
      <c r="N50">
        <v>579</v>
      </c>
      <c r="O50">
        <v>2348</v>
      </c>
      <c r="P50">
        <v>2927</v>
      </c>
      <c r="Q50">
        <f t="shared" si="0"/>
        <v>16.518349000000001</v>
      </c>
      <c r="R50">
        <f t="shared" si="1"/>
        <v>17.790877999999999</v>
      </c>
      <c r="S50">
        <f t="shared" si="2"/>
        <v>51.666699999999999</v>
      </c>
      <c r="T50">
        <f t="shared" si="3"/>
        <v>17.749975000000003</v>
      </c>
      <c r="U50" t="str">
        <f>_xlfn.XLOOKUP(C50,Lookup!$A$3:$A$6,Lookup!$B$3:$B$6)</f>
        <v>Winter</v>
      </c>
      <c r="V50">
        <f>_xlfn.XLOOKUP(D50,Lookup!$D$3:$D$4,Lookup!$E$3:$E$4)</f>
        <v>2011</v>
      </c>
      <c r="W50" t="str">
        <f>_xlfn.XLOOKUP(I50,Lookup!$G$3:$G$6,Lookup!$H$3:$H$6)</f>
        <v>Clear</v>
      </c>
      <c r="X50" t="str">
        <f>_xlfn.XLOOKUP(E50,Lookup!$J$3:$J$14,Lookup!$K$3:$K$14)</f>
        <v>February</v>
      </c>
      <c r="Y50" t="str">
        <f>_xlfn.XLOOKUP(G50,Lookup!$M$3:$M$9,Lookup!$N$3:$N$9)</f>
        <v>Friday</v>
      </c>
    </row>
    <row r="51" spans="1:25" x14ac:dyDescent="0.3">
      <c r="A51">
        <v>50</v>
      </c>
      <c r="B51" s="1">
        <v>40593</v>
      </c>
      <c r="C51">
        <v>1</v>
      </c>
      <c r="D51">
        <v>0</v>
      </c>
      <c r="E51">
        <v>2</v>
      </c>
      <c r="F51">
        <v>0</v>
      </c>
      <c r="G51">
        <v>6</v>
      </c>
      <c r="H51">
        <v>0</v>
      </c>
      <c r="I51">
        <v>1</v>
      </c>
      <c r="J51">
        <v>0.39916699999999999</v>
      </c>
      <c r="K51">
        <v>0.39140399999999997</v>
      </c>
      <c r="L51">
        <v>0.187917</v>
      </c>
      <c r="M51">
        <v>0.507463</v>
      </c>
      <c r="N51">
        <v>532</v>
      </c>
      <c r="O51">
        <v>1103</v>
      </c>
      <c r="P51">
        <v>1635</v>
      </c>
      <c r="Q51">
        <f t="shared" si="0"/>
        <v>10.760849</v>
      </c>
      <c r="R51">
        <f t="shared" si="1"/>
        <v>9.8326639999999976</v>
      </c>
      <c r="S51">
        <f t="shared" si="2"/>
        <v>18.791699999999999</v>
      </c>
      <c r="T51">
        <f t="shared" si="3"/>
        <v>34.000020999999997</v>
      </c>
      <c r="U51" t="str">
        <f>_xlfn.XLOOKUP(C51,Lookup!$A$3:$A$6,Lookup!$B$3:$B$6)</f>
        <v>Winter</v>
      </c>
      <c r="V51">
        <f>_xlfn.XLOOKUP(D51,Lookup!$D$3:$D$4,Lookup!$E$3:$E$4)</f>
        <v>2011</v>
      </c>
      <c r="W51" t="str">
        <f>_xlfn.XLOOKUP(I51,Lookup!$G$3:$G$6,Lookup!$H$3:$H$6)</f>
        <v>Clear</v>
      </c>
      <c r="X51" t="str">
        <f>_xlfn.XLOOKUP(E51,Lookup!$J$3:$J$14,Lookup!$K$3:$K$14)</f>
        <v>February</v>
      </c>
      <c r="Y51" t="str">
        <f>_xlfn.XLOOKUP(G51,Lookup!$M$3:$M$9,Lookup!$N$3:$N$9)</f>
        <v>Saturday</v>
      </c>
    </row>
    <row r="52" spans="1:25" x14ac:dyDescent="0.3">
      <c r="A52">
        <v>51</v>
      </c>
      <c r="B52" s="1">
        <v>40594</v>
      </c>
      <c r="C52">
        <v>1</v>
      </c>
      <c r="D52">
        <v>0</v>
      </c>
      <c r="E52">
        <v>2</v>
      </c>
      <c r="F52">
        <v>0</v>
      </c>
      <c r="G52">
        <v>0</v>
      </c>
      <c r="H52">
        <v>0</v>
      </c>
      <c r="I52">
        <v>1</v>
      </c>
      <c r="J52">
        <v>0.285217</v>
      </c>
      <c r="K52">
        <v>0.27733000000000002</v>
      </c>
      <c r="L52">
        <v>0.40782600000000002</v>
      </c>
      <c r="M52">
        <v>0.22323499999999999</v>
      </c>
      <c r="N52">
        <v>639</v>
      </c>
      <c r="O52">
        <v>1173</v>
      </c>
      <c r="P52">
        <v>1812</v>
      </c>
      <c r="Q52">
        <f t="shared" si="0"/>
        <v>5.4051989999999996</v>
      </c>
      <c r="R52">
        <f t="shared" si="1"/>
        <v>2.3037799999999997</v>
      </c>
      <c r="S52">
        <f t="shared" si="2"/>
        <v>40.782600000000002</v>
      </c>
      <c r="T52">
        <f t="shared" si="3"/>
        <v>14.956745</v>
      </c>
      <c r="U52" t="str">
        <f>_xlfn.XLOOKUP(C52,Lookup!$A$3:$A$6,Lookup!$B$3:$B$6)</f>
        <v>Winter</v>
      </c>
      <c r="V52">
        <f>_xlfn.XLOOKUP(D52,Lookup!$D$3:$D$4,Lookup!$E$3:$E$4)</f>
        <v>2011</v>
      </c>
      <c r="W52" t="str">
        <f>_xlfn.XLOOKUP(I52,Lookup!$G$3:$G$6,Lookup!$H$3:$H$6)</f>
        <v>Clear</v>
      </c>
      <c r="X52" t="str">
        <f>_xlfn.XLOOKUP(E52,Lookup!$J$3:$J$14,Lookup!$K$3:$K$14)</f>
        <v>February</v>
      </c>
      <c r="Y52" t="str">
        <f>_xlfn.XLOOKUP(G52,Lookup!$M$3:$M$9,Lookup!$N$3:$N$9)</f>
        <v>Sunday</v>
      </c>
    </row>
    <row r="53" spans="1:25" x14ac:dyDescent="0.3">
      <c r="A53">
        <v>52</v>
      </c>
      <c r="B53" s="1">
        <v>40595</v>
      </c>
      <c r="C53">
        <v>1</v>
      </c>
      <c r="D53">
        <v>0</v>
      </c>
      <c r="E53">
        <v>2</v>
      </c>
      <c r="F53">
        <v>1</v>
      </c>
      <c r="G53">
        <v>1</v>
      </c>
      <c r="H53">
        <v>0</v>
      </c>
      <c r="I53">
        <v>2</v>
      </c>
      <c r="J53">
        <v>0.30333300000000002</v>
      </c>
      <c r="K53">
        <v>0.28407500000000002</v>
      </c>
      <c r="L53">
        <v>0.60499999999999998</v>
      </c>
      <c r="M53">
        <v>0.30784600000000001</v>
      </c>
      <c r="N53">
        <v>195</v>
      </c>
      <c r="O53">
        <v>912</v>
      </c>
      <c r="P53">
        <v>1107</v>
      </c>
      <c r="Q53">
        <f t="shared" si="0"/>
        <v>6.2566510000000015</v>
      </c>
      <c r="R53">
        <f t="shared" si="1"/>
        <v>2.7489500000000007</v>
      </c>
      <c r="S53">
        <f t="shared" si="2"/>
        <v>60.5</v>
      </c>
      <c r="T53">
        <f t="shared" si="3"/>
        <v>20.625682000000001</v>
      </c>
      <c r="U53" t="str">
        <f>_xlfn.XLOOKUP(C53,Lookup!$A$3:$A$6,Lookup!$B$3:$B$6)</f>
        <v>Winter</v>
      </c>
      <c r="V53">
        <f>_xlfn.XLOOKUP(D53,Lookup!$D$3:$D$4,Lookup!$E$3:$E$4)</f>
        <v>2011</v>
      </c>
      <c r="W53" t="str">
        <f>_xlfn.XLOOKUP(I53,Lookup!$G$3:$G$6,Lookup!$H$3:$H$6)</f>
        <v>Misty/Cloudy</v>
      </c>
      <c r="X53" t="str">
        <f>_xlfn.XLOOKUP(E53,Lookup!$J$3:$J$14,Lookup!$K$3:$K$14)</f>
        <v>February</v>
      </c>
      <c r="Y53" t="str">
        <f>_xlfn.XLOOKUP(G53,Lookup!$M$3:$M$9,Lookup!$N$3:$N$9)</f>
        <v>Monday</v>
      </c>
    </row>
    <row r="54" spans="1:25" x14ac:dyDescent="0.3">
      <c r="A54">
        <v>53</v>
      </c>
      <c r="B54" s="1">
        <v>40596</v>
      </c>
      <c r="C54">
        <v>1</v>
      </c>
      <c r="D54">
        <v>0</v>
      </c>
      <c r="E54">
        <v>2</v>
      </c>
      <c r="F54">
        <v>0</v>
      </c>
      <c r="G54">
        <v>2</v>
      </c>
      <c r="H54">
        <v>1</v>
      </c>
      <c r="I54">
        <v>1</v>
      </c>
      <c r="J54">
        <v>0.182222</v>
      </c>
      <c r="K54">
        <v>0.186033</v>
      </c>
      <c r="L54">
        <v>0.57777800000000001</v>
      </c>
      <c r="M54">
        <v>0.195683</v>
      </c>
      <c r="N54">
        <v>74</v>
      </c>
      <c r="O54">
        <v>1376</v>
      </c>
      <c r="P54">
        <v>1450</v>
      </c>
      <c r="Q54">
        <f t="shared" si="0"/>
        <v>0.56443400000000032</v>
      </c>
      <c r="R54">
        <f t="shared" si="1"/>
        <v>-3.7218219999999995</v>
      </c>
      <c r="S54">
        <f t="shared" si="2"/>
        <v>57.777799999999999</v>
      </c>
      <c r="T54">
        <f t="shared" si="3"/>
        <v>13.110761</v>
      </c>
      <c r="U54" t="str">
        <f>_xlfn.XLOOKUP(C54,Lookup!$A$3:$A$6,Lookup!$B$3:$B$6)</f>
        <v>Winter</v>
      </c>
      <c r="V54">
        <f>_xlfn.XLOOKUP(D54,Lookup!$D$3:$D$4,Lookup!$E$3:$E$4)</f>
        <v>2011</v>
      </c>
      <c r="W54" t="str">
        <f>_xlfn.XLOOKUP(I54,Lookup!$G$3:$G$6,Lookup!$H$3:$H$6)</f>
        <v>Clear</v>
      </c>
      <c r="X54" t="str">
        <f>_xlfn.XLOOKUP(E54,Lookup!$J$3:$J$14,Lookup!$K$3:$K$14)</f>
        <v>February</v>
      </c>
      <c r="Y54" t="str">
        <f>_xlfn.XLOOKUP(G54,Lookup!$M$3:$M$9,Lookup!$N$3:$N$9)</f>
        <v>Tuesday</v>
      </c>
    </row>
    <row r="55" spans="1:25" x14ac:dyDescent="0.3">
      <c r="A55">
        <v>54</v>
      </c>
      <c r="B55" s="1">
        <v>40597</v>
      </c>
      <c r="C55">
        <v>1</v>
      </c>
      <c r="D55">
        <v>0</v>
      </c>
      <c r="E55">
        <v>2</v>
      </c>
      <c r="F55">
        <v>0</v>
      </c>
      <c r="G55">
        <v>3</v>
      </c>
      <c r="H55">
        <v>1</v>
      </c>
      <c r="I55">
        <v>1</v>
      </c>
      <c r="J55">
        <v>0.22173899999999999</v>
      </c>
      <c r="K55">
        <v>0.24571699999999999</v>
      </c>
      <c r="L55">
        <v>0.423043</v>
      </c>
      <c r="M55">
        <v>9.4113000000000002E-2</v>
      </c>
      <c r="N55">
        <v>139</v>
      </c>
      <c r="O55">
        <v>1778</v>
      </c>
      <c r="P55">
        <v>1917</v>
      </c>
      <c r="Q55">
        <f t="shared" si="0"/>
        <v>2.4217329999999997</v>
      </c>
      <c r="R55">
        <f t="shared" si="1"/>
        <v>0.21732199999999935</v>
      </c>
      <c r="S55">
        <f t="shared" si="2"/>
        <v>42.304299999999998</v>
      </c>
      <c r="T55">
        <f t="shared" si="3"/>
        <v>6.3055710000000005</v>
      </c>
      <c r="U55" t="str">
        <f>_xlfn.XLOOKUP(C55,Lookup!$A$3:$A$6,Lookup!$B$3:$B$6)</f>
        <v>Winter</v>
      </c>
      <c r="V55">
        <f>_xlfn.XLOOKUP(D55,Lookup!$D$3:$D$4,Lookup!$E$3:$E$4)</f>
        <v>2011</v>
      </c>
      <c r="W55" t="str">
        <f>_xlfn.XLOOKUP(I55,Lookup!$G$3:$G$6,Lookup!$H$3:$H$6)</f>
        <v>Clear</v>
      </c>
      <c r="X55" t="str">
        <f>_xlfn.XLOOKUP(E55,Lookup!$J$3:$J$14,Lookup!$K$3:$K$14)</f>
        <v>February</v>
      </c>
      <c r="Y55" t="str">
        <f>_xlfn.XLOOKUP(G55,Lookup!$M$3:$M$9,Lookup!$N$3:$N$9)</f>
        <v>Wednesday</v>
      </c>
    </row>
    <row r="56" spans="1:25" x14ac:dyDescent="0.3">
      <c r="A56">
        <v>55</v>
      </c>
      <c r="B56" s="1">
        <v>40598</v>
      </c>
      <c r="C56">
        <v>1</v>
      </c>
      <c r="D56">
        <v>0</v>
      </c>
      <c r="E56">
        <v>2</v>
      </c>
      <c r="F56">
        <v>0</v>
      </c>
      <c r="G56">
        <v>4</v>
      </c>
      <c r="H56">
        <v>1</v>
      </c>
      <c r="I56">
        <v>2</v>
      </c>
      <c r="J56">
        <v>0.29565200000000003</v>
      </c>
      <c r="K56">
        <v>0.28919099999999998</v>
      </c>
      <c r="L56">
        <v>0.69739099999999998</v>
      </c>
      <c r="M56">
        <v>0.250496</v>
      </c>
      <c r="N56">
        <v>100</v>
      </c>
      <c r="O56">
        <v>1707</v>
      </c>
      <c r="P56">
        <v>1807</v>
      </c>
      <c r="Q56">
        <f t="shared" si="0"/>
        <v>5.8956440000000008</v>
      </c>
      <c r="R56">
        <f t="shared" si="1"/>
        <v>3.0866059999999997</v>
      </c>
      <c r="S56">
        <f t="shared" si="2"/>
        <v>69.739099999999993</v>
      </c>
      <c r="T56">
        <f t="shared" si="3"/>
        <v>16.783231999999998</v>
      </c>
      <c r="U56" t="str">
        <f>_xlfn.XLOOKUP(C56,Lookup!$A$3:$A$6,Lookup!$B$3:$B$6)</f>
        <v>Winter</v>
      </c>
      <c r="V56">
        <f>_xlfn.XLOOKUP(D56,Lookup!$D$3:$D$4,Lookup!$E$3:$E$4)</f>
        <v>2011</v>
      </c>
      <c r="W56" t="str">
        <f>_xlfn.XLOOKUP(I56,Lookup!$G$3:$G$6,Lookup!$H$3:$H$6)</f>
        <v>Misty/Cloudy</v>
      </c>
      <c r="X56" t="str">
        <f>_xlfn.XLOOKUP(E56,Lookup!$J$3:$J$14,Lookup!$K$3:$K$14)</f>
        <v>February</v>
      </c>
      <c r="Y56" t="str">
        <f>_xlfn.XLOOKUP(G56,Lookup!$M$3:$M$9,Lookup!$N$3:$N$9)</f>
        <v>Thursday</v>
      </c>
    </row>
    <row r="57" spans="1:25" x14ac:dyDescent="0.3">
      <c r="A57">
        <v>56</v>
      </c>
      <c r="B57" s="1">
        <v>40599</v>
      </c>
      <c r="C57">
        <v>1</v>
      </c>
      <c r="D57">
        <v>0</v>
      </c>
      <c r="E57">
        <v>2</v>
      </c>
      <c r="F57">
        <v>0</v>
      </c>
      <c r="G57">
        <v>5</v>
      </c>
      <c r="H57">
        <v>1</v>
      </c>
      <c r="I57">
        <v>2</v>
      </c>
      <c r="J57">
        <v>0.36434800000000001</v>
      </c>
      <c r="K57">
        <v>0.35046100000000002</v>
      </c>
      <c r="L57">
        <v>0.71217399999999997</v>
      </c>
      <c r="M57">
        <v>0.34653899999999999</v>
      </c>
      <c r="N57">
        <v>120</v>
      </c>
      <c r="O57">
        <v>1341</v>
      </c>
      <c r="P57">
        <v>1461</v>
      </c>
      <c r="Q57">
        <f t="shared" si="0"/>
        <v>9.1243559999999988</v>
      </c>
      <c r="R57">
        <f t="shared" si="1"/>
        <v>7.1304259999999999</v>
      </c>
      <c r="S57">
        <f t="shared" si="2"/>
        <v>71.217399999999998</v>
      </c>
      <c r="T57">
        <f t="shared" si="3"/>
        <v>23.218112999999999</v>
      </c>
      <c r="U57" t="str">
        <f>_xlfn.XLOOKUP(C57,Lookup!$A$3:$A$6,Lookup!$B$3:$B$6)</f>
        <v>Winter</v>
      </c>
      <c r="V57">
        <f>_xlfn.XLOOKUP(D57,Lookup!$D$3:$D$4,Lookup!$E$3:$E$4)</f>
        <v>2011</v>
      </c>
      <c r="W57" t="str">
        <f>_xlfn.XLOOKUP(I57,Lookup!$G$3:$G$6,Lookup!$H$3:$H$6)</f>
        <v>Misty/Cloudy</v>
      </c>
      <c r="X57" t="str">
        <f>_xlfn.XLOOKUP(E57,Lookup!$J$3:$J$14,Lookup!$K$3:$K$14)</f>
        <v>February</v>
      </c>
      <c r="Y57" t="str">
        <f>_xlfn.XLOOKUP(G57,Lookup!$M$3:$M$9,Lookup!$N$3:$N$9)</f>
        <v>Friday</v>
      </c>
    </row>
    <row r="58" spans="1:25" x14ac:dyDescent="0.3">
      <c r="A58">
        <v>57</v>
      </c>
      <c r="B58" s="1">
        <v>40600</v>
      </c>
      <c r="C58">
        <v>1</v>
      </c>
      <c r="D58">
        <v>0</v>
      </c>
      <c r="E58">
        <v>2</v>
      </c>
      <c r="F58">
        <v>0</v>
      </c>
      <c r="G58">
        <v>6</v>
      </c>
      <c r="H58">
        <v>0</v>
      </c>
      <c r="I58">
        <v>1</v>
      </c>
      <c r="J58">
        <v>0.28249999999999997</v>
      </c>
      <c r="K58">
        <v>0.282192</v>
      </c>
      <c r="L58">
        <v>0.53791699999999998</v>
      </c>
      <c r="M58">
        <v>0.18657099999999999</v>
      </c>
      <c r="N58">
        <v>424</v>
      </c>
      <c r="O58">
        <v>1545</v>
      </c>
      <c r="P58">
        <v>1969</v>
      </c>
      <c r="Q58">
        <f t="shared" si="0"/>
        <v>5.2774999999999981</v>
      </c>
      <c r="R58">
        <f t="shared" si="1"/>
        <v>2.6246720000000003</v>
      </c>
      <c r="S58">
        <f t="shared" si="2"/>
        <v>53.791699999999999</v>
      </c>
      <c r="T58">
        <f t="shared" si="3"/>
        <v>12.500257</v>
      </c>
      <c r="U58" t="str">
        <f>_xlfn.XLOOKUP(C58,Lookup!$A$3:$A$6,Lookup!$B$3:$B$6)</f>
        <v>Winter</v>
      </c>
      <c r="V58">
        <f>_xlfn.XLOOKUP(D58,Lookup!$D$3:$D$4,Lookup!$E$3:$E$4)</f>
        <v>2011</v>
      </c>
      <c r="W58" t="str">
        <f>_xlfn.XLOOKUP(I58,Lookup!$G$3:$G$6,Lookup!$H$3:$H$6)</f>
        <v>Clear</v>
      </c>
      <c r="X58" t="str">
        <f>_xlfn.XLOOKUP(E58,Lookup!$J$3:$J$14,Lookup!$K$3:$K$14)</f>
        <v>February</v>
      </c>
      <c r="Y58" t="str">
        <f>_xlfn.XLOOKUP(G58,Lookup!$M$3:$M$9,Lookup!$N$3:$N$9)</f>
        <v>Saturday</v>
      </c>
    </row>
    <row r="59" spans="1:25" x14ac:dyDescent="0.3">
      <c r="A59">
        <v>58</v>
      </c>
      <c r="B59" s="1">
        <v>40601</v>
      </c>
      <c r="C59">
        <v>1</v>
      </c>
      <c r="D59">
        <v>0</v>
      </c>
      <c r="E59">
        <v>2</v>
      </c>
      <c r="F59">
        <v>0</v>
      </c>
      <c r="G59">
        <v>0</v>
      </c>
      <c r="H59">
        <v>0</v>
      </c>
      <c r="I59">
        <v>1</v>
      </c>
      <c r="J59">
        <v>0.34347800000000001</v>
      </c>
      <c r="K59">
        <v>0.351109</v>
      </c>
      <c r="L59">
        <v>0.68</v>
      </c>
      <c r="M59">
        <v>0.125248</v>
      </c>
      <c r="N59">
        <v>694</v>
      </c>
      <c r="O59">
        <v>1708</v>
      </c>
      <c r="P59">
        <v>2402</v>
      </c>
      <c r="Q59">
        <f t="shared" si="0"/>
        <v>8.1434660000000001</v>
      </c>
      <c r="R59">
        <f t="shared" si="1"/>
        <v>7.1731939999999987</v>
      </c>
      <c r="S59">
        <f t="shared" si="2"/>
        <v>68</v>
      </c>
      <c r="T59">
        <f t="shared" si="3"/>
        <v>8.3916159999999991</v>
      </c>
      <c r="U59" t="str">
        <f>_xlfn.XLOOKUP(C59,Lookup!$A$3:$A$6,Lookup!$B$3:$B$6)</f>
        <v>Winter</v>
      </c>
      <c r="V59">
        <f>_xlfn.XLOOKUP(D59,Lookup!$D$3:$D$4,Lookup!$E$3:$E$4)</f>
        <v>2011</v>
      </c>
      <c r="W59" t="str">
        <f>_xlfn.XLOOKUP(I59,Lookup!$G$3:$G$6,Lookup!$H$3:$H$6)</f>
        <v>Clear</v>
      </c>
      <c r="X59" t="str">
        <f>_xlfn.XLOOKUP(E59,Lookup!$J$3:$J$14,Lookup!$K$3:$K$14)</f>
        <v>February</v>
      </c>
      <c r="Y59" t="str">
        <f>_xlfn.XLOOKUP(G59,Lookup!$M$3:$M$9,Lookup!$N$3:$N$9)</f>
        <v>Sunday</v>
      </c>
    </row>
    <row r="60" spans="1:25" x14ac:dyDescent="0.3">
      <c r="A60">
        <v>59</v>
      </c>
      <c r="B60" s="1">
        <v>40602</v>
      </c>
      <c r="C60">
        <v>1</v>
      </c>
      <c r="D60">
        <v>0</v>
      </c>
      <c r="E60">
        <v>2</v>
      </c>
      <c r="F60">
        <v>0</v>
      </c>
      <c r="G60">
        <v>1</v>
      </c>
      <c r="H60">
        <v>1</v>
      </c>
      <c r="I60">
        <v>2</v>
      </c>
      <c r="J60">
        <v>0.407273</v>
      </c>
      <c r="K60">
        <v>0.40011799999999997</v>
      </c>
      <c r="L60">
        <v>0.87636400000000003</v>
      </c>
      <c r="M60">
        <v>0.289686</v>
      </c>
      <c r="N60">
        <v>81</v>
      </c>
      <c r="O60">
        <v>1365</v>
      </c>
      <c r="P60">
        <v>1446</v>
      </c>
      <c r="Q60">
        <f t="shared" si="0"/>
        <v>11.141831</v>
      </c>
      <c r="R60">
        <f t="shared" si="1"/>
        <v>10.407787999999996</v>
      </c>
      <c r="S60">
        <f t="shared" si="2"/>
        <v>87.636400000000009</v>
      </c>
      <c r="T60">
        <f t="shared" si="3"/>
        <v>19.408961999999999</v>
      </c>
      <c r="U60" t="str">
        <f>_xlfn.XLOOKUP(C60,Lookup!$A$3:$A$6,Lookup!$B$3:$B$6)</f>
        <v>Winter</v>
      </c>
      <c r="V60">
        <f>_xlfn.XLOOKUP(D60,Lookup!$D$3:$D$4,Lookup!$E$3:$E$4)</f>
        <v>2011</v>
      </c>
      <c r="W60" t="str">
        <f>_xlfn.XLOOKUP(I60,Lookup!$G$3:$G$6,Lookup!$H$3:$H$6)</f>
        <v>Misty/Cloudy</v>
      </c>
      <c r="X60" t="str">
        <f>_xlfn.XLOOKUP(E60,Lookup!$J$3:$J$14,Lookup!$K$3:$K$14)</f>
        <v>February</v>
      </c>
      <c r="Y60" t="str">
        <f>_xlfn.XLOOKUP(G60,Lookup!$M$3:$M$9,Lookup!$N$3:$N$9)</f>
        <v>Monday</v>
      </c>
    </row>
    <row r="61" spans="1:25" x14ac:dyDescent="0.3">
      <c r="A61">
        <v>60</v>
      </c>
      <c r="B61" s="1">
        <v>40603</v>
      </c>
      <c r="C61">
        <v>1</v>
      </c>
      <c r="D61">
        <v>0</v>
      </c>
      <c r="E61">
        <v>3</v>
      </c>
      <c r="F61">
        <v>0</v>
      </c>
      <c r="G61">
        <v>2</v>
      </c>
      <c r="H61">
        <v>1</v>
      </c>
      <c r="I61">
        <v>1</v>
      </c>
      <c r="J61">
        <v>0.26666699999999999</v>
      </c>
      <c r="K61">
        <v>0.26387899999999997</v>
      </c>
      <c r="L61">
        <v>0.53500000000000003</v>
      </c>
      <c r="M61">
        <v>0.21642500000000001</v>
      </c>
      <c r="N61">
        <v>137</v>
      </c>
      <c r="O61">
        <v>1714</v>
      </c>
      <c r="P61">
        <v>1851</v>
      </c>
      <c r="Q61">
        <f t="shared" si="0"/>
        <v>4.5333489999999994</v>
      </c>
      <c r="R61">
        <f t="shared" si="1"/>
        <v>1.416013999999997</v>
      </c>
      <c r="S61">
        <f t="shared" si="2"/>
        <v>53.5</v>
      </c>
      <c r="T61">
        <f t="shared" si="3"/>
        <v>14.500475</v>
      </c>
      <c r="U61" t="str">
        <f>_xlfn.XLOOKUP(C61,Lookup!$A$3:$A$6,Lookup!$B$3:$B$6)</f>
        <v>Winter</v>
      </c>
      <c r="V61">
        <f>_xlfn.XLOOKUP(D61,Lookup!$D$3:$D$4,Lookup!$E$3:$E$4)</f>
        <v>2011</v>
      </c>
      <c r="W61" t="str">
        <f>_xlfn.XLOOKUP(I61,Lookup!$G$3:$G$6,Lookup!$H$3:$H$6)</f>
        <v>Clear</v>
      </c>
      <c r="X61" t="str">
        <f>_xlfn.XLOOKUP(E61,Lookup!$J$3:$J$14,Lookup!$K$3:$K$14)</f>
        <v>March</v>
      </c>
      <c r="Y61" t="str">
        <f>_xlfn.XLOOKUP(G61,Lookup!$M$3:$M$9,Lookup!$N$3:$N$9)</f>
        <v>Tuesday</v>
      </c>
    </row>
    <row r="62" spans="1:25" x14ac:dyDescent="0.3">
      <c r="A62">
        <v>61</v>
      </c>
      <c r="B62" s="1">
        <v>40604</v>
      </c>
      <c r="C62">
        <v>1</v>
      </c>
      <c r="D62">
        <v>0</v>
      </c>
      <c r="E62">
        <v>3</v>
      </c>
      <c r="F62">
        <v>0</v>
      </c>
      <c r="G62">
        <v>3</v>
      </c>
      <c r="H62">
        <v>1</v>
      </c>
      <c r="I62">
        <v>1</v>
      </c>
      <c r="J62">
        <v>0.33500000000000002</v>
      </c>
      <c r="K62">
        <v>0.32007099999999999</v>
      </c>
      <c r="L62">
        <v>0.44958300000000001</v>
      </c>
      <c r="M62">
        <v>0.30783300000000002</v>
      </c>
      <c r="N62">
        <v>231</v>
      </c>
      <c r="O62">
        <v>1903</v>
      </c>
      <c r="P62">
        <v>2134</v>
      </c>
      <c r="Q62">
        <f t="shared" si="0"/>
        <v>7.745000000000001</v>
      </c>
      <c r="R62">
        <f t="shared" si="1"/>
        <v>5.1246860000000005</v>
      </c>
      <c r="S62">
        <f t="shared" si="2"/>
        <v>44.958300000000001</v>
      </c>
      <c r="T62">
        <f t="shared" si="3"/>
        <v>20.624811000000001</v>
      </c>
      <c r="U62" t="str">
        <f>_xlfn.XLOOKUP(C62,Lookup!$A$3:$A$6,Lookup!$B$3:$B$6)</f>
        <v>Winter</v>
      </c>
      <c r="V62">
        <f>_xlfn.XLOOKUP(D62,Lookup!$D$3:$D$4,Lookup!$E$3:$E$4)</f>
        <v>2011</v>
      </c>
      <c r="W62" t="str">
        <f>_xlfn.XLOOKUP(I62,Lookup!$G$3:$G$6,Lookup!$H$3:$H$6)</f>
        <v>Clear</v>
      </c>
      <c r="X62" t="str">
        <f>_xlfn.XLOOKUP(E62,Lookup!$J$3:$J$14,Lookup!$K$3:$K$14)</f>
        <v>March</v>
      </c>
      <c r="Y62" t="str">
        <f>_xlfn.XLOOKUP(G62,Lookup!$M$3:$M$9,Lookup!$N$3:$N$9)</f>
        <v>Wednesday</v>
      </c>
    </row>
    <row r="63" spans="1:25" x14ac:dyDescent="0.3">
      <c r="A63">
        <v>62</v>
      </c>
      <c r="B63" s="1">
        <v>40605</v>
      </c>
      <c r="C63">
        <v>1</v>
      </c>
      <c r="D63">
        <v>0</v>
      </c>
      <c r="E63">
        <v>3</v>
      </c>
      <c r="F63">
        <v>0</v>
      </c>
      <c r="G63">
        <v>4</v>
      </c>
      <c r="H63">
        <v>1</v>
      </c>
      <c r="I63">
        <v>1</v>
      </c>
      <c r="J63">
        <v>0.19833300000000001</v>
      </c>
      <c r="K63">
        <v>0.20013300000000001</v>
      </c>
      <c r="L63">
        <v>0.31833299999999998</v>
      </c>
      <c r="M63">
        <v>0.22575400000000001</v>
      </c>
      <c r="N63">
        <v>123</v>
      </c>
      <c r="O63">
        <v>1562</v>
      </c>
      <c r="P63">
        <v>1685</v>
      </c>
      <c r="Q63">
        <f t="shared" si="0"/>
        <v>1.321651000000001</v>
      </c>
      <c r="R63">
        <f t="shared" si="1"/>
        <v>-2.7912219999999994</v>
      </c>
      <c r="S63">
        <f t="shared" si="2"/>
        <v>31.833299999999998</v>
      </c>
      <c r="T63">
        <f t="shared" si="3"/>
        <v>15.125518000000001</v>
      </c>
      <c r="U63" t="str">
        <f>_xlfn.XLOOKUP(C63,Lookup!$A$3:$A$6,Lookup!$B$3:$B$6)</f>
        <v>Winter</v>
      </c>
      <c r="V63">
        <f>_xlfn.XLOOKUP(D63,Lookup!$D$3:$D$4,Lookup!$E$3:$E$4)</f>
        <v>2011</v>
      </c>
      <c r="W63" t="str">
        <f>_xlfn.XLOOKUP(I63,Lookup!$G$3:$G$6,Lookup!$H$3:$H$6)</f>
        <v>Clear</v>
      </c>
      <c r="X63" t="str">
        <f>_xlfn.XLOOKUP(E63,Lookup!$J$3:$J$14,Lookup!$K$3:$K$14)</f>
        <v>March</v>
      </c>
      <c r="Y63" t="str">
        <f>_xlfn.XLOOKUP(G63,Lookup!$M$3:$M$9,Lookup!$N$3:$N$9)</f>
        <v>Thursday</v>
      </c>
    </row>
    <row r="64" spans="1:25" x14ac:dyDescent="0.3">
      <c r="A64">
        <v>63</v>
      </c>
      <c r="B64" s="1">
        <v>40606</v>
      </c>
      <c r="C64">
        <v>1</v>
      </c>
      <c r="D64">
        <v>0</v>
      </c>
      <c r="E64">
        <v>3</v>
      </c>
      <c r="F64">
        <v>0</v>
      </c>
      <c r="G64">
        <v>5</v>
      </c>
      <c r="H64">
        <v>1</v>
      </c>
      <c r="I64">
        <v>2</v>
      </c>
      <c r="J64">
        <v>0.26166699999999998</v>
      </c>
      <c r="K64">
        <v>0.25567899999999999</v>
      </c>
      <c r="L64">
        <v>0.61041699999999999</v>
      </c>
      <c r="M64">
        <v>0.203346</v>
      </c>
      <c r="N64">
        <v>214</v>
      </c>
      <c r="O64">
        <v>1730</v>
      </c>
      <c r="P64">
        <v>1944</v>
      </c>
      <c r="Q64">
        <f t="shared" si="0"/>
        <v>4.298349</v>
      </c>
      <c r="R64">
        <f t="shared" si="1"/>
        <v>0.87481400000000065</v>
      </c>
      <c r="S64">
        <f t="shared" si="2"/>
        <v>61.041699999999999</v>
      </c>
      <c r="T64">
        <f t="shared" si="3"/>
        <v>13.624181999999999</v>
      </c>
      <c r="U64" t="str">
        <f>_xlfn.XLOOKUP(C64,Lookup!$A$3:$A$6,Lookup!$B$3:$B$6)</f>
        <v>Winter</v>
      </c>
      <c r="V64">
        <f>_xlfn.XLOOKUP(D64,Lookup!$D$3:$D$4,Lookup!$E$3:$E$4)</f>
        <v>2011</v>
      </c>
      <c r="W64" t="str">
        <f>_xlfn.XLOOKUP(I64,Lookup!$G$3:$G$6,Lookup!$H$3:$H$6)</f>
        <v>Misty/Cloudy</v>
      </c>
      <c r="X64" t="str">
        <f>_xlfn.XLOOKUP(E64,Lookup!$J$3:$J$14,Lookup!$K$3:$K$14)</f>
        <v>March</v>
      </c>
      <c r="Y64" t="str">
        <f>_xlfn.XLOOKUP(G64,Lookup!$M$3:$M$9,Lookup!$N$3:$N$9)</f>
        <v>Friday</v>
      </c>
    </row>
    <row r="65" spans="1:25" x14ac:dyDescent="0.3">
      <c r="A65">
        <v>64</v>
      </c>
      <c r="B65" s="1">
        <v>40607</v>
      </c>
      <c r="C65">
        <v>1</v>
      </c>
      <c r="D65">
        <v>0</v>
      </c>
      <c r="E65">
        <v>3</v>
      </c>
      <c r="F65">
        <v>0</v>
      </c>
      <c r="G65">
        <v>6</v>
      </c>
      <c r="H65">
        <v>0</v>
      </c>
      <c r="I65">
        <v>2</v>
      </c>
      <c r="J65">
        <v>0.38416699999999998</v>
      </c>
      <c r="K65">
        <v>0.37877899999999998</v>
      </c>
      <c r="L65">
        <v>0.78916699999999995</v>
      </c>
      <c r="M65">
        <v>0.25187100000000001</v>
      </c>
      <c r="N65">
        <v>640</v>
      </c>
      <c r="O65">
        <v>1437</v>
      </c>
      <c r="P65">
        <v>2077</v>
      </c>
      <c r="Q65">
        <f t="shared" si="0"/>
        <v>10.055848999999998</v>
      </c>
      <c r="R65">
        <f t="shared" si="1"/>
        <v>8.999413999999998</v>
      </c>
      <c r="S65">
        <f t="shared" si="2"/>
        <v>78.916699999999992</v>
      </c>
      <c r="T65">
        <f t="shared" si="3"/>
        <v>16.875357000000001</v>
      </c>
      <c r="U65" t="str">
        <f>_xlfn.XLOOKUP(C65,Lookup!$A$3:$A$6,Lookup!$B$3:$B$6)</f>
        <v>Winter</v>
      </c>
      <c r="V65">
        <f>_xlfn.XLOOKUP(D65,Lookup!$D$3:$D$4,Lookup!$E$3:$E$4)</f>
        <v>2011</v>
      </c>
      <c r="W65" t="str">
        <f>_xlfn.XLOOKUP(I65,Lookup!$G$3:$G$6,Lookup!$H$3:$H$6)</f>
        <v>Misty/Cloudy</v>
      </c>
      <c r="X65" t="str">
        <f>_xlfn.XLOOKUP(E65,Lookup!$J$3:$J$14,Lookup!$K$3:$K$14)</f>
        <v>March</v>
      </c>
      <c r="Y65" t="str">
        <f>_xlfn.XLOOKUP(G65,Lookup!$M$3:$M$9,Lookup!$N$3:$N$9)</f>
        <v>Saturday</v>
      </c>
    </row>
    <row r="66" spans="1:25" x14ac:dyDescent="0.3">
      <c r="A66">
        <v>65</v>
      </c>
      <c r="B66" s="1">
        <v>40608</v>
      </c>
      <c r="C66">
        <v>1</v>
      </c>
      <c r="D66">
        <v>0</v>
      </c>
      <c r="E66">
        <v>3</v>
      </c>
      <c r="F66">
        <v>0</v>
      </c>
      <c r="G66">
        <v>0</v>
      </c>
      <c r="H66">
        <v>0</v>
      </c>
      <c r="I66">
        <v>2</v>
      </c>
      <c r="J66">
        <v>0.37652200000000002</v>
      </c>
      <c r="K66">
        <v>0.36625200000000002</v>
      </c>
      <c r="L66">
        <v>0.94826100000000002</v>
      </c>
      <c r="M66">
        <v>0.34328700000000001</v>
      </c>
      <c r="N66">
        <v>114</v>
      </c>
      <c r="O66">
        <v>491</v>
      </c>
      <c r="P66">
        <v>605</v>
      </c>
      <c r="Q66">
        <f t="shared" si="0"/>
        <v>9.6965339999999998</v>
      </c>
      <c r="R66">
        <f t="shared" si="1"/>
        <v>8.1726320000000001</v>
      </c>
      <c r="S66">
        <f t="shared" si="2"/>
        <v>94.826099999999997</v>
      </c>
      <c r="T66">
        <f t="shared" si="3"/>
        <v>23.000229000000001</v>
      </c>
      <c r="U66" t="str">
        <f>_xlfn.XLOOKUP(C66,Lookup!$A$3:$A$6,Lookup!$B$3:$B$6)</f>
        <v>Winter</v>
      </c>
      <c r="V66">
        <f>_xlfn.XLOOKUP(D66,Lookup!$D$3:$D$4,Lookup!$E$3:$E$4)</f>
        <v>2011</v>
      </c>
      <c r="W66" t="str">
        <f>_xlfn.XLOOKUP(I66,Lookup!$G$3:$G$6,Lookup!$H$3:$H$6)</f>
        <v>Misty/Cloudy</v>
      </c>
      <c r="X66" t="str">
        <f>_xlfn.XLOOKUP(E66,Lookup!$J$3:$J$14,Lookup!$K$3:$K$14)</f>
        <v>March</v>
      </c>
      <c r="Y66" t="str">
        <f>_xlfn.XLOOKUP(G66,Lookup!$M$3:$M$9,Lookup!$N$3:$N$9)</f>
        <v>Sunday</v>
      </c>
    </row>
    <row r="67" spans="1:25" x14ac:dyDescent="0.3">
      <c r="A67">
        <v>66</v>
      </c>
      <c r="B67" s="1">
        <v>40609</v>
      </c>
      <c r="C67">
        <v>1</v>
      </c>
      <c r="D67">
        <v>0</v>
      </c>
      <c r="E67">
        <v>3</v>
      </c>
      <c r="F67">
        <v>0</v>
      </c>
      <c r="G67">
        <v>1</v>
      </c>
      <c r="H67">
        <v>1</v>
      </c>
      <c r="I67">
        <v>1</v>
      </c>
      <c r="J67">
        <v>0.261739</v>
      </c>
      <c r="K67">
        <v>0.23846100000000001</v>
      </c>
      <c r="L67">
        <v>0.55130400000000002</v>
      </c>
      <c r="M67">
        <v>0.34135199999999999</v>
      </c>
      <c r="N67">
        <v>244</v>
      </c>
      <c r="O67">
        <v>1628</v>
      </c>
      <c r="P67">
        <v>1872</v>
      </c>
      <c r="Q67">
        <f t="shared" ref="Q67:Q130" si="4">J67*47-8</f>
        <v>4.3017330000000005</v>
      </c>
      <c r="R67">
        <f t="shared" ref="R67:R130" si="5">K67*66-16</f>
        <v>-0.26157399999999953</v>
      </c>
      <c r="S67">
        <f t="shared" ref="S67:S130" si="6">L67*100</f>
        <v>55.130400000000002</v>
      </c>
      <c r="T67">
        <f t="shared" ref="T67:T130" si="7">M67*67</f>
        <v>22.870584000000001</v>
      </c>
      <c r="U67" t="str">
        <f>_xlfn.XLOOKUP(C67,Lookup!$A$3:$A$6,Lookup!$B$3:$B$6)</f>
        <v>Winter</v>
      </c>
      <c r="V67">
        <f>_xlfn.XLOOKUP(D67,Lookup!$D$3:$D$4,Lookup!$E$3:$E$4)</f>
        <v>2011</v>
      </c>
      <c r="W67" t="str">
        <f>_xlfn.XLOOKUP(I67,Lookup!$G$3:$G$6,Lookup!$H$3:$H$6)</f>
        <v>Clear</v>
      </c>
      <c r="X67" t="str">
        <f>_xlfn.XLOOKUP(E67,Lookup!$J$3:$J$14,Lookup!$K$3:$K$14)</f>
        <v>March</v>
      </c>
      <c r="Y67" t="str">
        <f>_xlfn.XLOOKUP(G67,Lookup!$M$3:$M$9,Lookup!$N$3:$N$9)</f>
        <v>Monday</v>
      </c>
    </row>
    <row r="68" spans="1:25" x14ac:dyDescent="0.3">
      <c r="A68">
        <v>67</v>
      </c>
      <c r="B68" s="1">
        <v>40610</v>
      </c>
      <c r="C68">
        <v>1</v>
      </c>
      <c r="D68">
        <v>0</v>
      </c>
      <c r="E68">
        <v>3</v>
      </c>
      <c r="F68">
        <v>0</v>
      </c>
      <c r="G68">
        <v>2</v>
      </c>
      <c r="H68">
        <v>1</v>
      </c>
      <c r="I68">
        <v>1</v>
      </c>
      <c r="J68">
        <v>0.29249999999999998</v>
      </c>
      <c r="K68">
        <v>0.3024</v>
      </c>
      <c r="L68">
        <v>0.42083300000000001</v>
      </c>
      <c r="M68">
        <v>0.12064999999999999</v>
      </c>
      <c r="N68">
        <v>316</v>
      </c>
      <c r="O68">
        <v>1817</v>
      </c>
      <c r="P68">
        <v>2133</v>
      </c>
      <c r="Q68">
        <f t="shared" si="4"/>
        <v>5.7474999999999987</v>
      </c>
      <c r="R68">
        <f t="shared" si="5"/>
        <v>3.958400000000001</v>
      </c>
      <c r="S68">
        <f t="shared" si="6"/>
        <v>42.083300000000001</v>
      </c>
      <c r="T68">
        <f t="shared" si="7"/>
        <v>8.0835499999999989</v>
      </c>
      <c r="U68" t="str">
        <f>_xlfn.XLOOKUP(C68,Lookup!$A$3:$A$6,Lookup!$B$3:$B$6)</f>
        <v>Winter</v>
      </c>
      <c r="V68">
        <f>_xlfn.XLOOKUP(D68,Lookup!$D$3:$D$4,Lookup!$E$3:$E$4)</f>
        <v>2011</v>
      </c>
      <c r="W68" t="str">
        <f>_xlfn.XLOOKUP(I68,Lookup!$G$3:$G$6,Lookup!$H$3:$H$6)</f>
        <v>Clear</v>
      </c>
      <c r="X68" t="str">
        <f>_xlfn.XLOOKUP(E68,Lookup!$J$3:$J$14,Lookup!$K$3:$K$14)</f>
        <v>March</v>
      </c>
      <c r="Y68" t="str">
        <f>_xlfn.XLOOKUP(G68,Lookup!$M$3:$M$9,Lookup!$N$3:$N$9)</f>
        <v>Tuesday</v>
      </c>
    </row>
    <row r="69" spans="1:25" x14ac:dyDescent="0.3">
      <c r="A69">
        <v>68</v>
      </c>
      <c r="B69" s="1">
        <v>40611</v>
      </c>
      <c r="C69">
        <v>1</v>
      </c>
      <c r="D69">
        <v>0</v>
      </c>
      <c r="E69">
        <v>3</v>
      </c>
      <c r="F69">
        <v>0</v>
      </c>
      <c r="G69">
        <v>3</v>
      </c>
      <c r="H69">
        <v>1</v>
      </c>
      <c r="I69">
        <v>2</v>
      </c>
      <c r="J69">
        <v>0.29583300000000001</v>
      </c>
      <c r="K69">
        <v>0.28660799999999997</v>
      </c>
      <c r="L69">
        <v>0.77541700000000002</v>
      </c>
      <c r="M69">
        <v>0.22015000000000001</v>
      </c>
      <c r="N69">
        <v>191</v>
      </c>
      <c r="O69">
        <v>1700</v>
      </c>
      <c r="P69">
        <v>1891</v>
      </c>
      <c r="Q69">
        <f t="shared" si="4"/>
        <v>5.9041510000000006</v>
      </c>
      <c r="R69">
        <f t="shared" si="5"/>
        <v>2.9161279999999969</v>
      </c>
      <c r="S69">
        <f t="shared" si="6"/>
        <v>77.541700000000006</v>
      </c>
      <c r="T69">
        <f t="shared" si="7"/>
        <v>14.750050000000002</v>
      </c>
      <c r="U69" t="str">
        <f>_xlfn.XLOOKUP(C69,Lookup!$A$3:$A$6,Lookup!$B$3:$B$6)</f>
        <v>Winter</v>
      </c>
      <c r="V69">
        <f>_xlfn.XLOOKUP(D69,Lookup!$D$3:$D$4,Lookup!$E$3:$E$4)</f>
        <v>2011</v>
      </c>
      <c r="W69" t="str">
        <f>_xlfn.XLOOKUP(I69,Lookup!$G$3:$G$6,Lookup!$H$3:$H$6)</f>
        <v>Misty/Cloudy</v>
      </c>
      <c r="X69" t="str">
        <f>_xlfn.XLOOKUP(E69,Lookup!$J$3:$J$14,Lookup!$K$3:$K$14)</f>
        <v>March</v>
      </c>
      <c r="Y69" t="str">
        <f>_xlfn.XLOOKUP(G69,Lookup!$M$3:$M$9,Lookup!$N$3:$N$9)</f>
        <v>Wednesday</v>
      </c>
    </row>
    <row r="70" spans="1:25" x14ac:dyDescent="0.3">
      <c r="A70">
        <v>69</v>
      </c>
      <c r="B70" s="1">
        <v>40612</v>
      </c>
      <c r="C70">
        <v>1</v>
      </c>
      <c r="D70">
        <v>0</v>
      </c>
      <c r="E70">
        <v>3</v>
      </c>
      <c r="F70">
        <v>0</v>
      </c>
      <c r="G70">
        <v>4</v>
      </c>
      <c r="H70">
        <v>1</v>
      </c>
      <c r="I70">
        <v>3</v>
      </c>
      <c r="J70">
        <v>0.38909100000000002</v>
      </c>
      <c r="K70">
        <v>0.38566800000000001</v>
      </c>
      <c r="L70">
        <v>0</v>
      </c>
      <c r="M70">
        <v>0.26187700000000003</v>
      </c>
      <c r="N70">
        <v>46</v>
      </c>
      <c r="O70">
        <v>577</v>
      </c>
      <c r="P70">
        <v>623</v>
      </c>
      <c r="Q70">
        <f t="shared" si="4"/>
        <v>10.287277</v>
      </c>
      <c r="R70">
        <f t="shared" si="5"/>
        <v>9.4540880000000023</v>
      </c>
      <c r="S70">
        <f t="shared" si="6"/>
        <v>0</v>
      </c>
      <c r="T70">
        <f t="shared" si="7"/>
        <v>17.545759</v>
      </c>
      <c r="U70" t="str">
        <f>_xlfn.XLOOKUP(C70,Lookup!$A$3:$A$6,Lookup!$B$3:$B$6)</f>
        <v>Winter</v>
      </c>
      <c r="V70">
        <f>_xlfn.XLOOKUP(D70,Lookup!$D$3:$D$4,Lookup!$E$3:$E$4)</f>
        <v>2011</v>
      </c>
      <c r="W70" t="str">
        <f>_xlfn.XLOOKUP(I70,Lookup!$G$3:$G$6,Lookup!$H$3:$H$6)</f>
        <v>Light Snow/Rain</v>
      </c>
      <c r="X70" t="str">
        <f>_xlfn.XLOOKUP(E70,Lookup!$J$3:$J$14,Lookup!$K$3:$K$14)</f>
        <v>March</v>
      </c>
      <c r="Y70" t="str">
        <f>_xlfn.XLOOKUP(G70,Lookup!$M$3:$M$9,Lookup!$N$3:$N$9)</f>
        <v>Thursday</v>
      </c>
    </row>
    <row r="71" spans="1:25" x14ac:dyDescent="0.3">
      <c r="A71">
        <v>70</v>
      </c>
      <c r="B71" s="1">
        <v>40613</v>
      </c>
      <c r="C71">
        <v>1</v>
      </c>
      <c r="D71">
        <v>0</v>
      </c>
      <c r="E71">
        <v>3</v>
      </c>
      <c r="F71">
        <v>0</v>
      </c>
      <c r="G71">
        <v>5</v>
      </c>
      <c r="H71">
        <v>1</v>
      </c>
      <c r="I71">
        <v>2</v>
      </c>
      <c r="J71">
        <v>0.31652200000000003</v>
      </c>
      <c r="K71">
        <v>0.30499999999999999</v>
      </c>
      <c r="L71">
        <v>0.64956499999999995</v>
      </c>
      <c r="M71">
        <v>0.23297000000000001</v>
      </c>
      <c r="N71">
        <v>247</v>
      </c>
      <c r="O71">
        <v>1730</v>
      </c>
      <c r="P71">
        <v>1977</v>
      </c>
      <c r="Q71">
        <f t="shared" si="4"/>
        <v>6.8765340000000013</v>
      </c>
      <c r="R71">
        <f t="shared" si="5"/>
        <v>4.129999999999999</v>
      </c>
      <c r="S71">
        <f t="shared" si="6"/>
        <v>64.956499999999991</v>
      </c>
      <c r="T71">
        <f t="shared" si="7"/>
        <v>15.60899</v>
      </c>
      <c r="U71" t="str">
        <f>_xlfn.XLOOKUP(C71,Lookup!$A$3:$A$6,Lookup!$B$3:$B$6)</f>
        <v>Winter</v>
      </c>
      <c r="V71">
        <f>_xlfn.XLOOKUP(D71,Lookup!$D$3:$D$4,Lookup!$E$3:$E$4)</f>
        <v>2011</v>
      </c>
      <c r="W71" t="str">
        <f>_xlfn.XLOOKUP(I71,Lookup!$G$3:$G$6,Lookup!$H$3:$H$6)</f>
        <v>Misty/Cloudy</v>
      </c>
      <c r="X71" t="str">
        <f>_xlfn.XLOOKUP(E71,Lookup!$J$3:$J$14,Lookup!$K$3:$K$14)</f>
        <v>March</v>
      </c>
      <c r="Y71" t="str">
        <f>_xlfn.XLOOKUP(G71,Lookup!$M$3:$M$9,Lookup!$N$3:$N$9)</f>
        <v>Friday</v>
      </c>
    </row>
    <row r="72" spans="1:25" x14ac:dyDescent="0.3">
      <c r="A72">
        <v>71</v>
      </c>
      <c r="B72" s="1">
        <v>40614</v>
      </c>
      <c r="C72">
        <v>1</v>
      </c>
      <c r="D72">
        <v>0</v>
      </c>
      <c r="E72">
        <v>3</v>
      </c>
      <c r="F72">
        <v>0</v>
      </c>
      <c r="G72">
        <v>6</v>
      </c>
      <c r="H72">
        <v>0</v>
      </c>
      <c r="I72">
        <v>1</v>
      </c>
      <c r="J72">
        <v>0.32916699999999999</v>
      </c>
      <c r="K72">
        <v>0.32574999999999998</v>
      </c>
      <c r="L72">
        <v>0.59458299999999997</v>
      </c>
      <c r="M72">
        <v>0.220775</v>
      </c>
      <c r="N72">
        <v>724</v>
      </c>
      <c r="O72">
        <v>1408</v>
      </c>
      <c r="P72">
        <v>2132</v>
      </c>
      <c r="Q72">
        <f t="shared" si="4"/>
        <v>7.4708489999999994</v>
      </c>
      <c r="R72">
        <f t="shared" si="5"/>
        <v>5.4994999999999976</v>
      </c>
      <c r="S72">
        <f t="shared" si="6"/>
        <v>59.458299999999994</v>
      </c>
      <c r="T72">
        <f t="shared" si="7"/>
        <v>14.791924999999999</v>
      </c>
      <c r="U72" t="str">
        <f>_xlfn.XLOOKUP(C72,Lookup!$A$3:$A$6,Lookup!$B$3:$B$6)</f>
        <v>Winter</v>
      </c>
      <c r="V72">
        <f>_xlfn.XLOOKUP(D72,Lookup!$D$3:$D$4,Lookup!$E$3:$E$4)</f>
        <v>2011</v>
      </c>
      <c r="W72" t="str">
        <f>_xlfn.XLOOKUP(I72,Lookup!$G$3:$G$6,Lookup!$H$3:$H$6)</f>
        <v>Clear</v>
      </c>
      <c r="X72" t="str">
        <f>_xlfn.XLOOKUP(E72,Lookup!$J$3:$J$14,Lookup!$K$3:$K$14)</f>
        <v>March</v>
      </c>
      <c r="Y72" t="str">
        <f>_xlfn.XLOOKUP(G72,Lookup!$M$3:$M$9,Lookup!$N$3:$N$9)</f>
        <v>Saturday</v>
      </c>
    </row>
    <row r="73" spans="1:25" x14ac:dyDescent="0.3">
      <c r="A73">
        <v>72</v>
      </c>
      <c r="B73" s="1">
        <v>40615</v>
      </c>
      <c r="C73">
        <v>1</v>
      </c>
      <c r="D73">
        <v>0</v>
      </c>
      <c r="E73">
        <v>3</v>
      </c>
      <c r="F73">
        <v>0</v>
      </c>
      <c r="G73">
        <v>0</v>
      </c>
      <c r="H73">
        <v>0</v>
      </c>
      <c r="I73">
        <v>1</v>
      </c>
      <c r="J73">
        <v>0.38434800000000002</v>
      </c>
      <c r="K73">
        <v>0.38009100000000001</v>
      </c>
      <c r="L73">
        <v>0.52739100000000005</v>
      </c>
      <c r="M73">
        <v>0.27060400000000001</v>
      </c>
      <c r="N73">
        <v>982</v>
      </c>
      <c r="O73">
        <v>1435</v>
      </c>
      <c r="P73">
        <v>2417</v>
      </c>
      <c r="Q73">
        <f t="shared" si="4"/>
        <v>10.064356</v>
      </c>
      <c r="R73">
        <f t="shared" si="5"/>
        <v>9.0860060000000011</v>
      </c>
      <c r="S73">
        <f t="shared" si="6"/>
        <v>52.739100000000008</v>
      </c>
      <c r="T73">
        <f t="shared" si="7"/>
        <v>18.130468</v>
      </c>
      <c r="U73" t="str">
        <f>_xlfn.XLOOKUP(C73,Lookup!$A$3:$A$6,Lookup!$B$3:$B$6)</f>
        <v>Winter</v>
      </c>
      <c r="V73">
        <f>_xlfn.XLOOKUP(D73,Lookup!$D$3:$D$4,Lookup!$E$3:$E$4)</f>
        <v>2011</v>
      </c>
      <c r="W73" t="str">
        <f>_xlfn.XLOOKUP(I73,Lookup!$G$3:$G$6,Lookup!$H$3:$H$6)</f>
        <v>Clear</v>
      </c>
      <c r="X73" t="str">
        <f>_xlfn.XLOOKUP(E73,Lookup!$J$3:$J$14,Lookup!$K$3:$K$14)</f>
        <v>March</v>
      </c>
      <c r="Y73" t="str">
        <f>_xlfn.XLOOKUP(G73,Lookup!$M$3:$M$9,Lookup!$N$3:$N$9)</f>
        <v>Sunday</v>
      </c>
    </row>
    <row r="74" spans="1:25" x14ac:dyDescent="0.3">
      <c r="A74">
        <v>73</v>
      </c>
      <c r="B74" s="1">
        <v>40616</v>
      </c>
      <c r="C74">
        <v>1</v>
      </c>
      <c r="D74">
        <v>0</v>
      </c>
      <c r="E74">
        <v>3</v>
      </c>
      <c r="F74">
        <v>0</v>
      </c>
      <c r="G74">
        <v>1</v>
      </c>
      <c r="H74">
        <v>1</v>
      </c>
      <c r="I74">
        <v>1</v>
      </c>
      <c r="J74">
        <v>0.32521699999999998</v>
      </c>
      <c r="K74">
        <v>0.33200000000000002</v>
      </c>
      <c r="L74">
        <v>0.49695699999999998</v>
      </c>
      <c r="M74">
        <v>0.13692599999999999</v>
      </c>
      <c r="N74">
        <v>359</v>
      </c>
      <c r="O74">
        <v>1687</v>
      </c>
      <c r="P74">
        <v>2046</v>
      </c>
      <c r="Q74">
        <f t="shared" si="4"/>
        <v>7.2851989999999986</v>
      </c>
      <c r="R74">
        <f t="shared" si="5"/>
        <v>5.9120000000000026</v>
      </c>
      <c r="S74">
        <f t="shared" si="6"/>
        <v>49.695699999999995</v>
      </c>
      <c r="T74">
        <f t="shared" si="7"/>
        <v>9.174042</v>
      </c>
      <c r="U74" t="str">
        <f>_xlfn.XLOOKUP(C74,Lookup!$A$3:$A$6,Lookup!$B$3:$B$6)</f>
        <v>Winter</v>
      </c>
      <c r="V74">
        <f>_xlfn.XLOOKUP(D74,Lookup!$D$3:$D$4,Lookup!$E$3:$E$4)</f>
        <v>2011</v>
      </c>
      <c r="W74" t="str">
        <f>_xlfn.XLOOKUP(I74,Lookup!$G$3:$G$6,Lookup!$H$3:$H$6)</f>
        <v>Clear</v>
      </c>
      <c r="X74" t="str">
        <f>_xlfn.XLOOKUP(E74,Lookup!$J$3:$J$14,Lookup!$K$3:$K$14)</f>
        <v>March</v>
      </c>
      <c r="Y74" t="str">
        <f>_xlfn.XLOOKUP(G74,Lookup!$M$3:$M$9,Lookup!$N$3:$N$9)</f>
        <v>Monday</v>
      </c>
    </row>
    <row r="75" spans="1:25" x14ac:dyDescent="0.3">
      <c r="A75">
        <v>74</v>
      </c>
      <c r="B75" s="1">
        <v>40617</v>
      </c>
      <c r="C75">
        <v>1</v>
      </c>
      <c r="D75">
        <v>0</v>
      </c>
      <c r="E75">
        <v>3</v>
      </c>
      <c r="F75">
        <v>0</v>
      </c>
      <c r="G75">
        <v>2</v>
      </c>
      <c r="H75">
        <v>1</v>
      </c>
      <c r="I75">
        <v>2</v>
      </c>
      <c r="J75">
        <v>0.31739099999999998</v>
      </c>
      <c r="K75">
        <v>0.31817800000000002</v>
      </c>
      <c r="L75">
        <v>0.65565200000000001</v>
      </c>
      <c r="M75">
        <v>0.184309</v>
      </c>
      <c r="N75">
        <v>289</v>
      </c>
      <c r="O75">
        <v>1767</v>
      </c>
      <c r="P75">
        <v>2056</v>
      </c>
      <c r="Q75">
        <f t="shared" si="4"/>
        <v>6.9173769999999983</v>
      </c>
      <c r="R75">
        <f t="shared" si="5"/>
        <v>4.9997480000000003</v>
      </c>
      <c r="S75">
        <f t="shared" si="6"/>
        <v>65.565200000000004</v>
      </c>
      <c r="T75">
        <f t="shared" si="7"/>
        <v>12.348703</v>
      </c>
      <c r="U75" t="str">
        <f>_xlfn.XLOOKUP(C75,Lookup!$A$3:$A$6,Lookup!$B$3:$B$6)</f>
        <v>Winter</v>
      </c>
      <c r="V75">
        <f>_xlfn.XLOOKUP(D75,Lookup!$D$3:$D$4,Lookup!$E$3:$E$4)</f>
        <v>2011</v>
      </c>
      <c r="W75" t="str">
        <f>_xlfn.XLOOKUP(I75,Lookup!$G$3:$G$6,Lookup!$H$3:$H$6)</f>
        <v>Misty/Cloudy</v>
      </c>
      <c r="X75" t="str">
        <f>_xlfn.XLOOKUP(E75,Lookup!$J$3:$J$14,Lookup!$K$3:$K$14)</f>
        <v>March</v>
      </c>
      <c r="Y75" t="str">
        <f>_xlfn.XLOOKUP(G75,Lookup!$M$3:$M$9,Lookup!$N$3:$N$9)</f>
        <v>Tuesday</v>
      </c>
    </row>
    <row r="76" spans="1:25" x14ac:dyDescent="0.3">
      <c r="A76">
        <v>75</v>
      </c>
      <c r="B76" s="1">
        <v>40618</v>
      </c>
      <c r="C76">
        <v>1</v>
      </c>
      <c r="D76">
        <v>0</v>
      </c>
      <c r="E76">
        <v>3</v>
      </c>
      <c r="F76">
        <v>0</v>
      </c>
      <c r="G76">
        <v>3</v>
      </c>
      <c r="H76">
        <v>1</v>
      </c>
      <c r="I76">
        <v>2</v>
      </c>
      <c r="J76">
        <v>0.36521700000000001</v>
      </c>
      <c r="K76">
        <v>0.36692999999999998</v>
      </c>
      <c r="L76">
        <v>0.77652200000000005</v>
      </c>
      <c r="M76">
        <v>0.20311699999999999</v>
      </c>
      <c r="N76">
        <v>321</v>
      </c>
      <c r="O76">
        <v>1871</v>
      </c>
      <c r="P76">
        <v>2192</v>
      </c>
      <c r="Q76">
        <f t="shared" si="4"/>
        <v>9.1651990000000012</v>
      </c>
      <c r="R76">
        <f t="shared" si="5"/>
        <v>8.2173799999999986</v>
      </c>
      <c r="S76">
        <f t="shared" si="6"/>
        <v>77.652200000000008</v>
      </c>
      <c r="T76">
        <f t="shared" si="7"/>
        <v>13.608839</v>
      </c>
      <c r="U76" t="str">
        <f>_xlfn.XLOOKUP(C76,Lookup!$A$3:$A$6,Lookup!$B$3:$B$6)</f>
        <v>Winter</v>
      </c>
      <c r="V76">
        <f>_xlfn.XLOOKUP(D76,Lookup!$D$3:$D$4,Lookup!$E$3:$E$4)</f>
        <v>2011</v>
      </c>
      <c r="W76" t="str">
        <f>_xlfn.XLOOKUP(I76,Lookup!$G$3:$G$6,Lookup!$H$3:$H$6)</f>
        <v>Misty/Cloudy</v>
      </c>
      <c r="X76" t="str">
        <f>_xlfn.XLOOKUP(E76,Lookup!$J$3:$J$14,Lookup!$K$3:$K$14)</f>
        <v>March</v>
      </c>
      <c r="Y76" t="str">
        <f>_xlfn.XLOOKUP(G76,Lookup!$M$3:$M$9,Lookup!$N$3:$N$9)</f>
        <v>Wednesday</v>
      </c>
    </row>
    <row r="77" spans="1:25" x14ac:dyDescent="0.3">
      <c r="A77">
        <v>76</v>
      </c>
      <c r="B77" s="1">
        <v>40619</v>
      </c>
      <c r="C77">
        <v>1</v>
      </c>
      <c r="D77">
        <v>0</v>
      </c>
      <c r="E77">
        <v>3</v>
      </c>
      <c r="F77">
        <v>0</v>
      </c>
      <c r="G77">
        <v>4</v>
      </c>
      <c r="H77">
        <v>1</v>
      </c>
      <c r="I77">
        <v>1</v>
      </c>
      <c r="J77">
        <v>0.41499999999999998</v>
      </c>
      <c r="K77">
        <v>0.410333</v>
      </c>
      <c r="L77">
        <v>0.60291700000000004</v>
      </c>
      <c r="M77">
        <v>0.20957899999999999</v>
      </c>
      <c r="N77">
        <v>424</v>
      </c>
      <c r="O77">
        <v>2320</v>
      </c>
      <c r="P77">
        <v>2744</v>
      </c>
      <c r="Q77">
        <f t="shared" si="4"/>
        <v>11.504999999999999</v>
      </c>
      <c r="R77">
        <f t="shared" si="5"/>
        <v>11.081977999999999</v>
      </c>
      <c r="S77">
        <f t="shared" si="6"/>
        <v>60.291700000000006</v>
      </c>
      <c r="T77">
        <f t="shared" si="7"/>
        <v>14.041792999999998</v>
      </c>
      <c r="U77" t="str">
        <f>_xlfn.XLOOKUP(C77,Lookup!$A$3:$A$6,Lookup!$B$3:$B$6)</f>
        <v>Winter</v>
      </c>
      <c r="V77">
        <f>_xlfn.XLOOKUP(D77,Lookup!$D$3:$D$4,Lookup!$E$3:$E$4)</f>
        <v>2011</v>
      </c>
      <c r="W77" t="str">
        <f>_xlfn.XLOOKUP(I77,Lookup!$G$3:$G$6,Lookup!$H$3:$H$6)</f>
        <v>Clear</v>
      </c>
      <c r="X77" t="str">
        <f>_xlfn.XLOOKUP(E77,Lookup!$J$3:$J$14,Lookup!$K$3:$K$14)</f>
        <v>March</v>
      </c>
      <c r="Y77" t="str">
        <f>_xlfn.XLOOKUP(G77,Lookup!$M$3:$M$9,Lookup!$N$3:$N$9)</f>
        <v>Thursday</v>
      </c>
    </row>
    <row r="78" spans="1:25" x14ac:dyDescent="0.3">
      <c r="A78">
        <v>77</v>
      </c>
      <c r="B78" s="1">
        <v>40620</v>
      </c>
      <c r="C78">
        <v>1</v>
      </c>
      <c r="D78">
        <v>0</v>
      </c>
      <c r="E78">
        <v>3</v>
      </c>
      <c r="F78">
        <v>0</v>
      </c>
      <c r="G78">
        <v>5</v>
      </c>
      <c r="H78">
        <v>1</v>
      </c>
      <c r="I78">
        <v>1</v>
      </c>
      <c r="J78">
        <v>0.54</v>
      </c>
      <c r="K78">
        <v>0.52700899999999995</v>
      </c>
      <c r="L78">
        <v>0.52521700000000004</v>
      </c>
      <c r="M78">
        <v>0.231017</v>
      </c>
      <c r="N78">
        <v>884</v>
      </c>
      <c r="O78">
        <v>2355</v>
      </c>
      <c r="P78">
        <v>3239</v>
      </c>
      <c r="Q78">
        <f t="shared" si="4"/>
        <v>17.380000000000003</v>
      </c>
      <c r="R78">
        <f t="shared" si="5"/>
        <v>18.782593999999996</v>
      </c>
      <c r="S78">
        <f t="shared" si="6"/>
        <v>52.521700000000003</v>
      </c>
      <c r="T78">
        <f t="shared" si="7"/>
        <v>15.478139000000001</v>
      </c>
      <c r="U78" t="str">
        <f>_xlfn.XLOOKUP(C78,Lookup!$A$3:$A$6,Lookup!$B$3:$B$6)</f>
        <v>Winter</v>
      </c>
      <c r="V78">
        <f>_xlfn.XLOOKUP(D78,Lookup!$D$3:$D$4,Lookup!$E$3:$E$4)</f>
        <v>2011</v>
      </c>
      <c r="W78" t="str">
        <f>_xlfn.XLOOKUP(I78,Lookup!$G$3:$G$6,Lookup!$H$3:$H$6)</f>
        <v>Clear</v>
      </c>
      <c r="X78" t="str">
        <f>_xlfn.XLOOKUP(E78,Lookup!$J$3:$J$14,Lookup!$K$3:$K$14)</f>
        <v>March</v>
      </c>
      <c r="Y78" t="str">
        <f>_xlfn.XLOOKUP(G78,Lookup!$M$3:$M$9,Lookup!$N$3:$N$9)</f>
        <v>Friday</v>
      </c>
    </row>
    <row r="79" spans="1:25" x14ac:dyDescent="0.3">
      <c r="A79">
        <v>78</v>
      </c>
      <c r="B79" s="1">
        <v>40621</v>
      </c>
      <c r="C79">
        <v>1</v>
      </c>
      <c r="D79">
        <v>0</v>
      </c>
      <c r="E79">
        <v>3</v>
      </c>
      <c r="F79">
        <v>0</v>
      </c>
      <c r="G79">
        <v>6</v>
      </c>
      <c r="H79">
        <v>0</v>
      </c>
      <c r="I79">
        <v>1</v>
      </c>
      <c r="J79">
        <v>0.47249999999999998</v>
      </c>
      <c r="K79">
        <v>0.46652500000000002</v>
      </c>
      <c r="L79">
        <v>0.37916699999999998</v>
      </c>
      <c r="M79">
        <v>0.36816700000000002</v>
      </c>
      <c r="N79">
        <v>1424</v>
      </c>
      <c r="O79">
        <v>1693</v>
      </c>
      <c r="P79">
        <v>3117</v>
      </c>
      <c r="Q79">
        <f t="shared" si="4"/>
        <v>14.2075</v>
      </c>
      <c r="R79">
        <f t="shared" si="5"/>
        <v>14.790650000000003</v>
      </c>
      <c r="S79">
        <f t="shared" si="6"/>
        <v>37.916699999999999</v>
      </c>
      <c r="T79">
        <f t="shared" si="7"/>
        <v>24.667189</v>
      </c>
      <c r="U79" t="str">
        <f>_xlfn.XLOOKUP(C79,Lookup!$A$3:$A$6,Lookup!$B$3:$B$6)</f>
        <v>Winter</v>
      </c>
      <c r="V79">
        <f>_xlfn.XLOOKUP(D79,Lookup!$D$3:$D$4,Lookup!$E$3:$E$4)</f>
        <v>2011</v>
      </c>
      <c r="W79" t="str">
        <f>_xlfn.XLOOKUP(I79,Lookup!$G$3:$G$6,Lookup!$H$3:$H$6)</f>
        <v>Clear</v>
      </c>
      <c r="X79" t="str">
        <f>_xlfn.XLOOKUP(E79,Lookup!$J$3:$J$14,Lookup!$K$3:$K$14)</f>
        <v>March</v>
      </c>
      <c r="Y79" t="str">
        <f>_xlfn.XLOOKUP(G79,Lookup!$M$3:$M$9,Lookup!$N$3:$N$9)</f>
        <v>Saturday</v>
      </c>
    </row>
    <row r="80" spans="1:25" x14ac:dyDescent="0.3">
      <c r="A80">
        <v>79</v>
      </c>
      <c r="B80" s="1">
        <v>40622</v>
      </c>
      <c r="C80">
        <v>1</v>
      </c>
      <c r="D80">
        <v>0</v>
      </c>
      <c r="E80">
        <v>3</v>
      </c>
      <c r="F80">
        <v>0</v>
      </c>
      <c r="G80">
        <v>0</v>
      </c>
      <c r="H80">
        <v>0</v>
      </c>
      <c r="I80">
        <v>1</v>
      </c>
      <c r="J80">
        <v>0.33250000000000002</v>
      </c>
      <c r="K80">
        <v>0.32574999999999998</v>
      </c>
      <c r="L80">
        <v>0.47375</v>
      </c>
      <c r="M80">
        <v>0.20772099999999999</v>
      </c>
      <c r="N80">
        <v>1047</v>
      </c>
      <c r="O80">
        <v>1424</v>
      </c>
      <c r="P80">
        <v>2471</v>
      </c>
      <c r="Q80">
        <f t="shared" si="4"/>
        <v>7.6275000000000013</v>
      </c>
      <c r="R80">
        <f t="shared" si="5"/>
        <v>5.4994999999999976</v>
      </c>
      <c r="S80">
        <f t="shared" si="6"/>
        <v>47.375</v>
      </c>
      <c r="T80">
        <f t="shared" si="7"/>
        <v>13.917306999999999</v>
      </c>
      <c r="U80" t="str">
        <f>_xlfn.XLOOKUP(C80,Lookup!$A$3:$A$6,Lookup!$B$3:$B$6)</f>
        <v>Winter</v>
      </c>
      <c r="V80">
        <f>_xlfn.XLOOKUP(D80,Lookup!$D$3:$D$4,Lookup!$E$3:$E$4)</f>
        <v>2011</v>
      </c>
      <c r="W80" t="str">
        <f>_xlfn.XLOOKUP(I80,Lookup!$G$3:$G$6,Lookup!$H$3:$H$6)</f>
        <v>Clear</v>
      </c>
      <c r="X80" t="str">
        <f>_xlfn.XLOOKUP(E80,Lookup!$J$3:$J$14,Lookup!$K$3:$K$14)</f>
        <v>March</v>
      </c>
      <c r="Y80" t="str">
        <f>_xlfn.XLOOKUP(G80,Lookup!$M$3:$M$9,Lookup!$N$3:$N$9)</f>
        <v>Sunday</v>
      </c>
    </row>
    <row r="81" spans="1:25" x14ac:dyDescent="0.3">
      <c r="A81">
        <v>80</v>
      </c>
      <c r="B81" s="1">
        <v>40623</v>
      </c>
      <c r="C81">
        <v>2</v>
      </c>
      <c r="D81">
        <v>0</v>
      </c>
      <c r="E81">
        <v>3</v>
      </c>
      <c r="F81">
        <v>0</v>
      </c>
      <c r="G81">
        <v>1</v>
      </c>
      <c r="H81">
        <v>1</v>
      </c>
      <c r="I81">
        <v>2</v>
      </c>
      <c r="J81">
        <v>0.43043500000000001</v>
      </c>
      <c r="K81">
        <v>0.40973500000000002</v>
      </c>
      <c r="L81">
        <v>0.73739100000000002</v>
      </c>
      <c r="M81">
        <v>0.28878300000000001</v>
      </c>
      <c r="N81">
        <v>401</v>
      </c>
      <c r="O81">
        <v>1676</v>
      </c>
      <c r="P81">
        <v>2077</v>
      </c>
      <c r="Q81">
        <f t="shared" si="4"/>
        <v>12.230445</v>
      </c>
      <c r="R81">
        <f t="shared" si="5"/>
        <v>11.04251</v>
      </c>
      <c r="S81">
        <f t="shared" si="6"/>
        <v>73.739100000000008</v>
      </c>
      <c r="T81">
        <f t="shared" si="7"/>
        <v>19.348461</v>
      </c>
      <c r="U81" t="str">
        <f>_xlfn.XLOOKUP(C81,Lookup!$A$3:$A$6,Lookup!$B$3:$B$6)</f>
        <v>Spring</v>
      </c>
      <c r="V81">
        <f>_xlfn.XLOOKUP(D81,Lookup!$D$3:$D$4,Lookup!$E$3:$E$4)</f>
        <v>2011</v>
      </c>
      <c r="W81" t="str">
        <f>_xlfn.XLOOKUP(I81,Lookup!$G$3:$G$6,Lookup!$H$3:$H$6)</f>
        <v>Misty/Cloudy</v>
      </c>
      <c r="X81" t="str">
        <f>_xlfn.XLOOKUP(E81,Lookup!$J$3:$J$14,Lookup!$K$3:$K$14)</f>
        <v>March</v>
      </c>
      <c r="Y81" t="str">
        <f>_xlfn.XLOOKUP(G81,Lookup!$M$3:$M$9,Lookup!$N$3:$N$9)</f>
        <v>Monday</v>
      </c>
    </row>
    <row r="82" spans="1:25" x14ac:dyDescent="0.3">
      <c r="A82">
        <v>81</v>
      </c>
      <c r="B82" s="1">
        <v>40624</v>
      </c>
      <c r="C82">
        <v>2</v>
      </c>
      <c r="D82">
        <v>0</v>
      </c>
      <c r="E82">
        <v>3</v>
      </c>
      <c r="F82">
        <v>0</v>
      </c>
      <c r="G82">
        <v>2</v>
      </c>
      <c r="H82">
        <v>1</v>
      </c>
      <c r="I82">
        <v>1</v>
      </c>
      <c r="J82">
        <v>0.44166699999999998</v>
      </c>
      <c r="K82">
        <v>0.44064199999999998</v>
      </c>
      <c r="L82">
        <v>0.624583</v>
      </c>
      <c r="M82">
        <v>0.22575000000000001</v>
      </c>
      <c r="N82">
        <v>460</v>
      </c>
      <c r="O82">
        <v>2243</v>
      </c>
      <c r="P82">
        <v>2703</v>
      </c>
      <c r="Q82">
        <f t="shared" si="4"/>
        <v>12.758348999999999</v>
      </c>
      <c r="R82">
        <f t="shared" si="5"/>
        <v>13.082371999999999</v>
      </c>
      <c r="S82">
        <f t="shared" si="6"/>
        <v>62.458300000000001</v>
      </c>
      <c r="T82">
        <f t="shared" si="7"/>
        <v>15.125250000000001</v>
      </c>
      <c r="U82" t="str">
        <f>_xlfn.XLOOKUP(C82,Lookup!$A$3:$A$6,Lookup!$B$3:$B$6)</f>
        <v>Spring</v>
      </c>
      <c r="V82">
        <f>_xlfn.XLOOKUP(D82,Lookup!$D$3:$D$4,Lookup!$E$3:$E$4)</f>
        <v>2011</v>
      </c>
      <c r="W82" t="str">
        <f>_xlfn.XLOOKUP(I82,Lookup!$G$3:$G$6,Lookup!$H$3:$H$6)</f>
        <v>Clear</v>
      </c>
      <c r="X82" t="str">
        <f>_xlfn.XLOOKUP(E82,Lookup!$J$3:$J$14,Lookup!$K$3:$K$14)</f>
        <v>March</v>
      </c>
      <c r="Y82" t="str">
        <f>_xlfn.XLOOKUP(G82,Lookup!$M$3:$M$9,Lookup!$N$3:$N$9)</f>
        <v>Tuesday</v>
      </c>
    </row>
    <row r="83" spans="1:25" x14ac:dyDescent="0.3">
      <c r="A83">
        <v>82</v>
      </c>
      <c r="B83" s="1">
        <v>40625</v>
      </c>
      <c r="C83">
        <v>2</v>
      </c>
      <c r="D83">
        <v>0</v>
      </c>
      <c r="E83">
        <v>3</v>
      </c>
      <c r="F83">
        <v>0</v>
      </c>
      <c r="G83">
        <v>3</v>
      </c>
      <c r="H83">
        <v>1</v>
      </c>
      <c r="I83">
        <v>2</v>
      </c>
      <c r="J83">
        <v>0.34695700000000002</v>
      </c>
      <c r="K83">
        <v>0.33793899999999999</v>
      </c>
      <c r="L83">
        <v>0.83956500000000001</v>
      </c>
      <c r="M83">
        <v>0.234261</v>
      </c>
      <c r="N83">
        <v>203</v>
      </c>
      <c r="O83">
        <v>1918</v>
      </c>
      <c r="P83">
        <v>2121</v>
      </c>
      <c r="Q83">
        <f t="shared" si="4"/>
        <v>8.3069790000000019</v>
      </c>
      <c r="R83">
        <f t="shared" si="5"/>
        <v>6.3039740000000002</v>
      </c>
      <c r="S83">
        <f t="shared" si="6"/>
        <v>83.956500000000005</v>
      </c>
      <c r="T83">
        <f t="shared" si="7"/>
        <v>15.695487</v>
      </c>
      <c r="U83" t="str">
        <f>_xlfn.XLOOKUP(C83,Lookup!$A$3:$A$6,Lookup!$B$3:$B$6)</f>
        <v>Spring</v>
      </c>
      <c r="V83">
        <f>_xlfn.XLOOKUP(D83,Lookup!$D$3:$D$4,Lookup!$E$3:$E$4)</f>
        <v>2011</v>
      </c>
      <c r="W83" t="str">
        <f>_xlfn.XLOOKUP(I83,Lookup!$G$3:$G$6,Lookup!$H$3:$H$6)</f>
        <v>Misty/Cloudy</v>
      </c>
      <c r="X83" t="str">
        <f>_xlfn.XLOOKUP(E83,Lookup!$J$3:$J$14,Lookup!$K$3:$K$14)</f>
        <v>March</v>
      </c>
      <c r="Y83" t="str">
        <f>_xlfn.XLOOKUP(G83,Lookup!$M$3:$M$9,Lookup!$N$3:$N$9)</f>
        <v>Wednesday</v>
      </c>
    </row>
    <row r="84" spans="1:25" x14ac:dyDescent="0.3">
      <c r="A84">
        <v>83</v>
      </c>
      <c r="B84" s="1">
        <v>40626</v>
      </c>
      <c r="C84">
        <v>2</v>
      </c>
      <c r="D84">
        <v>0</v>
      </c>
      <c r="E84">
        <v>3</v>
      </c>
      <c r="F84">
        <v>0</v>
      </c>
      <c r="G84">
        <v>4</v>
      </c>
      <c r="H84">
        <v>1</v>
      </c>
      <c r="I84">
        <v>2</v>
      </c>
      <c r="J84">
        <v>0.28499999999999998</v>
      </c>
      <c r="K84">
        <v>0.27083299999999999</v>
      </c>
      <c r="L84">
        <v>0.80583300000000002</v>
      </c>
      <c r="M84">
        <v>0.243787</v>
      </c>
      <c r="N84">
        <v>166</v>
      </c>
      <c r="O84">
        <v>1699</v>
      </c>
      <c r="P84">
        <v>1865</v>
      </c>
      <c r="Q84">
        <f t="shared" si="4"/>
        <v>5.3949999999999996</v>
      </c>
      <c r="R84">
        <f t="shared" si="5"/>
        <v>1.8749779999999987</v>
      </c>
      <c r="S84">
        <f t="shared" si="6"/>
        <v>80.583300000000008</v>
      </c>
      <c r="T84">
        <f t="shared" si="7"/>
        <v>16.333729000000002</v>
      </c>
      <c r="U84" t="str">
        <f>_xlfn.XLOOKUP(C84,Lookup!$A$3:$A$6,Lookup!$B$3:$B$6)</f>
        <v>Spring</v>
      </c>
      <c r="V84">
        <f>_xlfn.XLOOKUP(D84,Lookup!$D$3:$D$4,Lookup!$E$3:$E$4)</f>
        <v>2011</v>
      </c>
      <c r="W84" t="str">
        <f>_xlfn.XLOOKUP(I84,Lookup!$G$3:$G$6,Lookup!$H$3:$H$6)</f>
        <v>Misty/Cloudy</v>
      </c>
      <c r="X84" t="str">
        <f>_xlfn.XLOOKUP(E84,Lookup!$J$3:$J$14,Lookup!$K$3:$K$14)</f>
        <v>March</v>
      </c>
      <c r="Y84" t="str">
        <f>_xlfn.XLOOKUP(G84,Lookup!$M$3:$M$9,Lookup!$N$3:$N$9)</f>
        <v>Thursday</v>
      </c>
    </row>
    <row r="85" spans="1:25" x14ac:dyDescent="0.3">
      <c r="A85">
        <v>84</v>
      </c>
      <c r="B85" s="1">
        <v>40627</v>
      </c>
      <c r="C85">
        <v>2</v>
      </c>
      <c r="D85">
        <v>0</v>
      </c>
      <c r="E85">
        <v>3</v>
      </c>
      <c r="F85">
        <v>0</v>
      </c>
      <c r="G85">
        <v>5</v>
      </c>
      <c r="H85">
        <v>1</v>
      </c>
      <c r="I85">
        <v>1</v>
      </c>
      <c r="J85">
        <v>0.26416699999999999</v>
      </c>
      <c r="K85">
        <v>0.25631199999999998</v>
      </c>
      <c r="L85">
        <v>0.495</v>
      </c>
      <c r="M85">
        <v>0.23072500000000001</v>
      </c>
      <c r="N85">
        <v>300</v>
      </c>
      <c r="O85">
        <v>1910</v>
      </c>
      <c r="P85">
        <v>2210</v>
      </c>
      <c r="Q85">
        <f t="shared" si="4"/>
        <v>4.4158489999999997</v>
      </c>
      <c r="R85">
        <f t="shared" si="5"/>
        <v>0.91659199999999785</v>
      </c>
      <c r="S85">
        <f t="shared" si="6"/>
        <v>49.5</v>
      </c>
      <c r="T85">
        <f t="shared" si="7"/>
        <v>15.458575000000002</v>
      </c>
      <c r="U85" t="str">
        <f>_xlfn.XLOOKUP(C85,Lookup!$A$3:$A$6,Lookup!$B$3:$B$6)</f>
        <v>Spring</v>
      </c>
      <c r="V85">
        <f>_xlfn.XLOOKUP(D85,Lookup!$D$3:$D$4,Lookup!$E$3:$E$4)</f>
        <v>2011</v>
      </c>
      <c r="W85" t="str">
        <f>_xlfn.XLOOKUP(I85,Lookup!$G$3:$G$6,Lookup!$H$3:$H$6)</f>
        <v>Clear</v>
      </c>
      <c r="X85" t="str">
        <f>_xlfn.XLOOKUP(E85,Lookup!$J$3:$J$14,Lookup!$K$3:$K$14)</f>
        <v>March</v>
      </c>
      <c r="Y85" t="str">
        <f>_xlfn.XLOOKUP(G85,Lookup!$M$3:$M$9,Lookup!$N$3:$N$9)</f>
        <v>Friday</v>
      </c>
    </row>
    <row r="86" spans="1:25" x14ac:dyDescent="0.3">
      <c r="A86">
        <v>85</v>
      </c>
      <c r="B86" s="1">
        <v>40628</v>
      </c>
      <c r="C86">
        <v>2</v>
      </c>
      <c r="D86">
        <v>0</v>
      </c>
      <c r="E86">
        <v>3</v>
      </c>
      <c r="F86">
        <v>0</v>
      </c>
      <c r="G86">
        <v>6</v>
      </c>
      <c r="H86">
        <v>0</v>
      </c>
      <c r="I86">
        <v>1</v>
      </c>
      <c r="J86">
        <v>0.26583299999999999</v>
      </c>
      <c r="K86">
        <v>0.25757099999999999</v>
      </c>
      <c r="L86">
        <v>0.39416699999999999</v>
      </c>
      <c r="M86">
        <v>0.20957100000000001</v>
      </c>
      <c r="N86">
        <v>981</v>
      </c>
      <c r="O86">
        <v>1515</v>
      </c>
      <c r="P86">
        <v>2496</v>
      </c>
      <c r="Q86">
        <f t="shared" si="4"/>
        <v>4.4941509999999987</v>
      </c>
      <c r="R86">
        <f t="shared" si="5"/>
        <v>0.99968600000000052</v>
      </c>
      <c r="S86">
        <f t="shared" si="6"/>
        <v>39.416699999999999</v>
      </c>
      <c r="T86">
        <f t="shared" si="7"/>
        <v>14.041257</v>
      </c>
      <c r="U86" t="str">
        <f>_xlfn.XLOOKUP(C86,Lookup!$A$3:$A$6,Lookup!$B$3:$B$6)</f>
        <v>Spring</v>
      </c>
      <c r="V86">
        <f>_xlfn.XLOOKUP(D86,Lookup!$D$3:$D$4,Lookup!$E$3:$E$4)</f>
        <v>2011</v>
      </c>
      <c r="W86" t="str">
        <f>_xlfn.XLOOKUP(I86,Lookup!$G$3:$G$6,Lookup!$H$3:$H$6)</f>
        <v>Clear</v>
      </c>
      <c r="X86" t="str">
        <f>_xlfn.XLOOKUP(E86,Lookup!$J$3:$J$14,Lookup!$K$3:$K$14)</f>
        <v>March</v>
      </c>
      <c r="Y86" t="str">
        <f>_xlfn.XLOOKUP(G86,Lookup!$M$3:$M$9,Lookup!$N$3:$N$9)</f>
        <v>Saturday</v>
      </c>
    </row>
    <row r="87" spans="1:25" x14ac:dyDescent="0.3">
      <c r="A87">
        <v>86</v>
      </c>
      <c r="B87" s="1">
        <v>40629</v>
      </c>
      <c r="C87">
        <v>2</v>
      </c>
      <c r="D87">
        <v>0</v>
      </c>
      <c r="E87">
        <v>3</v>
      </c>
      <c r="F87">
        <v>0</v>
      </c>
      <c r="G87">
        <v>0</v>
      </c>
      <c r="H87">
        <v>0</v>
      </c>
      <c r="I87">
        <v>2</v>
      </c>
      <c r="J87">
        <v>0.25304300000000002</v>
      </c>
      <c r="K87">
        <v>0.25033899999999998</v>
      </c>
      <c r="L87">
        <v>0.49391299999999999</v>
      </c>
      <c r="M87">
        <v>0.18429999999999999</v>
      </c>
      <c r="N87">
        <v>472</v>
      </c>
      <c r="O87">
        <v>1221</v>
      </c>
      <c r="P87">
        <v>1693</v>
      </c>
      <c r="Q87">
        <f t="shared" si="4"/>
        <v>3.893021000000001</v>
      </c>
      <c r="R87">
        <f t="shared" si="5"/>
        <v>0.52237399999999923</v>
      </c>
      <c r="S87">
        <f t="shared" si="6"/>
        <v>49.391300000000001</v>
      </c>
      <c r="T87">
        <f t="shared" si="7"/>
        <v>12.348099999999999</v>
      </c>
      <c r="U87" t="str">
        <f>_xlfn.XLOOKUP(C87,Lookup!$A$3:$A$6,Lookup!$B$3:$B$6)</f>
        <v>Spring</v>
      </c>
      <c r="V87">
        <f>_xlfn.XLOOKUP(D87,Lookup!$D$3:$D$4,Lookup!$E$3:$E$4)</f>
        <v>2011</v>
      </c>
      <c r="W87" t="str">
        <f>_xlfn.XLOOKUP(I87,Lookup!$G$3:$G$6,Lookup!$H$3:$H$6)</f>
        <v>Misty/Cloudy</v>
      </c>
      <c r="X87" t="str">
        <f>_xlfn.XLOOKUP(E87,Lookup!$J$3:$J$14,Lookup!$K$3:$K$14)</f>
        <v>March</v>
      </c>
      <c r="Y87" t="str">
        <f>_xlfn.XLOOKUP(G87,Lookup!$M$3:$M$9,Lookup!$N$3:$N$9)</f>
        <v>Sunday</v>
      </c>
    </row>
    <row r="88" spans="1:25" x14ac:dyDescent="0.3">
      <c r="A88">
        <v>87</v>
      </c>
      <c r="B88" s="1">
        <v>40630</v>
      </c>
      <c r="C88">
        <v>2</v>
      </c>
      <c r="D88">
        <v>0</v>
      </c>
      <c r="E88">
        <v>3</v>
      </c>
      <c r="F88">
        <v>0</v>
      </c>
      <c r="G88">
        <v>1</v>
      </c>
      <c r="H88">
        <v>1</v>
      </c>
      <c r="I88">
        <v>1</v>
      </c>
      <c r="J88">
        <v>0.26434800000000003</v>
      </c>
      <c r="K88">
        <v>0.25757400000000003</v>
      </c>
      <c r="L88">
        <v>0.302174</v>
      </c>
      <c r="M88">
        <v>0.212204</v>
      </c>
      <c r="N88">
        <v>222</v>
      </c>
      <c r="O88">
        <v>1806</v>
      </c>
      <c r="P88">
        <v>2028</v>
      </c>
      <c r="Q88">
        <f t="shared" si="4"/>
        <v>4.4243560000000013</v>
      </c>
      <c r="R88">
        <f t="shared" si="5"/>
        <v>0.99988400000000155</v>
      </c>
      <c r="S88">
        <f t="shared" si="6"/>
        <v>30.217400000000001</v>
      </c>
      <c r="T88">
        <f t="shared" si="7"/>
        <v>14.217668</v>
      </c>
      <c r="U88" t="str">
        <f>_xlfn.XLOOKUP(C88,Lookup!$A$3:$A$6,Lookup!$B$3:$B$6)</f>
        <v>Spring</v>
      </c>
      <c r="V88">
        <f>_xlfn.XLOOKUP(D88,Lookup!$D$3:$D$4,Lookup!$E$3:$E$4)</f>
        <v>2011</v>
      </c>
      <c r="W88" t="str">
        <f>_xlfn.XLOOKUP(I88,Lookup!$G$3:$G$6,Lookup!$H$3:$H$6)</f>
        <v>Clear</v>
      </c>
      <c r="X88" t="str">
        <f>_xlfn.XLOOKUP(E88,Lookup!$J$3:$J$14,Lookup!$K$3:$K$14)</f>
        <v>March</v>
      </c>
      <c r="Y88" t="str">
        <f>_xlfn.XLOOKUP(G88,Lookup!$M$3:$M$9,Lookup!$N$3:$N$9)</f>
        <v>Monday</v>
      </c>
    </row>
    <row r="89" spans="1:25" x14ac:dyDescent="0.3">
      <c r="A89">
        <v>88</v>
      </c>
      <c r="B89" s="1">
        <v>40631</v>
      </c>
      <c r="C89">
        <v>2</v>
      </c>
      <c r="D89">
        <v>0</v>
      </c>
      <c r="E89">
        <v>3</v>
      </c>
      <c r="F89">
        <v>0</v>
      </c>
      <c r="G89">
        <v>2</v>
      </c>
      <c r="H89">
        <v>1</v>
      </c>
      <c r="I89">
        <v>1</v>
      </c>
      <c r="J89">
        <v>0.30249999999999999</v>
      </c>
      <c r="K89">
        <v>0.292908</v>
      </c>
      <c r="L89">
        <v>0.31416699999999997</v>
      </c>
      <c r="M89">
        <v>0.226996</v>
      </c>
      <c r="N89">
        <v>317</v>
      </c>
      <c r="O89">
        <v>2108</v>
      </c>
      <c r="P89">
        <v>2425</v>
      </c>
      <c r="Q89">
        <f t="shared" si="4"/>
        <v>6.2174999999999994</v>
      </c>
      <c r="R89">
        <f t="shared" si="5"/>
        <v>3.3319280000000013</v>
      </c>
      <c r="S89">
        <f t="shared" si="6"/>
        <v>31.416699999999999</v>
      </c>
      <c r="T89">
        <f t="shared" si="7"/>
        <v>15.208731999999999</v>
      </c>
      <c r="U89" t="str">
        <f>_xlfn.XLOOKUP(C89,Lookup!$A$3:$A$6,Lookup!$B$3:$B$6)</f>
        <v>Spring</v>
      </c>
      <c r="V89">
        <f>_xlfn.XLOOKUP(D89,Lookup!$D$3:$D$4,Lookup!$E$3:$E$4)</f>
        <v>2011</v>
      </c>
      <c r="W89" t="str">
        <f>_xlfn.XLOOKUP(I89,Lookup!$G$3:$G$6,Lookup!$H$3:$H$6)</f>
        <v>Clear</v>
      </c>
      <c r="X89" t="str">
        <f>_xlfn.XLOOKUP(E89,Lookup!$J$3:$J$14,Lookup!$K$3:$K$14)</f>
        <v>March</v>
      </c>
      <c r="Y89" t="str">
        <f>_xlfn.XLOOKUP(G89,Lookup!$M$3:$M$9,Lookup!$N$3:$N$9)</f>
        <v>Tuesday</v>
      </c>
    </row>
    <row r="90" spans="1:25" x14ac:dyDescent="0.3">
      <c r="A90">
        <v>89</v>
      </c>
      <c r="B90" s="1">
        <v>40632</v>
      </c>
      <c r="C90">
        <v>2</v>
      </c>
      <c r="D90">
        <v>0</v>
      </c>
      <c r="E90">
        <v>3</v>
      </c>
      <c r="F90">
        <v>0</v>
      </c>
      <c r="G90">
        <v>3</v>
      </c>
      <c r="H90">
        <v>1</v>
      </c>
      <c r="I90">
        <v>2</v>
      </c>
      <c r="J90">
        <v>0.3</v>
      </c>
      <c r="K90">
        <v>0.29735</v>
      </c>
      <c r="L90">
        <v>0.64666699999999999</v>
      </c>
      <c r="M90">
        <v>0.17288799999999999</v>
      </c>
      <c r="N90">
        <v>168</v>
      </c>
      <c r="O90">
        <v>1368</v>
      </c>
      <c r="P90">
        <v>1536</v>
      </c>
      <c r="Q90">
        <f t="shared" si="4"/>
        <v>6.1</v>
      </c>
      <c r="R90">
        <f t="shared" si="5"/>
        <v>3.6250999999999998</v>
      </c>
      <c r="S90">
        <f t="shared" si="6"/>
        <v>64.666700000000006</v>
      </c>
      <c r="T90">
        <f t="shared" si="7"/>
        <v>11.583495999999998</v>
      </c>
      <c r="U90" t="str">
        <f>_xlfn.XLOOKUP(C90,Lookup!$A$3:$A$6,Lookup!$B$3:$B$6)</f>
        <v>Spring</v>
      </c>
      <c r="V90">
        <f>_xlfn.XLOOKUP(D90,Lookup!$D$3:$D$4,Lookup!$E$3:$E$4)</f>
        <v>2011</v>
      </c>
      <c r="W90" t="str">
        <f>_xlfn.XLOOKUP(I90,Lookup!$G$3:$G$6,Lookup!$H$3:$H$6)</f>
        <v>Misty/Cloudy</v>
      </c>
      <c r="X90" t="str">
        <f>_xlfn.XLOOKUP(E90,Lookup!$J$3:$J$14,Lookup!$K$3:$K$14)</f>
        <v>March</v>
      </c>
      <c r="Y90" t="str">
        <f>_xlfn.XLOOKUP(G90,Lookup!$M$3:$M$9,Lookup!$N$3:$N$9)</f>
        <v>Wednesday</v>
      </c>
    </row>
    <row r="91" spans="1:25" x14ac:dyDescent="0.3">
      <c r="A91">
        <v>90</v>
      </c>
      <c r="B91" s="1">
        <v>40633</v>
      </c>
      <c r="C91">
        <v>2</v>
      </c>
      <c r="D91">
        <v>0</v>
      </c>
      <c r="E91">
        <v>3</v>
      </c>
      <c r="F91">
        <v>0</v>
      </c>
      <c r="G91">
        <v>4</v>
      </c>
      <c r="H91">
        <v>1</v>
      </c>
      <c r="I91">
        <v>3</v>
      </c>
      <c r="J91">
        <v>0.26833299999999999</v>
      </c>
      <c r="K91">
        <v>0.257575</v>
      </c>
      <c r="L91">
        <v>0.91833299999999995</v>
      </c>
      <c r="M91">
        <v>0.21764600000000001</v>
      </c>
      <c r="N91">
        <v>179</v>
      </c>
      <c r="O91">
        <v>1506</v>
      </c>
      <c r="P91">
        <v>1685</v>
      </c>
      <c r="Q91">
        <f t="shared" si="4"/>
        <v>4.6116510000000002</v>
      </c>
      <c r="R91">
        <f t="shared" si="5"/>
        <v>0.99994999999999834</v>
      </c>
      <c r="S91">
        <f t="shared" si="6"/>
        <v>91.833299999999994</v>
      </c>
      <c r="T91">
        <f t="shared" si="7"/>
        <v>14.582282000000001</v>
      </c>
      <c r="U91" t="str">
        <f>_xlfn.XLOOKUP(C91,Lookup!$A$3:$A$6,Lookup!$B$3:$B$6)</f>
        <v>Spring</v>
      </c>
      <c r="V91">
        <f>_xlfn.XLOOKUP(D91,Lookup!$D$3:$D$4,Lookup!$E$3:$E$4)</f>
        <v>2011</v>
      </c>
      <c r="W91" t="str">
        <f>_xlfn.XLOOKUP(I91,Lookup!$G$3:$G$6,Lookup!$H$3:$H$6)</f>
        <v>Light Snow/Rain</v>
      </c>
      <c r="X91" t="str">
        <f>_xlfn.XLOOKUP(E91,Lookup!$J$3:$J$14,Lookup!$K$3:$K$14)</f>
        <v>March</v>
      </c>
      <c r="Y91" t="str">
        <f>_xlfn.XLOOKUP(G91,Lookup!$M$3:$M$9,Lookup!$N$3:$N$9)</f>
        <v>Thursday</v>
      </c>
    </row>
    <row r="92" spans="1:25" x14ac:dyDescent="0.3">
      <c r="A92">
        <v>91</v>
      </c>
      <c r="B92" s="1">
        <v>40634</v>
      </c>
      <c r="C92">
        <v>2</v>
      </c>
      <c r="D92">
        <v>0</v>
      </c>
      <c r="E92">
        <v>4</v>
      </c>
      <c r="F92">
        <v>0</v>
      </c>
      <c r="G92">
        <v>5</v>
      </c>
      <c r="H92">
        <v>1</v>
      </c>
      <c r="I92">
        <v>2</v>
      </c>
      <c r="J92">
        <v>0.3</v>
      </c>
      <c r="K92">
        <v>0.28345399999999998</v>
      </c>
      <c r="L92">
        <v>0.68625000000000003</v>
      </c>
      <c r="M92">
        <v>0.25870799999999999</v>
      </c>
      <c r="N92">
        <v>307</v>
      </c>
      <c r="O92">
        <v>1920</v>
      </c>
      <c r="P92">
        <v>2227</v>
      </c>
      <c r="Q92">
        <f t="shared" si="4"/>
        <v>6.1</v>
      </c>
      <c r="R92">
        <f t="shared" si="5"/>
        <v>2.7079640000000005</v>
      </c>
      <c r="S92">
        <f t="shared" si="6"/>
        <v>68.625</v>
      </c>
      <c r="T92">
        <f t="shared" si="7"/>
        <v>17.333435999999999</v>
      </c>
      <c r="U92" t="str">
        <f>_xlfn.XLOOKUP(C92,Lookup!$A$3:$A$6,Lookup!$B$3:$B$6)</f>
        <v>Spring</v>
      </c>
      <c r="V92">
        <f>_xlfn.XLOOKUP(D92,Lookup!$D$3:$D$4,Lookup!$E$3:$E$4)</f>
        <v>2011</v>
      </c>
      <c r="W92" t="str">
        <f>_xlfn.XLOOKUP(I92,Lookup!$G$3:$G$6,Lookup!$H$3:$H$6)</f>
        <v>Misty/Cloudy</v>
      </c>
      <c r="X92" t="str">
        <f>_xlfn.XLOOKUP(E92,Lookup!$J$3:$J$14,Lookup!$K$3:$K$14)</f>
        <v>April</v>
      </c>
      <c r="Y92" t="str">
        <f>_xlfn.XLOOKUP(G92,Lookup!$M$3:$M$9,Lookup!$N$3:$N$9)</f>
        <v>Friday</v>
      </c>
    </row>
    <row r="93" spans="1:25" x14ac:dyDescent="0.3">
      <c r="A93">
        <v>92</v>
      </c>
      <c r="B93" s="1">
        <v>40635</v>
      </c>
      <c r="C93">
        <v>2</v>
      </c>
      <c r="D93">
        <v>0</v>
      </c>
      <c r="E93">
        <v>4</v>
      </c>
      <c r="F93">
        <v>0</v>
      </c>
      <c r="G93">
        <v>6</v>
      </c>
      <c r="H93">
        <v>0</v>
      </c>
      <c r="I93">
        <v>2</v>
      </c>
      <c r="J93">
        <v>0.315</v>
      </c>
      <c r="K93">
        <v>0.315637</v>
      </c>
      <c r="L93">
        <v>0.65375000000000005</v>
      </c>
      <c r="M93">
        <v>0.19714599999999999</v>
      </c>
      <c r="N93">
        <v>898</v>
      </c>
      <c r="O93">
        <v>1354</v>
      </c>
      <c r="P93">
        <v>2252</v>
      </c>
      <c r="Q93">
        <f t="shared" si="4"/>
        <v>6.8049999999999997</v>
      </c>
      <c r="R93">
        <f t="shared" si="5"/>
        <v>4.8320420000000013</v>
      </c>
      <c r="S93">
        <f t="shared" si="6"/>
        <v>65.375</v>
      </c>
      <c r="T93">
        <f t="shared" si="7"/>
        <v>13.208781999999999</v>
      </c>
      <c r="U93" t="str">
        <f>_xlfn.XLOOKUP(C93,Lookup!$A$3:$A$6,Lookup!$B$3:$B$6)</f>
        <v>Spring</v>
      </c>
      <c r="V93">
        <f>_xlfn.XLOOKUP(D93,Lookup!$D$3:$D$4,Lookup!$E$3:$E$4)</f>
        <v>2011</v>
      </c>
      <c r="W93" t="str">
        <f>_xlfn.XLOOKUP(I93,Lookup!$G$3:$G$6,Lookup!$H$3:$H$6)</f>
        <v>Misty/Cloudy</v>
      </c>
      <c r="X93" t="str">
        <f>_xlfn.XLOOKUP(E93,Lookup!$J$3:$J$14,Lookup!$K$3:$K$14)</f>
        <v>April</v>
      </c>
      <c r="Y93" t="str">
        <f>_xlfn.XLOOKUP(G93,Lookup!$M$3:$M$9,Lookup!$N$3:$N$9)</f>
        <v>Saturday</v>
      </c>
    </row>
    <row r="94" spans="1:25" x14ac:dyDescent="0.3">
      <c r="A94">
        <v>93</v>
      </c>
      <c r="B94" s="1">
        <v>40636</v>
      </c>
      <c r="C94">
        <v>2</v>
      </c>
      <c r="D94">
        <v>0</v>
      </c>
      <c r="E94">
        <v>4</v>
      </c>
      <c r="F94">
        <v>0</v>
      </c>
      <c r="G94">
        <v>0</v>
      </c>
      <c r="H94">
        <v>0</v>
      </c>
      <c r="I94">
        <v>1</v>
      </c>
      <c r="J94">
        <v>0.37833299999999997</v>
      </c>
      <c r="K94">
        <v>0.37876700000000002</v>
      </c>
      <c r="L94">
        <v>0.48</v>
      </c>
      <c r="M94">
        <v>0.18221300000000001</v>
      </c>
      <c r="N94">
        <v>1651</v>
      </c>
      <c r="O94">
        <v>1598</v>
      </c>
      <c r="P94">
        <v>3249</v>
      </c>
      <c r="Q94">
        <f t="shared" si="4"/>
        <v>9.7816510000000001</v>
      </c>
      <c r="R94">
        <f t="shared" si="5"/>
        <v>8.998622000000001</v>
      </c>
      <c r="S94">
        <f t="shared" si="6"/>
        <v>48</v>
      </c>
      <c r="T94">
        <f t="shared" si="7"/>
        <v>12.208271000000002</v>
      </c>
      <c r="U94" t="str">
        <f>_xlfn.XLOOKUP(C94,Lookup!$A$3:$A$6,Lookup!$B$3:$B$6)</f>
        <v>Spring</v>
      </c>
      <c r="V94">
        <f>_xlfn.XLOOKUP(D94,Lookup!$D$3:$D$4,Lookup!$E$3:$E$4)</f>
        <v>2011</v>
      </c>
      <c r="W94" t="str">
        <f>_xlfn.XLOOKUP(I94,Lookup!$G$3:$G$6,Lookup!$H$3:$H$6)</f>
        <v>Clear</v>
      </c>
      <c r="X94" t="str">
        <f>_xlfn.XLOOKUP(E94,Lookup!$J$3:$J$14,Lookup!$K$3:$K$14)</f>
        <v>April</v>
      </c>
      <c r="Y94" t="str">
        <f>_xlfn.XLOOKUP(G94,Lookup!$M$3:$M$9,Lookup!$N$3:$N$9)</f>
        <v>Sunday</v>
      </c>
    </row>
    <row r="95" spans="1:25" x14ac:dyDescent="0.3">
      <c r="A95">
        <v>94</v>
      </c>
      <c r="B95" s="1">
        <v>40637</v>
      </c>
      <c r="C95">
        <v>2</v>
      </c>
      <c r="D95">
        <v>0</v>
      </c>
      <c r="E95">
        <v>4</v>
      </c>
      <c r="F95">
        <v>0</v>
      </c>
      <c r="G95">
        <v>1</v>
      </c>
      <c r="H95">
        <v>1</v>
      </c>
      <c r="I95">
        <v>1</v>
      </c>
      <c r="J95">
        <v>0.57333299999999998</v>
      </c>
      <c r="K95">
        <v>0.54292899999999999</v>
      </c>
      <c r="L95">
        <v>0.42625000000000002</v>
      </c>
      <c r="M95">
        <v>0.385571</v>
      </c>
      <c r="N95">
        <v>734</v>
      </c>
      <c r="O95">
        <v>2381</v>
      </c>
      <c r="P95">
        <v>3115</v>
      </c>
      <c r="Q95">
        <f t="shared" si="4"/>
        <v>18.946650999999999</v>
      </c>
      <c r="R95">
        <f t="shared" si="5"/>
        <v>19.833314000000001</v>
      </c>
      <c r="S95">
        <f t="shared" si="6"/>
        <v>42.625</v>
      </c>
      <c r="T95">
        <f t="shared" si="7"/>
        <v>25.833257</v>
      </c>
      <c r="U95" t="str">
        <f>_xlfn.XLOOKUP(C95,Lookup!$A$3:$A$6,Lookup!$B$3:$B$6)</f>
        <v>Spring</v>
      </c>
      <c r="V95">
        <f>_xlfn.XLOOKUP(D95,Lookup!$D$3:$D$4,Lookup!$E$3:$E$4)</f>
        <v>2011</v>
      </c>
      <c r="W95" t="str">
        <f>_xlfn.XLOOKUP(I95,Lookup!$G$3:$G$6,Lookup!$H$3:$H$6)</f>
        <v>Clear</v>
      </c>
      <c r="X95" t="str">
        <f>_xlfn.XLOOKUP(E95,Lookup!$J$3:$J$14,Lookup!$K$3:$K$14)</f>
        <v>April</v>
      </c>
      <c r="Y95" t="str">
        <f>_xlfn.XLOOKUP(G95,Lookup!$M$3:$M$9,Lookup!$N$3:$N$9)</f>
        <v>Monday</v>
      </c>
    </row>
    <row r="96" spans="1:25" x14ac:dyDescent="0.3">
      <c r="A96">
        <v>95</v>
      </c>
      <c r="B96" s="1">
        <v>40638</v>
      </c>
      <c r="C96">
        <v>2</v>
      </c>
      <c r="D96">
        <v>0</v>
      </c>
      <c r="E96">
        <v>4</v>
      </c>
      <c r="F96">
        <v>0</v>
      </c>
      <c r="G96">
        <v>2</v>
      </c>
      <c r="H96">
        <v>1</v>
      </c>
      <c r="I96">
        <v>2</v>
      </c>
      <c r="J96">
        <v>0.41416700000000001</v>
      </c>
      <c r="K96">
        <v>0.39834999999999998</v>
      </c>
      <c r="L96">
        <v>0.64208299999999996</v>
      </c>
      <c r="M96">
        <v>0.388067</v>
      </c>
      <c r="N96">
        <v>167</v>
      </c>
      <c r="O96">
        <v>1628</v>
      </c>
      <c r="P96">
        <v>1795</v>
      </c>
      <c r="Q96">
        <f t="shared" si="4"/>
        <v>11.465848999999999</v>
      </c>
      <c r="R96">
        <f t="shared" si="5"/>
        <v>10.2911</v>
      </c>
      <c r="S96">
        <f t="shared" si="6"/>
        <v>64.208299999999994</v>
      </c>
      <c r="T96">
        <f t="shared" si="7"/>
        <v>26.000488999999998</v>
      </c>
      <c r="U96" t="str">
        <f>_xlfn.XLOOKUP(C96,Lookup!$A$3:$A$6,Lookup!$B$3:$B$6)</f>
        <v>Spring</v>
      </c>
      <c r="V96">
        <f>_xlfn.XLOOKUP(D96,Lookup!$D$3:$D$4,Lookup!$E$3:$E$4)</f>
        <v>2011</v>
      </c>
      <c r="W96" t="str">
        <f>_xlfn.XLOOKUP(I96,Lookup!$G$3:$G$6,Lookup!$H$3:$H$6)</f>
        <v>Misty/Cloudy</v>
      </c>
      <c r="X96" t="str">
        <f>_xlfn.XLOOKUP(E96,Lookup!$J$3:$J$14,Lookup!$K$3:$K$14)</f>
        <v>April</v>
      </c>
      <c r="Y96" t="str">
        <f>_xlfn.XLOOKUP(G96,Lookup!$M$3:$M$9,Lookup!$N$3:$N$9)</f>
        <v>Tuesday</v>
      </c>
    </row>
    <row r="97" spans="1:25" x14ac:dyDescent="0.3">
      <c r="A97">
        <v>96</v>
      </c>
      <c r="B97" s="1">
        <v>40639</v>
      </c>
      <c r="C97">
        <v>2</v>
      </c>
      <c r="D97">
        <v>0</v>
      </c>
      <c r="E97">
        <v>4</v>
      </c>
      <c r="F97">
        <v>0</v>
      </c>
      <c r="G97">
        <v>3</v>
      </c>
      <c r="H97">
        <v>1</v>
      </c>
      <c r="I97">
        <v>1</v>
      </c>
      <c r="J97">
        <v>0.39083299999999999</v>
      </c>
      <c r="K97">
        <v>0.38760800000000001</v>
      </c>
      <c r="L97">
        <v>0.470833</v>
      </c>
      <c r="M97">
        <v>0.26306299999999999</v>
      </c>
      <c r="N97">
        <v>413</v>
      </c>
      <c r="O97">
        <v>2395</v>
      </c>
      <c r="P97">
        <v>2808</v>
      </c>
      <c r="Q97">
        <f t="shared" si="4"/>
        <v>10.369150999999999</v>
      </c>
      <c r="R97">
        <f t="shared" si="5"/>
        <v>9.5821280000000009</v>
      </c>
      <c r="S97">
        <f t="shared" si="6"/>
        <v>47.083300000000001</v>
      </c>
      <c r="T97">
        <f t="shared" si="7"/>
        <v>17.625221</v>
      </c>
      <c r="U97" t="str">
        <f>_xlfn.XLOOKUP(C97,Lookup!$A$3:$A$6,Lookup!$B$3:$B$6)</f>
        <v>Spring</v>
      </c>
      <c r="V97">
        <f>_xlfn.XLOOKUP(D97,Lookup!$D$3:$D$4,Lookup!$E$3:$E$4)</f>
        <v>2011</v>
      </c>
      <c r="W97" t="str">
        <f>_xlfn.XLOOKUP(I97,Lookup!$G$3:$G$6,Lookup!$H$3:$H$6)</f>
        <v>Clear</v>
      </c>
      <c r="X97" t="str">
        <f>_xlfn.XLOOKUP(E97,Lookup!$J$3:$J$14,Lookup!$K$3:$K$14)</f>
        <v>April</v>
      </c>
      <c r="Y97" t="str">
        <f>_xlfn.XLOOKUP(G97,Lookup!$M$3:$M$9,Lookup!$N$3:$N$9)</f>
        <v>Wednesday</v>
      </c>
    </row>
    <row r="98" spans="1:25" x14ac:dyDescent="0.3">
      <c r="A98">
        <v>97</v>
      </c>
      <c r="B98" s="1">
        <v>40640</v>
      </c>
      <c r="C98">
        <v>2</v>
      </c>
      <c r="D98">
        <v>0</v>
      </c>
      <c r="E98">
        <v>4</v>
      </c>
      <c r="F98">
        <v>0</v>
      </c>
      <c r="G98">
        <v>4</v>
      </c>
      <c r="H98">
        <v>1</v>
      </c>
      <c r="I98">
        <v>1</v>
      </c>
      <c r="J98">
        <v>0.4375</v>
      </c>
      <c r="K98">
        <v>0.43369600000000003</v>
      </c>
      <c r="L98">
        <v>0.60291700000000004</v>
      </c>
      <c r="M98">
        <v>0.16231200000000001</v>
      </c>
      <c r="N98">
        <v>571</v>
      </c>
      <c r="O98">
        <v>2570</v>
      </c>
      <c r="P98">
        <v>3141</v>
      </c>
      <c r="Q98">
        <f t="shared" si="4"/>
        <v>12.5625</v>
      </c>
      <c r="R98">
        <f t="shared" si="5"/>
        <v>12.623936</v>
      </c>
      <c r="S98">
        <f t="shared" si="6"/>
        <v>60.291700000000006</v>
      </c>
      <c r="T98">
        <f t="shared" si="7"/>
        <v>10.874904000000001</v>
      </c>
      <c r="U98" t="str">
        <f>_xlfn.XLOOKUP(C98,Lookup!$A$3:$A$6,Lookup!$B$3:$B$6)</f>
        <v>Spring</v>
      </c>
      <c r="V98">
        <f>_xlfn.XLOOKUP(D98,Lookup!$D$3:$D$4,Lookup!$E$3:$E$4)</f>
        <v>2011</v>
      </c>
      <c r="W98" t="str">
        <f>_xlfn.XLOOKUP(I98,Lookup!$G$3:$G$6,Lookup!$H$3:$H$6)</f>
        <v>Clear</v>
      </c>
      <c r="X98" t="str">
        <f>_xlfn.XLOOKUP(E98,Lookup!$J$3:$J$14,Lookup!$K$3:$K$14)</f>
        <v>April</v>
      </c>
      <c r="Y98" t="str">
        <f>_xlfn.XLOOKUP(G98,Lookup!$M$3:$M$9,Lookup!$N$3:$N$9)</f>
        <v>Thursday</v>
      </c>
    </row>
    <row r="99" spans="1:25" x14ac:dyDescent="0.3">
      <c r="A99">
        <v>98</v>
      </c>
      <c r="B99" s="1">
        <v>40641</v>
      </c>
      <c r="C99">
        <v>2</v>
      </c>
      <c r="D99">
        <v>0</v>
      </c>
      <c r="E99">
        <v>4</v>
      </c>
      <c r="F99">
        <v>0</v>
      </c>
      <c r="G99">
        <v>5</v>
      </c>
      <c r="H99">
        <v>1</v>
      </c>
      <c r="I99">
        <v>2</v>
      </c>
      <c r="J99">
        <v>0.33583299999999999</v>
      </c>
      <c r="K99">
        <v>0.32447900000000002</v>
      </c>
      <c r="L99">
        <v>0.83625000000000005</v>
      </c>
      <c r="M99">
        <v>0.226992</v>
      </c>
      <c r="N99">
        <v>172</v>
      </c>
      <c r="O99">
        <v>1299</v>
      </c>
      <c r="P99">
        <v>1471</v>
      </c>
      <c r="Q99">
        <f t="shared" si="4"/>
        <v>7.7841509999999996</v>
      </c>
      <c r="R99">
        <f t="shared" si="5"/>
        <v>5.4156140000000015</v>
      </c>
      <c r="S99">
        <f t="shared" si="6"/>
        <v>83.625</v>
      </c>
      <c r="T99">
        <f t="shared" si="7"/>
        <v>15.208463999999999</v>
      </c>
      <c r="U99" t="str">
        <f>_xlfn.XLOOKUP(C99,Lookup!$A$3:$A$6,Lookup!$B$3:$B$6)</f>
        <v>Spring</v>
      </c>
      <c r="V99">
        <f>_xlfn.XLOOKUP(D99,Lookup!$D$3:$D$4,Lookup!$E$3:$E$4)</f>
        <v>2011</v>
      </c>
      <c r="W99" t="str">
        <f>_xlfn.XLOOKUP(I99,Lookup!$G$3:$G$6,Lookup!$H$3:$H$6)</f>
        <v>Misty/Cloudy</v>
      </c>
      <c r="X99" t="str">
        <f>_xlfn.XLOOKUP(E99,Lookup!$J$3:$J$14,Lookup!$K$3:$K$14)</f>
        <v>April</v>
      </c>
      <c r="Y99" t="str">
        <f>_xlfn.XLOOKUP(G99,Lookup!$M$3:$M$9,Lookup!$N$3:$N$9)</f>
        <v>Friday</v>
      </c>
    </row>
    <row r="100" spans="1:25" x14ac:dyDescent="0.3">
      <c r="A100">
        <v>99</v>
      </c>
      <c r="B100" s="1">
        <v>40642</v>
      </c>
      <c r="C100">
        <v>2</v>
      </c>
      <c r="D100">
        <v>0</v>
      </c>
      <c r="E100">
        <v>4</v>
      </c>
      <c r="F100">
        <v>0</v>
      </c>
      <c r="G100">
        <v>6</v>
      </c>
      <c r="H100">
        <v>0</v>
      </c>
      <c r="I100">
        <v>2</v>
      </c>
      <c r="J100">
        <v>0.34250000000000003</v>
      </c>
      <c r="K100">
        <v>0.34152900000000003</v>
      </c>
      <c r="L100">
        <v>0.87749999999999995</v>
      </c>
      <c r="M100">
        <v>0.13308300000000001</v>
      </c>
      <c r="N100">
        <v>879</v>
      </c>
      <c r="O100">
        <v>1576</v>
      </c>
      <c r="P100">
        <v>2455</v>
      </c>
      <c r="Q100">
        <f t="shared" si="4"/>
        <v>8.0975000000000001</v>
      </c>
      <c r="R100">
        <f t="shared" si="5"/>
        <v>6.5409140000000008</v>
      </c>
      <c r="S100">
        <f t="shared" si="6"/>
        <v>87.75</v>
      </c>
      <c r="T100">
        <f t="shared" si="7"/>
        <v>8.9165609999999997</v>
      </c>
      <c r="U100" t="str">
        <f>_xlfn.XLOOKUP(C100,Lookup!$A$3:$A$6,Lookup!$B$3:$B$6)</f>
        <v>Spring</v>
      </c>
      <c r="V100">
        <f>_xlfn.XLOOKUP(D100,Lookup!$D$3:$D$4,Lookup!$E$3:$E$4)</f>
        <v>2011</v>
      </c>
      <c r="W100" t="str">
        <f>_xlfn.XLOOKUP(I100,Lookup!$G$3:$G$6,Lookup!$H$3:$H$6)</f>
        <v>Misty/Cloudy</v>
      </c>
      <c r="X100" t="str">
        <f>_xlfn.XLOOKUP(E100,Lookup!$J$3:$J$14,Lookup!$K$3:$K$14)</f>
        <v>April</v>
      </c>
      <c r="Y100" t="str">
        <f>_xlfn.XLOOKUP(G100,Lookup!$M$3:$M$9,Lookup!$N$3:$N$9)</f>
        <v>Saturday</v>
      </c>
    </row>
    <row r="101" spans="1:25" x14ac:dyDescent="0.3">
      <c r="A101">
        <v>100</v>
      </c>
      <c r="B101" s="1">
        <v>40643</v>
      </c>
      <c r="C101">
        <v>2</v>
      </c>
      <c r="D101">
        <v>0</v>
      </c>
      <c r="E101">
        <v>4</v>
      </c>
      <c r="F101">
        <v>0</v>
      </c>
      <c r="G101">
        <v>0</v>
      </c>
      <c r="H101">
        <v>0</v>
      </c>
      <c r="I101">
        <v>2</v>
      </c>
      <c r="J101">
        <v>0.42666700000000002</v>
      </c>
      <c r="K101">
        <v>0.42673699999999998</v>
      </c>
      <c r="L101">
        <v>0.85750000000000004</v>
      </c>
      <c r="M101">
        <v>0.14676700000000001</v>
      </c>
      <c r="N101">
        <v>1188</v>
      </c>
      <c r="O101">
        <v>1707</v>
      </c>
      <c r="P101">
        <v>2895</v>
      </c>
      <c r="Q101">
        <f t="shared" si="4"/>
        <v>12.053349000000001</v>
      </c>
      <c r="R101">
        <f t="shared" si="5"/>
        <v>12.164641999999997</v>
      </c>
      <c r="S101">
        <f t="shared" si="6"/>
        <v>85.75</v>
      </c>
      <c r="T101">
        <f t="shared" si="7"/>
        <v>9.8333890000000004</v>
      </c>
      <c r="U101" t="str">
        <f>_xlfn.XLOOKUP(C101,Lookup!$A$3:$A$6,Lookup!$B$3:$B$6)</f>
        <v>Spring</v>
      </c>
      <c r="V101">
        <f>_xlfn.XLOOKUP(D101,Lookup!$D$3:$D$4,Lookup!$E$3:$E$4)</f>
        <v>2011</v>
      </c>
      <c r="W101" t="str">
        <f>_xlfn.XLOOKUP(I101,Lookup!$G$3:$G$6,Lookup!$H$3:$H$6)</f>
        <v>Misty/Cloudy</v>
      </c>
      <c r="X101" t="str">
        <f>_xlfn.XLOOKUP(E101,Lookup!$J$3:$J$14,Lookup!$K$3:$K$14)</f>
        <v>April</v>
      </c>
      <c r="Y101" t="str">
        <f>_xlfn.XLOOKUP(G101,Lookup!$M$3:$M$9,Lookup!$N$3:$N$9)</f>
        <v>Sunday</v>
      </c>
    </row>
    <row r="102" spans="1:25" x14ac:dyDescent="0.3">
      <c r="A102">
        <v>101</v>
      </c>
      <c r="B102" s="1">
        <v>40644</v>
      </c>
      <c r="C102">
        <v>2</v>
      </c>
      <c r="D102">
        <v>0</v>
      </c>
      <c r="E102">
        <v>4</v>
      </c>
      <c r="F102">
        <v>0</v>
      </c>
      <c r="G102">
        <v>1</v>
      </c>
      <c r="H102">
        <v>1</v>
      </c>
      <c r="I102">
        <v>2</v>
      </c>
      <c r="J102">
        <v>0.59565199999999996</v>
      </c>
      <c r="K102">
        <v>0.56521699999999997</v>
      </c>
      <c r="L102">
        <v>0.71695600000000004</v>
      </c>
      <c r="M102">
        <v>0.32447399999999998</v>
      </c>
      <c r="N102">
        <v>855</v>
      </c>
      <c r="O102">
        <v>2493</v>
      </c>
      <c r="P102">
        <v>3348</v>
      </c>
      <c r="Q102">
        <f t="shared" si="4"/>
        <v>19.995643999999999</v>
      </c>
      <c r="R102">
        <f t="shared" si="5"/>
        <v>21.304321999999999</v>
      </c>
      <c r="S102">
        <f t="shared" si="6"/>
        <v>71.695599999999999</v>
      </c>
      <c r="T102">
        <f t="shared" si="7"/>
        <v>21.739757999999998</v>
      </c>
      <c r="U102" t="str">
        <f>_xlfn.XLOOKUP(C102,Lookup!$A$3:$A$6,Lookup!$B$3:$B$6)</f>
        <v>Spring</v>
      </c>
      <c r="V102">
        <f>_xlfn.XLOOKUP(D102,Lookup!$D$3:$D$4,Lookup!$E$3:$E$4)</f>
        <v>2011</v>
      </c>
      <c r="W102" t="str">
        <f>_xlfn.XLOOKUP(I102,Lookup!$G$3:$G$6,Lookup!$H$3:$H$6)</f>
        <v>Misty/Cloudy</v>
      </c>
      <c r="X102" t="str">
        <f>_xlfn.XLOOKUP(E102,Lookup!$J$3:$J$14,Lookup!$K$3:$K$14)</f>
        <v>April</v>
      </c>
      <c r="Y102" t="str">
        <f>_xlfn.XLOOKUP(G102,Lookup!$M$3:$M$9,Lookup!$N$3:$N$9)</f>
        <v>Monday</v>
      </c>
    </row>
    <row r="103" spans="1:25" x14ac:dyDescent="0.3">
      <c r="A103">
        <v>102</v>
      </c>
      <c r="B103" s="1">
        <v>40645</v>
      </c>
      <c r="C103">
        <v>2</v>
      </c>
      <c r="D103">
        <v>0</v>
      </c>
      <c r="E103">
        <v>4</v>
      </c>
      <c r="F103">
        <v>0</v>
      </c>
      <c r="G103">
        <v>2</v>
      </c>
      <c r="H103">
        <v>1</v>
      </c>
      <c r="I103">
        <v>2</v>
      </c>
      <c r="J103">
        <v>0.50249999999999995</v>
      </c>
      <c r="K103">
        <v>0.49305399999999999</v>
      </c>
      <c r="L103">
        <v>0.73916700000000002</v>
      </c>
      <c r="M103">
        <v>0.27487899999999998</v>
      </c>
      <c r="N103">
        <v>257</v>
      </c>
      <c r="O103">
        <v>1777</v>
      </c>
      <c r="P103">
        <v>2034</v>
      </c>
      <c r="Q103">
        <f t="shared" si="4"/>
        <v>15.617499999999996</v>
      </c>
      <c r="R103">
        <f t="shared" si="5"/>
        <v>16.541564000000001</v>
      </c>
      <c r="S103">
        <f t="shared" si="6"/>
        <v>73.916700000000006</v>
      </c>
      <c r="T103">
        <f t="shared" si="7"/>
        <v>18.416892999999998</v>
      </c>
      <c r="U103" t="str">
        <f>_xlfn.XLOOKUP(C103,Lookup!$A$3:$A$6,Lookup!$B$3:$B$6)</f>
        <v>Spring</v>
      </c>
      <c r="V103">
        <f>_xlfn.XLOOKUP(D103,Lookup!$D$3:$D$4,Lookup!$E$3:$E$4)</f>
        <v>2011</v>
      </c>
      <c r="W103" t="str">
        <f>_xlfn.XLOOKUP(I103,Lookup!$G$3:$G$6,Lookup!$H$3:$H$6)</f>
        <v>Misty/Cloudy</v>
      </c>
      <c r="X103" t="str">
        <f>_xlfn.XLOOKUP(E103,Lookup!$J$3:$J$14,Lookup!$K$3:$K$14)</f>
        <v>April</v>
      </c>
      <c r="Y103" t="str">
        <f>_xlfn.XLOOKUP(G103,Lookup!$M$3:$M$9,Lookup!$N$3:$N$9)</f>
        <v>Tuesday</v>
      </c>
    </row>
    <row r="104" spans="1:25" x14ac:dyDescent="0.3">
      <c r="A104">
        <v>103</v>
      </c>
      <c r="B104" s="1">
        <v>40646</v>
      </c>
      <c r="C104">
        <v>2</v>
      </c>
      <c r="D104">
        <v>0</v>
      </c>
      <c r="E104">
        <v>4</v>
      </c>
      <c r="F104">
        <v>0</v>
      </c>
      <c r="G104">
        <v>3</v>
      </c>
      <c r="H104">
        <v>1</v>
      </c>
      <c r="I104">
        <v>2</v>
      </c>
      <c r="J104">
        <v>0.41249999999999998</v>
      </c>
      <c r="K104">
        <v>0.41728300000000002</v>
      </c>
      <c r="L104">
        <v>0.81916699999999998</v>
      </c>
      <c r="M104">
        <v>0.25061699999999998</v>
      </c>
      <c r="N104">
        <v>209</v>
      </c>
      <c r="O104">
        <v>1953</v>
      </c>
      <c r="P104">
        <v>2162</v>
      </c>
      <c r="Q104">
        <f t="shared" si="4"/>
        <v>11.387499999999999</v>
      </c>
      <c r="R104">
        <f t="shared" si="5"/>
        <v>11.540678</v>
      </c>
      <c r="S104">
        <f t="shared" si="6"/>
        <v>81.916699999999992</v>
      </c>
      <c r="T104">
        <f t="shared" si="7"/>
        <v>16.791338999999997</v>
      </c>
      <c r="U104" t="str">
        <f>_xlfn.XLOOKUP(C104,Lookup!$A$3:$A$6,Lookup!$B$3:$B$6)</f>
        <v>Spring</v>
      </c>
      <c r="V104">
        <f>_xlfn.XLOOKUP(D104,Lookup!$D$3:$D$4,Lookup!$E$3:$E$4)</f>
        <v>2011</v>
      </c>
      <c r="W104" t="str">
        <f>_xlfn.XLOOKUP(I104,Lookup!$G$3:$G$6,Lookup!$H$3:$H$6)</f>
        <v>Misty/Cloudy</v>
      </c>
      <c r="X104" t="str">
        <f>_xlfn.XLOOKUP(E104,Lookup!$J$3:$J$14,Lookup!$K$3:$K$14)</f>
        <v>April</v>
      </c>
      <c r="Y104" t="str">
        <f>_xlfn.XLOOKUP(G104,Lookup!$M$3:$M$9,Lookup!$N$3:$N$9)</f>
        <v>Wednesday</v>
      </c>
    </row>
    <row r="105" spans="1:25" x14ac:dyDescent="0.3">
      <c r="A105">
        <v>104</v>
      </c>
      <c r="B105" s="1">
        <v>40647</v>
      </c>
      <c r="C105">
        <v>2</v>
      </c>
      <c r="D105">
        <v>0</v>
      </c>
      <c r="E105">
        <v>4</v>
      </c>
      <c r="F105">
        <v>0</v>
      </c>
      <c r="G105">
        <v>4</v>
      </c>
      <c r="H105">
        <v>1</v>
      </c>
      <c r="I105">
        <v>1</v>
      </c>
      <c r="J105">
        <v>0.46750000000000003</v>
      </c>
      <c r="K105">
        <v>0.46274199999999999</v>
      </c>
      <c r="L105">
        <v>0.54041700000000004</v>
      </c>
      <c r="M105">
        <v>0.11070000000000001</v>
      </c>
      <c r="N105">
        <v>529</v>
      </c>
      <c r="O105">
        <v>2738</v>
      </c>
      <c r="P105">
        <v>3267</v>
      </c>
      <c r="Q105">
        <f t="shared" si="4"/>
        <v>13.9725</v>
      </c>
      <c r="R105">
        <f t="shared" si="5"/>
        <v>14.540972</v>
      </c>
      <c r="S105">
        <f t="shared" si="6"/>
        <v>54.041700000000006</v>
      </c>
      <c r="T105">
        <f t="shared" si="7"/>
        <v>7.4169</v>
      </c>
      <c r="U105" t="str">
        <f>_xlfn.XLOOKUP(C105,Lookup!$A$3:$A$6,Lookup!$B$3:$B$6)</f>
        <v>Spring</v>
      </c>
      <c r="V105">
        <f>_xlfn.XLOOKUP(D105,Lookup!$D$3:$D$4,Lookup!$E$3:$E$4)</f>
        <v>2011</v>
      </c>
      <c r="W105" t="str">
        <f>_xlfn.XLOOKUP(I105,Lookup!$G$3:$G$6,Lookup!$H$3:$H$6)</f>
        <v>Clear</v>
      </c>
      <c r="X105" t="str">
        <f>_xlfn.XLOOKUP(E105,Lookup!$J$3:$J$14,Lookup!$K$3:$K$14)</f>
        <v>April</v>
      </c>
      <c r="Y105" t="str">
        <f>_xlfn.XLOOKUP(G105,Lookup!$M$3:$M$9,Lookup!$N$3:$N$9)</f>
        <v>Thursday</v>
      </c>
    </row>
    <row r="106" spans="1:25" x14ac:dyDescent="0.3">
      <c r="A106">
        <v>105</v>
      </c>
      <c r="B106" s="1">
        <v>40648</v>
      </c>
      <c r="C106">
        <v>2</v>
      </c>
      <c r="D106">
        <v>0</v>
      </c>
      <c r="E106">
        <v>4</v>
      </c>
      <c r="F106">
        <v>1</v>
      </c>
      <c r="G106">
        <v>5</v>
      </c>
      <c r="H106">
        <v>0</v>
      </c>
      <c r="I106">
        <v>1</v>
      </c>
      <c r="J106">
        <v>0.44666699999999998</v>
      </c>
      <c r="K106">
        <v>0.441913</v>
      </c>
      <c r="L106">
        <v>0.67125000000000001</v>
      </c>
      <c r="M106">
        <v>0.22637499999999999</v>
      </c>
      <c r="N106">
        <v>642</v>
      </c>
      <c r="O106">
        <v>2484</v>
      </c>
      <c r="P106">
        <v>3126</v>
      </c>
      <c r="Q106">
        <f t="shared" si="4"/>
        <v>12.993348999999998</v>
      </c>
      <c r="R106">
        <f t="shared" si="5"/>
        <v>13.166257999999999</v>
      </c>
      <c r="S106">
        <f t="shared" si="6"/>
        <v>67.125</v>
      </c>
      <c r="T106">
        <f t="shared" si="7"/>
        <v>15.167124999999999</v>
      </c>
      <c r="U106" t="str">
        <f>_xlfn.XLOOKUP(C106,Lookup!$A$3:$A$6,Lookup!$B$3:$B$6)</f>
        <v>Spring</v>
      </c>
      <c r="V106">
        <f>_xlfn.XLOOKUP(D106,Lookup!$D$3:$D$4,Lookup!$E$3:$E$4)</f>
        <v>2011</v>
      </c>
      <c r="W106" t="str">
        <f>_xlfn.XLOOKUP(I106,Lookup!$G$3:$G$6,Lookup!$H$3:$H$6)</f>
        <v>Clear</v>
      </c>
      <c r="X106" t="str">
        <f>_xlfn.XLOOKUP(E106,Lookup!$J$3:$J$14,Lookup!$K$3:$K$14)</f>
        <v>April</v>
      </c>
      <c r="Y106" t="str">
        <f>_xlfn.XLOOKUP(G106,Lookup!$M$3:$M$9,Lookup!$N$3:$N$9)</f>
        <v>Friday</v>
      </c>
    </row>
    <row r="107" spans="1:25" x14ac:dyDescent="0.3">
      <c r="A107">
        <v>106</v>
      </c>
      <c r="B107" s="1">
        <v>40649</v>
      </c>
      <c r="C107">
        <v>2</v>
      </c>
      <c r="D107">
        <v>0</v>
      </c>
      <c r="E107">
        <v>4</v>
      </c>
      <c r="F107">
        <v>0</v>
      </c>
      <c r="G107">
        <v>6</v>
      </c>
      <c r="H107">
        <v>0</v>
      </c>
      <c r="I107">
        <v>3</v>
      </c>
      <c r="J107">
        <v>0.43083300000000002</v>
      </c>
      <c r="K107">
        <v>0.42549199999999998</v>
      </c>
      <c r="L107">
        <v>0.88833300000000004</v>
      </c>
      <c r="M107">
        <v>0.340808</v>
      </c>
      <c r="N107">
        <v>121</v>
      </c>
      <c r="O107">
        <v>674</v>
      </c>
      <c r="P107">
        <v>795</v>
      </c>
      <c r="Q107">
        <f t="shared" si="4"/>
        <v>12.249151000000001</v>
      </c>
      <c r="R107">
        <f t="shared" si="5"/>
        <v>12.082471999999999</v>
      </c>
      <c r="S107">
        <f t="shared" si="6"/>
        <v>88.833300000000008</v>
      </c>
      <c r="T107">
        <f t="shared" si="7"/>
        <v>22.834136000000001</v>
      </c>
      <c r="U107" t="str">
        <f>_xlfn.XLOOKUP(C107,Lookup!$A$3:$A$6,Lookup!$B$3:$B$6)</f>
        <v>Spring</v>
      </c>
      <c r="V107">
        <f>_xlfn.XLOOKUP(D107,Lookup!$D$3:$D$4,Lookup!$E$3:$E$4)</f>
        <v>2011</v>
      </c>
      <c r="W107" t="str">
        <f>_xlfn.XLOOKUP(I107,Lookup!$G$3:$G$6,Lookup!$H$3:$H$6)</f>
        <v>Light Snow/Rain</v>
      </c>
      <c r="X107" t="str">
        <f>_xlfn.XLOOKUP(E107,Lookup!$J$3:$J$14,Lookup!$K$3:$K$14)</f>
        <v>April</v>
      </c>
      <c r="Y107" t="str">
        <f>_xlfn.XLOOKUP(G107,Lookup!$M$3:$M$9,Lookup!$N$3:$N$9)</f>
        <v>Saturday</v>
      </c>
    </row>
    <row r="108" spans="1:25" x14ac:dyDescent="0.3">
      <c r="A108">
        <v>107</v>
      </c>
      <c r="B108" s="1">
        <v>40650</v>
      </c>
      <c r="C108">
        <v>2</v>
      </c>
      <c r="D108">
        <v>0</v>
      </c>
      <c r="E108">
        <v>4</v>
      </c>
      <c r="F108">
        <v>0</v>
      </c>
      <c r="G108">
        <v>0</v>
      </c>
      <c r="H108">
        <v>0</v>
      </c>
      <c r="I108">
        <v>1</v>
      </c>
      <c r="J108">
        <v>0.45666699999999999</v>
      </c>
      <c r="K108">
        <v>0.44569599999999998</v>
      </c>
      <c r="L108">
        <v>0.47958299999999998</v>
      </c>
      <c r="M108">
        <v>0.30349599999999999</v>
      </c>
      <c r="N108">
        <v>1558</v>
      </c>
      <c r="O108">
        <v>2186</v>
      </c>
      <c r="P108">
        <v>3744</v>
      </c>
      <c r="Q108">
        <f t="shared" si="4"/>
        <v>13.463349000000001</v>
      </c>
      <c r="R108">
        <f t="shared" si="5"/>
        <v>13.415935999999999</v>
      </c>
      <c r="S108">
        <f t="shared" si="6"/>
        <v>47.958300000000001</v>
      </c>
      <c r="T108">
        <f t="shared" si="7"/>
        <v>20.334232</v>
      </c>
      <c r="U108" t="str">
        <f>_xlfn.XLOOKUP(C108,Lookup!$A$3:$A$6,Lookup!$B$3:$B$6)</f>
        <v>Spring</v>
      </c>
      <c r="V108">
        <f>_xlfn.XLOOKUP(D108,Lookup!$D$3:$D$4,Lookup!$E$3:$E$4)</f>
        <v>2011</v>
      </c>
      <c r="W108" t="str">
        <f>_xlfn.XLOOKUP(I108,Lookup!$G$3:$G$6,Lookup!$H$3:$H$6)</f>
        <v>Clear</v>
      </c>
      <c r="X108" t="str">
        <f>_xlfn.XLOOKUP(E108,Lookup!$J$3:$J$14,Lookup!$K$3:$K$14)</f>
        <v>April</v>
      </c>
      <c r="Y108" t="str">
        <f>_xlfn.XLOOKUP(G108,Lookup!$M$3:$M$9,Lookup!$N$3:$N$9)</f>
        <v>Sunday</v>
      </c>
    </row>
    <row r="109" spans="1:25" x14ac:dyDescent="0.3">
      <c r="A109">
        <v>108</v>
      </c>
      <c r="B109" s="1">
        <v>40651</v>
      </c>
      <c r="C109">
        <v>2</v>
      </c>
      <c r="D109">
        <v>0</v>
      </c>
      <c r="E109">
        <v>4</v>
      </c>
      <c r="F109">
        <v>0</v>
      </c>
      <c r="G109">
        <v>1</v>
      </c>
      <c r="H109">
        <v>1</v>
      </c>
      <c r="I109">
        <v>1</v>
      </c>
      <c r="J109">
        <v>0.51249999999999996</v>
      </c>
      <c r="K109">
        <v>0.50314599999999998</v>
      </c>
      <c r="L109">
        <v>0.54249999999999998</v>
      </c>
      <c r="M109">
        <v>0.16356699999999999</v>
      </c>
      <c r="N109">
        <v>669</v>
      </c>
      <c r="O109">
        <v>2760</v>
      </c>
      <c r="P109">
        <v>3429</v>
      </c>
      <c r="Q109">
        <f t="shared" si="4"/>
        <v>16.087499999999999</v>
      </c>
      <c r="R109">
        <f t="shared" si="5"/>
        <v>17.207636000000001</v>
      </c>
      <c r="S109">
        <f t="shared" si="6"/>
        <v>54.25</v>
      </c>
      <c r="T109">
        <f t="shared" si="7"/>
        <v>10.958988999999999</v>
      </c>
      <c r="U109" t="str">
        <f>_xlfn.XLOOKUP(C109,Lookup!$A$3:$A$6,Lookup!$B$3:$B$6)</f>
        <v>Spring</v>
      </c>
      <c r="V109">
        <f>_xlfn.XLOOKUP(D109,Lookup!$D$3:$D$4,Lookup!$E$3:$E$4)</f>
        <v>2011</v>
      </c>
      <c r="W109" t="str">
        <f>_xlfn.XLOOKUP(I109,Lookup!$G$3:$G$6,Lookup!$H$3:$H$6)</f>
        <v>Clear</v>
      </c>
      <c r="X109" t="str">
        <f>_xlfn.XLOOKUP(E109,Lookup!$J$3:$J$14,Lookup!$K$3:$K$14)</f>
        <v>April</v>
      </c>
      <c r="Y109" t="str">
        <f>_xlfn.XLOOKUP(G109,Lookup!$M$3:$M$9,Lookup!$N$3:$N$9)</f>
        <v>Monday</v>
      </c>
    </row>
    <row r="110" spans="1:25" x14ac:dyDescent="0.3">
      <c r="A110">
        <v>109</v>
      </c>
      <c r="B110" s="1">
        <v>40652</v>
      </c>
      <c r="C110">
        <v>2</v>
      </c>
      <c r="D110">
        <v>0</v>
      </c>
      <c r="E110">
        <v>4</v>
      </c>
      <c r="F110">
        <v>0</v>
      </c>
      <c r="G110">
        <v>2</v>
      </c>
      <c r="H110">
        <v>1</v>
      </c>
      <c r="I110">
        <v>2</v>
      </c>
      <c r="J110">
        <v>0.50583299999999998</v>
      </c>
      <c r="K110">
        <v>0.48925800000000003</v>
      </c>
      <c r="L110">
        <v>0.66583300000000001</v>
      </c>
      <c r="M110">
        <v>0.157971</v>
      </c>
      <c r="N110">
        <v>409</v>
      </c>
      <c r="O110">
        <v>2795</v>
      </c>
      <c r="P110">
        <v>3204</v>
      </c>
      <c r="Q110">
        <f t="shared" si="4"/>
        <v>15.774151</v>
      </c>
      <c r="R110">
        <f t="shared" si="5"/>
        <v>16.291028000000004</v>
      </c>
      <c r="S110">
        <f t="shared" si="6"/>
        <v>66.583299999999994</v>
      </c>
      <c r="T110">
        <f t="shared" si="7"/>
        <v>10.584057</v>
      </c>
      <c r="U110" t="str">
        <f>_xlfn.XLOOKUP(C110,Lookup!$A$3:$A$6,Lookup!$B$3:$B$6)</f>
        <v>Spring</v>
      </c>
      <c r="V110">
        <f>_xlfn.XLOOKUP(D110,Lookup!$D$3:$D$4,Lookup!$E$3:$E$4)</f>
        <v>2011</v>
      </c>
      <c r="W110" t="str">
        <f>_xlfn.XLOOKUP(I110,Lookup!$G$3:$G$6,Lookup!$H$3:$H$6)</f>
        <v>Misty/Cloudy</v>
      </c>
      <c r="X110" t="str">
        <f>_xlfn.XLOOKUP(E110,Lookup!$J$3:$J$14,Lookup!$K$3:$K$14)</f>
        <v>April</v>
      </c>
      <c r="Y110" t="str">
        <f>_xlfn.XLOOKUP(G110,Lookup!$M$3:$M$9,Lookup!$N$3:$N$9)</f>
        <v>Tuesday</v>
      </c>
    </row>
    <row r="111" spans="1:25" x14ac:dyDescent="0.3">
      <c r="A111">
        <v>110</v>
      </c>
      <c r="B111" s="1">
        <v>40653</v>
      </c>
      <c r="C111">
        <v>2</v>
      </c>
      <c r="D111">
        <v>0</v>
      </c>
      <c r="E111">
        <v>4</v>
      </c>
      <c r="F111">
        <v>0</v>
      </c>
      <c r="G111">
        <v>3</v>
      </c>
      <c r="H111">
        <v>1</v>
      </c>
      <c r="I111">
        <v>1</v>
      </c>
      <c r="J111">
        <v>0.59499999999999997</v>
      </c>
      <c r="K111">
        <v>0.564392</v>
      </c>
      <c r="L111">
        <v>0.61416700000000002</v>
      </c>
      <c r="M111">
        <v>0.241925</v>
      </c>
      <c r="N111">
        <v>613</v>
      </c>
      <c r="O111">
        <v>3331</v>
      </c>
      <c r="P111">
        <v>3944</v>
      </c>
      <c r="Q111">
        <f t="shared" si="4"/>
        <v>19.965</v>
      </c>
      <c r="R111">
        <f t="shared" si="5"/>
        <v>21.249872000000003</v>
      </c>
      <c r="S111">
        <f t="shared" si="6"/>
        <v>61.416699999999999</v>
      </c>
      <c r="T111">
        <f t="shared" si="7"/>
        <v>16.208974999999999</v>
      </c>
      <c r="U111" t="str">
        <f>_xlfn.XLOOKUP(C111,Lookup!$A$3:$A$6,Lookup!$B$3:$B$6)</f>
        <v>Spring</v>
      </c>
      <c r="V111">
        <f>_xlfn.XLOOKUP(D111,Lookup!$D$3:$D$4,Lookup!$E$3:$E$4)</f>
        <v>2011</v>
      </c>
      <c r="W111" t="str">
        <f>_xlfn.XLOOKUP(I111,Lookup!$G$3:$G$6,Lookup!$H$3:$H$6)</f>
        <v>Clear</v>
      </c>
      <c r="X111" t="str">
        <f>_xlfn.XLOOKUP(E111,Lookup!$J$3:$J$14,Lookup!$K$3:$K$14)</f>
        <v>April</v>
      </c>
      <c r="Y111" t="str">
        <f>_xlfn.XLOOKUP(G111,Lookup!$M$3:$M$9,Lookup!$N$3:$N$9)</f>
        <v>Wednesday</v>
      </c>
    </row>
    <row r="112" spans="1:25" x14ac:dyDescent="0.3">
      <c r="A112">
        <v>111</v>
      </c>
      <c r="B112" s="1">
        <v>40654</v>
      </c>
      <c r="C112">
        <v>2</v>
      </c>
      <c r="D112">
        <v>0</v>
      </c>
      <c r="E112">
        <v>4</v>
      </c>
      <c r="F112">
        <v>0</v>
      </c>
      <c r="G112">
        <v>4</v>
      </c>
      <c r="H112">
        <v>1</v>
      </c>
      <c r="I112">
        <v>1</v>
      </c>
      <c r="J112">
        <v>0.45916699999999999</v>
      </c>
      <c r="K112">
        <v>0.45389200000000002</v>
      </c>
      <c r="L112">
        <v>0.40708299999999997</v>
      </c>
      <c r="M112">
        <v>0.32525799999999999</v>
      </c>
      <c r="N112">
        <v>745</v>
      </c>
      <c r="O112">
        <v>3444</v>
      </c>
      <c r="P112">
        <v>4189</v>
      </c>
      <c r="Q112">
        <f t="shared" si="4"/>
        <v>13.580849000000001</v>
      </c>
      <c r="R112">
        <f t="shared" si="5"/>
        <v>13.956872000000001</v>
      </c>
      <c r="S112">
        <f t="shared" si="6"/>
        <v>40.708299999999994</v>
      </c>
      <c r="T112">
        <f t="shared" si="7"/>
        <v>21.792286000000001</v>
      </c>
      <c r="U112" t="str">
        <f>_xlfn.XLOOKUP(C112,Lookup!$A$3:$A$6,Lookup!$B$3:$B$6)</f>
        <v>Spring</v>
      </c>
      <c r="V112">
        <f>_xlfn.XLOOKUP(D112,Lookup!$D$3:$D$4,Lookup!$E$3:$E$4)</f>
        <v>2011</v>
      </c>
      <c r="W112" t="str">
        <f>_xlfn.XLOOKUP(I112,Lookup!$G$3:$G$6,Lookup!$H$3:$H$6)</f>
        <v>Clear</v>
      </c>
      <c r="X112" t="str">
        <f>_xlfn.XLOOKUP(E112,Lookup!$J$3:$J$14,Lookup!$K$3:$K$14)</f>
        <v>April</v>
      </c>
      <c r="Y112" t="str">
        <f>_xlfn.XLOOKUP(G112,Lookup!$M$3:$M$9,Lookup!$N$3:$N$9)</f>
        <v>Thursday</v>
      </c>
    </row>
    <row r="113" spans="1:25" x14ac:dyDescent="0.3">
      <c r="A113">
        <v>112</v>
      </c>
      <c r="B113" s="1">
        <v>40655</v>
      </c>
      <c r="C113">
        <v>2</v>
      </c>
      <c r="D113">
        <v>0</v>
      </c>
      <c r="E113">
        <v>4</v>
      </c>
      <c r="F113">
        <v>0</v>
      </c>
      <c r="G113">
        <v>5</v>
      </c>
      <c r="H113">
        <v>1</v>
      </c>
      <c r="I113">
        <v>2</v>
      </c>
      <c r="J113">
        <v>0.33666699999999999</v>
      </c>
      <c r="K113">
        <v>0.32195400000000002</v>
      </c>
      <c r="L113">
        <v>0.72958299999999998</v>
      </c>
      <c r="M113">
        <v>0.21952099999999999</v>
      </c>
      <c r="N113">
        <v>177</v>
      </c>
      <c r="O113">
        <v>1506</v>
      </c>
      <c r="P113">
        <v>1683</v>
      </c>
      <c r="Q113">
        <f t="shared" si="4"/>
        <v>7.8233490000000003</v>
      </c>
      <c r="R113">
        <f t="shared" si="5"/>
        <v>5.2489640000000009</v>
      </c>
      <c r="S113">
        <f t="shared" si="6"/>
        <v>72.958299999999994</v>
      </c>
      <c r="T113">
        <f t="shared" si="7"/>
        <v>14.707906999999999</v>
      </c>
      <c r="U113" t="str">
        <f>_xlfn.XLOOKUP(C113,Lookup!$A$3:$A$6,Lookup!$B$3:$B$6)</f>
        <v>Spring</v>
      </c>
      <c r="V113">
        <f>_xlfn.XLOOKUP(D113,Lookup!$D$3:$D$4,Lookup!$E$3:$E$4)</f>
        <v>2011</v>
      </c>
      <c r="W113" t="str">
        <f>_xlfn.XLOOKUP(I113,Lookup!$G$3:$G$6,Lookup!$H$3:$H$6)</f>
        <v>Misty/Cloudy</v>
      </c>
      <c r="X113" t="str">
        <f>_xlfn.XLOOKUP(E113,Lookup!$J$3:$J$14,Lookup!$K$3:$K$14)</f>
        <v>April</v>
      </c>
      <c r="Y113" t="str">
        <f>_xlfn.XLOOKUP(G113,Lookup!$M$3:$M$9,Lookup!$N$3:$N$9)</f>
        <v>Friday</v>
      </c>
    </row>
    <row r="114" spans="1:25" x14ac:dyDescent="0.3">
      <c r="A114">
        <v>113</v>
      </c>
      <c r="B114" s="1">
        <v>40656</v>
      </c>
      <c r="C114">
        <v>2</v>
      </c>
      <c r="D114">
        <v>0</v>
      </c>
      <c r="E114">
        <v>4</v>
      </c>
      <c r="F114">
        <v>0</v>
      </c>
      <c r="G114">
        <v>6</v>
      </c>
      <c r="H114">
        <v>0</v>
      </c>
      <c r="I114">
        <v>2</v>
      </c>
      <c r="J114">
        <v>0.46</v>
      </c>
      <c r="K114">
        <v>0.45012099999999999</v>
      </c>
      <c r="L114">
        <v>0.88791699999999996</v>
      </c>
      <c r="M114">
        <v>0.23072500000000001</v>
      </c>
      <c r="N114">
        <v>1462</v>
      </c>
      <c r="O114">
        <v>2574</v>
      </c>
      <c r="P114">
        <v>4036</v>
      </c>
      <c r="Q114">
        <f t="shared" si="4"/>
        <v>13.620000000000001</v>
      </c>
      <c r="R114">
        <f t="shared" si="5"/>
        <v>13.707985999999998</v>
      </c>
      <c r="S114">
        <f t="shared" si="6"/>
        <v>88.791699999999992</v>
      </c>
      <c r="T114">
        <f t="shared" si="7"/>
        <v>15.458575000000002</v>
      </c>
      <c r="U114" t="str">
        <f>_xlfn.XLOOKUP(C114,Lookup!$A$3:$A$6,Lookup!$B$3:$B$6)</f>
        <v>Spring</v>
      </c>
      <c r="V114">
        <f>_xlfn.XLOOKUP(D114,Lookup!$D$3:$D$4,Lookup!$E$3:$E$4)</f>
        <v>2011</v>
      </c>
      <c r="W114" t="str">
        <f>_xlfn.XLOOKUP(I114,Lookup!$G$3:$G$6,Lookup!$H$3:$H$6)</f>
        <v>Misty/Cloudy</v>
      </c>
      <c r="X114" t="str">
        <f>_xlfn.XLOOKUP(E114,Lookup!$J$3:$J$14,Lookup!$K$3:$K$14)</f>
        <v>April</v>
      </c>
      <c r="Y114" t="str">
        <f>_xlfn.XLOOKUP(G114,Lookup!$M$3:$M$9,Lookup!$N$3:$N$9)</f>
        <v>Saturday</v>
      </c>
    </row>
    <row r="115" spans="1:25" x14ac:dyDescent="0.3">
      <c r="A115">
        <v>114</v>
      </c>
      <c r="B115" s="1">
        <v>40657</v>
      </c>
      <c r="C115">
        <v>2</v>
      </c>
      <c r="D115">
        <v>0</v>
      </c>
      <c r="E115">
        <v>4</v>
      </c>
      <c r="F115">
        <v>0</v>
      </c>
      <c r="G115">
        <v>0</v>
      </c>
      <c r="H115">
        <v>0</v>
      </c>
      <c r="I115">
        <v>2</v>
      </c>
      <c r="J115">
        <v>0.58166700000000005</v>
      </c>
      <c r="K115">
        <v>0.551763</v>
      </c>
      <c r="L115">
        <v>0.81083300000000003</v>
      </c>
      <c r="M115">
        <v>0.19217500000000001</v>
      </c>
      <c r="N115">
        <v>1710</v>
      </c>
      <c r="O115">
        <v>2481</v>
      </c>
      <c r="P115">
        <v>4191</v>
      </c>
      <c r="Q115">
        <f t="shared" si="4"/>
        <v>19.338349000000001</v>
      </c>
      <c r="R115">
        <f t="shared" si="5"/>
        <v>20.416358000000002</v>
      </c>
      <c r="S115">
        <f t="shared" si="6"/>
        <v>81.083300000000008</v>
      </c>
      <c r="T115">
        <f t="shared" si="7"/>
        <v>12.875725000000001</v>
      </c>
      <c r="U115" t="str">
        <f>_xlfn.XLOOKUP(C115,Lookup!$A$3:$A$6,Lookup!$B$3:$B$6)</f>
        <v>Spring</v>
      </c>
      <c r="V115">
        <f>_xlfn.XLOOKUP(D115,Lookup!$D$3:$D$4,Lookup!$E$3:$E$4)</f>
        <v>2011</v>
      </c>
      <c r="W115" t="str">
        <f>_xlfn.XLOOKUP(I115,Lookup!$G$3:$G$6,Lookup!$H$3:$H$6)</f>
        <v>Misty/Cloudy</v>
      </c>
      <c r="X115" t="str">
        <f>_xlfn.XLOOKUP(E115,Lookup!$J$3:$J$14,Lookup!$K$3:$K$14)</f>
        <v>April</v>
      </c>
      <c r="Y115" t="str">
        <f>_xlfn.XLOOKUP(G115,Lookup!$M$3:$M$9,Lookup!$N$3:$N$9)</f>
        <v>Sunday</v>
      </c>
    </row>
    <row r="116" spans="1:25" x14ac:dyDescent="0.3">
      <c r="A116">
        <v>115</v>
      </c>
      <c r="B116" s="1">
        <v>40658</v>
      </c>
      <c r="C116">
        <v>2</v>
      </c>
      <c r="D116">
        <v>0</v>
      </c>
      <c r="E116">
        <v>4</v>
      </c>
      <c r="F116">
        <v>0</v>
      </c>
      <c r="G116">
        <v>1</v>
      </c>
      <c r="H116">
        <v>1</v>
      </c>
      <c r="I116">
        <v>1</v>
      </c>
      <c r="J116">
        <v>0.60666699999999996</v>
      </c>
      <c r="K116">
        <v>0.57450000000000001</v>
      </c>
      <c r="L116">
        <v>0.776667</v>
      </c>
      <c r="M116">
        <v>0.185333</v>
      </c>
      <c r="N116">
        <v>773</v>
      </c>
      <c r="O116">
        <v>3300</v>
      </c>
      <c r="P116">
        <v>4073</v>
      </c>
      <c r="Q116">
        <f t="shared" si="4"/>
        <v>20.513348999999998</v>
      </c>
      <c r="R116">
        <f t="shared" si="5"/>
        <v>21.917000000000002</v>
      </c>
      <c r="S116">
        <f t="shared" si="6"/>
        <v>77.666700000000006</v>
      </c>
      <c r="T116">
        <f t="shared" si="7"/>
        <v>12.417311</v>
      </c>
      <c r="U116" t="str">
        <f>_xlfn.XLOOKUP(C116,Lookup!$A$3:$A$6,Lookup!$B$3:$B$6)</f>
        <v>Spring</v>
      </c>
      <c r="V116">
        <f>_xlfn.XLOOKUP(D116,Lookup!$D$3:$D$4,Lookup!$E$3:$E$4)</f>
        <v>2011</v>
      </c>
      <c r="W116" t="str">
        <f>_xlfn.XLOOKUP(I116,Lookup!$G$3:$G$6,Lookup!$H$3:$H$6)</f>
        <v>Clear</v>
      </c>
      <c r="X116" t="str">
        <f>_xlfn.XLOOKUP(E116,Lookup!$J$3:$J$14,Lookup!$K$3:$K$14)</f>
        <v>April</v>
      </c>
      <c r="Y116" t="str">
        <f>_xlfn.XLOOKUP(G116,Lookup!$M$3:$M$9,Lookup!$N$3:$N$9)</f>
        <v>Monday</v>
      </c>
    </row>
    <row r="117" spans="1:25" x14ac:dyDescent="0.3">
      <c r="A117">
        <v>116</v>
      </c>
      <c r="B117" s="1">
        <v>40659</v>
      </c>
      <c r="C117">
        <v>2</v>
      </c>
      <c r="D117">
        <v>0</v>
      </c>
      <c r="E117">
        <v>4</v>
      </c>
      <c r="F117">
        <v>0</v>
      </c>
      <c r="G117">
        <v>2</v>
      </c>
      <c r="H117">
        <v>1</v>
      </c>
      <c r="I117">
        <v>1</v>
      </c>
      <c r="J117">
        <v>0.63166699999999998</v>
      </c>
      <c r="K117">
        <v>0.59408300000000003</v>
      </c>
      <c r="L117">
        <v>0.72916700000000001</v>
      </c>
      <c r="M117">
        <v>0.32650000000000001</v>
      </c>
      <c r="N117">
        <v>678</v>
      </c>
      <c r="O117">
        <v>3722</v>
      </c>
      <c r="P117">
        <v>4400</v>
      </c>
      <c r="Q117">
        <f t="shared" si="4"/>
        <v>21.688348999999999</v>
      </c>
      <c r="R117">
        <f t="shared" si="5"/>
        <v>23.209478000000004</v>
      </c>
      <c r="S117">
        <f t="shared" si="6"/>
        <v>72.916700000000006</v>
      </c>
      <c r="T117">
        <f t="shared" si="7"/>
        <v>21.875500000000002</v>
      </c>
      <c r="U117" t="str">
        <f>_xlfn.XLOOKUP(C117,Lookup!$A$3:$A$6,Lookup!$B$3:$B$6)</f>
        <v>Spring</v>
      </c>
      <c r="V117">
        <f>_xlfn.XLOOKUP(D117,Lookup!$D$3:$D$4,Lookup!$E$3:$E$4)</f>
        <v>2011</v>
      </c>
      <c r="W117" t="str">
        <f>_xlfn.XLOOKUP(I117,Lookup!$G$3:$G$6,Lookup!$H$3:$H$6)</f>
        <v>Clear</v>
      </c>
      <c r="X117" t="str">
        <f>_xlfn.XLOOKUP(E117,Lookup!$J$3:$J$14,Lookup!$K$3:$K$14)</f>
        <v>April</v>
      </c>
      <c r="Y117" t="str">
        <f>_xlfn.XLOOKUP(G117,Lookup!$M$3:$M$9,Lookup!$N$3:$N$9)</f>
        <v>Tuesday</v>
      </c>
    </row>
    <row r="118" spans="1:25" x14ac:dyDescent="0.3">
      <c r="A118">
        <v>117</v>
      </c>
      <c r="B118" s="1">
        <v>40660</v>
      </c>
      <c r="C118">
        <v>2</v>
      </c>
      <c r="D118">
        <v>0</v>
      </c>
      <c r="E118">
        <v>4</v>
      </c>
      <c r="F118">
        <v>0</v>
      </c>
      <c r="G118">
        <v>3</v>
      </c>
      <c r="H118">
        <v>1</v>
      </c>
      <c r="I118">
        <v>2</v>
      </c>
      <c r="J118">
        <v>0.62</v>
      </c>
      <c r="K118">
        <v>0.57514200000000004</v>
      </c>
      <c r="L118">
        <v>0.83541699999999997</v>
      </c>
      <c r="M118">
        <v>0.31219999999999998</v>
      </c>
      <c r="N118">
        <v>547</v>
      </c>
      <c r="O118">
        <v>3325</v>
      </c>
      <c r="P118">
        <v>3872</v>
      </c>
      <c r="Q118">
        <f t="shared" si="4"/>
        <v>21.14</v>
      </c>
      <c r="R118">
        <f t="shared" si="5"/>
        <v>21.959372000000002</v>
      </c>
      <c r="S118">
        <f t="shared" si="6"/>
        <v>83.541699999999992</v>
      </c>
      <c r="T118">
        <f t="shared" si="7"/>
        <v>20.917399999999997</v>
      </c>
      <c r="U118" t="str">
        <f>_xlfn.XLOOKUP(C118,Lookup!$A$3:$A$6,Lookup!$B$3:$B$6)</f>
        <v>Spring</v>
      </c>
      <c r="V118">
        <f>_xlfn.XLOOKUP(D118,Lookup!$D$3:$D$4,Lookup!$E$3:$E$4)</f>
        <v>2011</v>
      </c>
      <c r="W118" t="str">
        <f>_xlfn.XLOOKUP(I118,Lookup!$G$3:$G$6,Lookup!$H$3:$H$6)</f>
        <v>Misty/Cloudy</v>
      </c>
      <c r="X118" t="str">
        <f>_xlfn.XLOOKUP(E118,Lookup!$J$3:$J$14,Lookup!$K$3:$K$14)</f>
        <v>April</v>
      </c>
      <c r="Y118" t="str">
        <f>_xlfn.XLOOKUP(G118,Lookup!$M$3:$M$9,Lookup!$N$3:$N$9)</f>
        <v>Wednesday</v>
      </c>
    </row>
    <row r="119" spans="1:25" x14ac:dyDescent="0.3">
      <c r="A119">
        <v>118</v>
      </c>
      <c r="B119" s="1">
        <v>40661</v>
      </c>
      <c r="C119">
        <v>2</v>
      </c>
      <c r="D119">
        <v>0</v>
      </c>
      <c r="E119">
        <v>4</v>
      </c>
      <c r="F119">
        <v>0</v>
      </c>
      <c r="G119">
        <v>4</v>
      </c>
      <c r="H119">
        <v>1</v>
      </c>
      <c r="I119">
        <v>2</v>
      </c>
      <c r="J119">
        <v>0.61750000000000005</v>
      </c>
      <c r="K119">
        <v>0.57892900000000003</v>
      </c>
      <c r="L119">
        <v>0.70083300000000004</v>
      </c>
      <c r="M119">
        <v>0.32090800000000003</v>
      </c>
      <c r="N119">
        <v>569</v>
      </c>
      <c r="O119">
        <v>3489</v>
      </c>
      <c r="P119">
        <v>4058</v>
      </c>
      <c r="Q119">
        <f t="shared" si="4"/>
        <v>21.022500000000001</v>
      </c>
      <c r="R119">
        <f t="shared" si="5"/>
        <v>22.209313999999999</v>
      </c>
      <c r="S119">
        <f t="shared" si="6"/>
        <v>70.083300000000008</v>
      </c>
      <c r="T119">
        <f t="shared" si="7"/>
        <v>21.500836000000003</v>
      </c>
      <c r="U119" t="str">
        <f>_xlfn.XLOOKUP(C119,Lookup!$A$3:$A$6,Lookup!$B$3:$B$6)</f>
        <v>Spring</v>
      </c>
      <c r="V119">
        <f>_xlfn.XLOOKUP(D119,Lookup!$D$3:$D$4,Lookup!$E$3:$E$4)</f>
        <v>2011</v>
      </c>
      <c r="W119" t="str">
        <f>_xlfn.XLOOKUP(I119,Lookup!$G$3:$G$6,Lookup!$H$3:$H$6)</f>
        <v>Misty/Cloudy</v>
      </c>
      <c r="X119" t="str">
        <f>_xlfn.XLOOKUP(E119,Lookup!$J$3:$J$14,Lookup!$K$3:$K$14)</f>
        <v>April</v>
      </c>
      <c r="Y119" t="str">
        <f>_xlfn.XLOOKUP(G119,Lookup!$M$3:$M$9,Lookup!$N$3:$N$9)</f>
        <v>Thursday</v>
      </c>
    </row>
    <row r="120" spans="1:25" x14ac:dyDescent="0.3">
      <c r="A120">
        <v>119</v>
      </c>
      <c r="B120" s="1">
        <v>40662</v>
      </c>
      <c r="C120">
        <v>2</v>
      </c>
      <c r="D120">
        <v>0</v>
      </c>
      <c r="E120">
        <v>4</v>
      </c>
      <c r="F120">
        <v>0</v>
      </c>
      <c r="G120">
        <v>5</v>
      </c>
      <c r="H120">
        <v>1</v>
      </c>
      <c r="I120">
        <v>1</v>
      </c>
      <c r="J120">
        <v>0.51</v>
      </c>
      <c r="K120">
        <v>0.49746299999999999</v>
      </c>
      <c r="L120">
        <v>0.45708300000000002</v>
      </c>
      <c r="M120">
        <v>0.240063</v>
      </c>
      <c r="N120">
        <v>878</v>
      </c>
      <c r="O120">
        <v>3717</v>
      </c>
      <c r="P120">
        <v>4595</v>
      </c>
      <c r="Q120">
        <f t="shared" si="4"/>
        <v>15.969999999999999</v>
      </c>
      <c r="R120">
        <f t="shared" si="5"/>
        <v>16.832557999999999</v>
      </c>
      <c r="S120">
        <f t="shared" si="6"/>
        <v>45.708300000000001</v>
      </c>
      <c r="T120">
        <f t="shared" si="7"/>
        <v>16.084220999999999</v>
      </c>
      <c r="U120" t="str">
        <f>_xlfn.XLOOKUP(C120,Lookup!$A$3:$A$6,Lookup!$B$3:$B$6)</f>
        <v>Spring</v>
      </c>
      <c r="V120">
        <f>_xlfn.XLOOKUP(D120,Lookup!$D$3:$D$4,Lookup!$E$3:$E$4)</f>
        <v>2011</v>
      </c>
      <c r="W120" t="str">
        <f>_xlfn.XLOOKUP(I120,Lookup!$G$3:$G$6,Lookup!$H$3:$H$6)</f>
        <v>Clear</v>
      </c>
      <c r="X120" t="str">
        <f>_xlfn.XLOOKUP(E120,Lookup!$J$3:$J$14,Lookup!$K$3:$K$14)</f>
        <v>April</v>
      </c>
      <c r="Y120" t="str">
        <f>_xlfn.XLOOKUP(G120,Lookup!$M$3:$M$9,Lookup!$N$3:$N$9)</f>
        <v>Friday</v>
      </c>
    </row>
    <row r="121" spans="1:25" x14ac:dyDescent="0.3">
      <c r="A121">
        <v>120</v>
      </c>
      <c r="B121" s="1">
        <v>40663</v>
      </c>
      <c r="C121">
        <v>2</v>
      </c>
      <c r="D121">
        <v>0</v>
      </c>
      <c r="E121">
        <v>4</v>
      </c>
      <c r="F121">
        <v>0</v>
      </c>
      <c r="G121">
        <v>6</v>
      </c>
      <c r="H121">
        <v>0</v>
      </c>
      <c r="I121">
        <v>1</v>
      </c>
      <c r="J121">
        <v>0.47249999999999998</v>
      </c>
      <c r="K121">
        <v>0.46402100000000002</v>
      </c>
      <c r="L121">
        <v>0.50333300000000003</v>
      </c>
      <c r="M121">
        <v>0.23507500000000001</v>
      </c>
      <c r="N121">
        <v>1965</v>
      </c>
      <c r="O121">
        <v>3347</v>
      </c>
      <c r="P121">
        <v>5312</v>
      </c>
      <c r="Q121">
        <f t="shared" si="4"/>
        <v>14.2075</v>
      </c>
      <c r="R121">
        <f t="shared" si="5"/>
        <v>14.625386000000002</v>
      </c>
      <c r="S121">
        <f t="shared" si="6"/>
        <v>50.333300000000001</v>
      </c>
      <c r="T121">
        <f t="shared" si="7"/>
        <v>15.750025000000001</v>
      </c>
      <c r="U121" t="str">
        <f>_xlfn.XLOOKUP(C121,Lookup!$A$3:$A$6,Lookup!$B$3:$B$6)</f>
        <v>Spring</v>
      </c>
      <c r="V121">
        <f>_xlfn.XLOOKUP(D121,Lookup!$D$3:$D$4,Lookup!$E$3:$E$4)</f>
        <v>2011</v>
      </c>
      <c r="W121" t="str">
        <f>_xlfn.XLOOKUP(I121,Lookup!$G$3:$G$6,Lookup!$H$3:$H$6)</f>
        <v>Clear</v>
      </c>
      <c r="X121" t="str">
        <f>_xlfn.XLOOKUP(E121,Lookup!$J$3:$J$14,Lookup!$K$3:$K$14)</f>
        <v>April</v>
      </c>
      <c r="Y121" t="str">
        <f>_xlfn.XLOOKUP(G121,Lookup!$M$3:$M$9,Lookup!$N$3:$N$9)</f>
        <v>Saturday</v>
      </c>
    </row>
    <row r="122" spans="1:25" x14ac:dyDescent="0.3">
      <c r="A122">
        <v>121</v>
      </c>
      <c r="B122" s="1">
        <v>40664</v>
      </c>
      <c r="C122">
        <v>2</v>
      </c>
      <c r="D122">
        <v>0</v>
      </c>
      <c r="E122">
        <v>5</v>
      </c>
      <c r="F122">
        <v>0</v>
      </c>
      <c r="G122">
        <v>0</v>
      </c>
      <c r="H122">
        <v>0</v>
      </c>
      <c r="I122">
        <v>2</v>
      </c>
      <c r="J122">
        <v>0.45166699999999999</v>
      </c>
      <c r="K122">
        <v>0.44820399999999999</v>
      </c>
      <c r="L122">
        <v>0.76208299999999995</v>
      </c>
      <c r="M122">
        <v>0.106354</v>
      </c>
      <c r="N122">
        <v>1138</v>
      </c>
      <c r="O122">
        <v>2213</v>
      </c>
      <c r="P122">
        <v>3351</v>
      </c>
      <c r="Q122">
        <f t="shared" si="4"/>
        <v>13.228348999999998</v>
      </c>
      <c r="R122">
        <f t="shared" si="5"/>
        <v>13.581464</v>
      </c>
      <c r="S122">
        <f t="shared" si="6"/>
        <v>76.208299999999994</v>
      </c>
      <c r="T122">
        <f t="shared" si="7"/>
        <v>7.125718</v>
      </c>
      <c r="U122" t="str">
        <f>_xlfn.XLOOKUP(C122,Lookup!$A$3:$A$6,Lookup!$B$3:$B$6)</f>
        <v>Spring</v>
      </c>
      <c r="V122">
        <f>_xlfn.XLOOKUP(D122,Lookup!$D$3:$D$4,Lookup!$E$3:$E$4)</f>
        <v>2011</v>
      </c>
      <c r="W122" t="str">
        <f>_xlfn.XLOOKUP(I122,Lookup!$G$3:$G$6,Lookup!$H$3:$H$6)</f>
        <v>Misty/Cloudy</v>
      </c>
      <c r="X122" t="str">
        <f>_xlfn.XLOOKUP(E122,Lookup!$J$3:$J$14,Lookup!$K$3:$K$14)</f>
        <v>May</v>
      </c>
      <c r="Y122" t="str">
        <f>_xlfn.XLOOKUP(G122,Lookup!$M$3:$M$9,Lookup!$N$3:$N$9)</f>
        <v>Sunday</v>
      </c>
    </row>
    <row r="123" spans="1:25" x14ac:dyDescent="0.3">
      <c r="A123">
        <v>122</v>
      </c>
      <c r="B123" s="1">
        <v>40665</v>
      </c>
      <c r="C123">
        <v>2</v>
      </c>
      <c r="D123">
        <v>0</v>
      </c>
      <c r="E123">
        <v>5</v>
      </c>
      <c r="F123">
        <v>0</v>
      </c>
      <c r="G123">
        <v>1</v>
      </c>
      <c r="H123">
        <v>1</v>
      </c>
      <c r="I123">
        <v>2</v>
      </c>
      <c r="J123">
        <v>0.54916699999999996</v>
      </c>
      <c r="K123">
        <v>0.532833</v>
      </c>
      <c r="L123">
        <v>0.73</v>
      </c>
      <c r="M123">
        <v>0.18345400000000001</v>
      </c>
      <c r="N123">
        <v>847</v>
      </c>
      <c r="O123">
        <v>3554</v>
      </c>
      <c r="P123">
        <v>4401</v>
      </c>
      <c r="Q123">
        <f t="shared" si="4"/>
        <v>17.810848999999997</v>
      </c>
      <c r="R123">
        <f t="shared" si="5"/>
        <v>19.166978</v>
      </c>
      <c r="S123">
        <f t="shared" si="6"/>
        <v>73</v>
      </c>
      <c r="T123">
        <f t="shared" si="7"/>
        <v>12.291418</v>
      </c>
      <c r="U123" t="str">
        <f>_xlfn.XLOOKUP(C123,Lookup!$A$3:$A$6,Lookup!$B$3:$B$6)</f>
        <v>Spring</v>
      </c>
      <c r="V123">
        <f>_xlfn.XLOOKUP(D123,Lookup!$D$3:$D$4,Lookup!$E$3:$E$4)</f>
        <v>2011</v>
      </c>
      <c r="W123" t="str">
        <f>_xlfn.XLOOKUP(I123,Lookup!$G$3:$G$6,Lookup!$H$3:$H$6)</f>
        <v>Misty/Cloudy</v>
      </c>
      <c r="X123" t="str">
        <f>_xlfn.XLOOKUP(E123,Lookup!$J$3:$J$14,Lookup!$K$3:$K$14)</f>
        <v>May</v>
      </c>
      <c r="Y123" t="str">
        <f>_xlfn.XLOOKUP(G123,Lookup!$M$3:$M$9,Lookup!$N$3:$N$9)</f>
        <v>Monday</v>
      </c>
    </row>
    <row r="124" spans="1:25" x14ac:dyDescent="0.3">
      <c r="A124">
        <v>123</v>
      </c>
      <c r="B124" s="1">
        <v>40666</v>
      </c>
      <c r="C124">
        <v>2</v>
      </c>
      <c r="D124">
        <v>0</v>
      </c>
      <c r="E124">
        <v>5</v>
      </c>
      <c r="F124">
        <v>0</v>
      </c>
      <c r="G124">
        <v>2</v>
      </c>
      <c r="H124">
        <v>1</v>
      </c>
      <c r="I124">
        <v>2</v>
      </c>
      <c r="J124">
        <v>0.61666699999999997</v>
      </c>
      <c r="K124">
        <v>0.58207900000000001</v>
      </c>
      <c r="L124">
        <v>0.69708300000000001</v>
      </c>
      <c r="M124">
        <v>0.342667</v>
      </c>
      <c r="N124">
        <v>603</v>
      </c>
      <c r="O124">
        <v>3848</v>
      </c>
      <c r="P124">
        <v>4451</v>
      </c>
      <c r="Q124">
        <f t="shared" si="4"/>
        <v>20.983348999999997</v>
      </c>
      <c r="R124">
        <f t="shared" si="5"/>
        <v>22.417214000000001</v>
      </c>
      <c r="S124">
        <f t="shared" si="6"/>
        <v>69.708299999999994</v>
      </c>
      <c r="T124">
        <f t="shared" si="7"/>
        <v>22.958689</v>
      </c>
      <c r="U124" t="str">
        <f>_xlfn.XLOOKUP(C124,Lookup!$A$3:$A$6,Lookup!$B$3:$B$6)</f>
        <v>Spring</v>
      </c>
      <c r="V124">
        <f>_xlfn.XLOOKUP(D124,Lookup!$D$3:$D$4,Lookup!$E$3:$E$4)</f>
        <v>2011</v>
      </c>
      <c r="W124" t="str">
        <f>_xlfn.XLOOKUP(I124,Lookup!$G$3:$G$6,Lookup!$H$3:$H$6)</f>
        <v>Misty/Cloudy</v>
      </c>
      <c r="X124" t="str">
        <f>_xlfn.XLOOKUP(E124,Lookup!$J$3:$J$14,Lookup!$K$3:$K$14)</f>
        <v>May</v>
      </c>
      <c r="Y124" t="str">
        <f>_xlfn.XLOOKUP(G124,Lookup!$M$3:$M$9,Lookup!$N$3:$N$9)</f>
        <v>Tuesday</v>
      </c>
    </row>
    <row r="125" spans="1:25" x14ac:dyDescent="0.3">
      <c r="A125">
        <v>124</v>
      </c>
      <c r="B125" s="1">
        <v>40667</v>
      </c>
      <c r="C125">
        <v>2</v>
      </c>
      <c r="D125">
        <v>0</v>
      </c>
      <c r="E125">
        <v>5</v>
      </c>
      <c r="F125">
        <v>0</v>
      </c>
      <c r="G125">
        <v>3</v>
      </c>
      <c r="H125">
        <v>1</v>
      </c>
      <c r="I125">
        <v>2</v>
      </c>
      <c r="J125">
        <v>0.41416700000000001</v>
      </c>
      <c r="K125">
        <v>0.40465000000000001</v>
      </c>
      <c r="L125">
        <v>0.73708300000000004</v>
      </c>
      <c r="M125">
        <v>0.32899600000000001</v>
      </c>
      <c r="N125">
        <v>255</v>
      </c>
      <c r="O125">
        <v>2378</v>
      </c>
      <c r="P125">
        <v>2633</v>
      </c>
      <c r="Q125">
        <f t="shared" si="4"/>
        <v>11.465848999999999</v>
      </c>
      <c r="R125">
        <f t="shared" si="5"/>
        <v>10.706900000000001</v>
      </c>
      <c r="S125">
        <f t="shared" si="6"/>
        <v>73.708300000000008</v>
      </c>
      <c r="T125">
        <f t="shared" si="7"/>
        <v>22.042732000000001</v>
      </c>
      <c r="U125" t="str">
        <f>_xlfn.XLOOKUP(C125,Lookup!$A$3:$A$6,Lookup!$B$3:$B$6)</f>
        <v>Spring</v>
      </c>
      <c r="V125">
        <f>_xlfn.XLOOKUP(D125,Lookup!$D$3:$D$4,Lookup!$E$3:$E$4)</f>
        <v>2011</v>
      </c>
      <c r="W125" t="str">
        <f>_xlfn.XLOOKUP(I125,Lookup!$G$3:$G$6,Lookup!$H$3:$H$6)</f>
        <v>Misty/Cloudy</v>
      </c>
      <c r="X125" t="str">
        <f>_xlfn.XLOOKUP(E125,Lookup!$J$3:$J$14,Lookup!$K$3:$K$14)</f>
        <v>May</v>
      </c>
      <c r="Y125" t="str">
        <f>_xlfn.XLOOKUP(G125,Lookup!$M$3:$M$9,Lookup!$N$3:$N$9)</f>
        <v>Wednesday</v>
      </c>
    </row>
    <row r="126" spans="1:25" x14ac:dyDescent="0.3">
      <c r="A126">
        <v>125</v>
      </c>
      <c r="B126" s="1">
        <v>40668</v>
      </c>
      <c r="C126">
        <v>2</v>
      </c>
      <c r="D126">
        <v>0</v>
      </c>
      <c r="E126">
        <v>5</v>
      </c>
      <c r="F126">
        <v>0</v>
      </c>
      <c r="G126">
        <v>4</v>
      </c>
      <c r="H126">
        <v>1</v>
      </c>
      <c r="I126">
        <v>1</v>
      </c>
      <c r="J126">
        <v>0.45916699999999999</v>
      </c>
      <c r="K126">
        <v>0.441917</v>
      </c>
      <c r="L126">
        <v>0.44416699999999998</v>
      </c>
      <c r="M126">
        <v>0.29539199999999999</v>
      </c>
      <c r="N126">
        <v>614</v>
      </c>
      <c r="O126">
        <v>3819</v>
      </c>
      <c r="P126">
        <v>4433</v>
      </c>
      <c r="Q126">
        <f t="shared" si="4"/>
        <v>13.580849000000001</v>
      </c>
      <c r="R126">
        <f t="shared" si="5"/>
        <v>13.166522000000001</v>
      </c>
      <c r="S126">
        <f t="shared" si="6"/>
        <v>44.416699999999999</v>
      </c>
      <c r="T126">
        <f t="shared" si="7"/>
        <v>19.791263999999998</v>
      </c>
      <c r="U126" t="str">
        <f>_xlfn.XLOOKUP(C126,Lookup!$A$3:$A$6,Lookup!$B$3:$B$6)</f>
        <v>Spring</v>
      </c>
      <c r="V126">
        <f>_xlfn.XLOOKUP(D126,Lookup!$D$3:$D$4,Lookup!$E$3:$E$4)</f>
        <v>2011</v>
      </c>
      <c r="W126" t="str">
        <f>_xlfn.XLOOKUP(I126,Lookup!$G$3:$G$6,Lookup!$H$3:$H$6)</f>
        <v>Clear</v>
      </c>
      <c r="X126" t="str">
        <f>_xlfn.XLOOKUP(E126,Lookup!$J$3:$J$14,Lookup!$K$3:$K$14)</f>
        <v>May</v>
      </c>
      <c r="Y126" t="str">
        <f>_xlfn.XLOOKUP(G126,Lookup!$M$3:$M$9,Lookup!$N$3:$N$9)</f>
        <v>Thursday</v>
      </c>
    </row>
    <row r="127" spans="1:25" x14ac:dyDescent="0.3">
      <c r="A127">
        <v>126</v>
      </c>
      <c r="B127" s="1">
        <v>40669</v>
      </c>
      <c r="C127">
        <v>2</v>
      </c>
      <c r="D127">
        <v>0</v>
      </c>
      <c r="E127">
        <v>5</v>
      </c>
      <c r="F127">
        <v>0</v>
      </c>
      <c r="G127">
        <v>5</v>
      </c>
      <c r="H127">
        <v>1</v>
      </c>
      <c r="I127">
        <v>1</v>
      </c>
      <c r="J127">
        <v>0.47916700000000001</v>
      </c>
      <c r="K127">
        <v>0.47411700000000001</v>
      </c>
      <c r="L127">
        <v>0.59</v>
      </c>
      <c r="M127">
        <v>0.228246</v>
      </c>
      <c r="N127">
        <v>894</v>
      </c>
      <c r="O127">
        <v>3714</v>
      </c>
      <c r="P127">
        <v>4608</v>
      </c>
      <c r="Q127">
        <f t="shared" si="4"/>
        <v>14.520849000000002</v>
      </c>
      <c r="R127">
        <f t="shared" si="5"/>
        <v>15.291722</v>
      </c>
      <c r="S127">
        <f t="shared" si="6"/>
        <v>59</v>
      </c>
      <c r="T127">
        <f t="shared" si="7"/>
        <v>15.292482</v>
      </c>
      <c r="U127" t="str">
        <f>_xlfn.XLOOKUP(C127,Lookup!$A$3:$A$6,Lookup!$B$3:$B$6)</f>
        <v>Spring</v>
      </c>
      <c r="V127">
        <f>_xlfn.XLOOKUP(D127,Lookup!$D$3:$D$4,Lookup!$E$3:$E$4)</f>
        <v>2011</v>
      </c>
      <c r="W127" t="str">
        <f>_xlfn.XLOOKUP(I127,Lookup!$G$3:$G$6,Lookup!$H$3:$H$6)</f>
        <v>Clear</v>
      </c>
      <c r="X127" t="str">
        <f>_xlfn.XLOOKUP(E127,Lookup!$J$3:$J$14,Lookup!$K$3:$K$14)</f>
        <v>May</v>
      </c>
      <c r="Y127" t="str">
        <f>_xlfn.XLOOKUP(G127,Lookup!$M$3:$M$9,Lookup!$N$3:$N$9)</f>
        <v>Friday</v>
      </c>
    </row>
    <row r="128" spans="1:25" x14ac:dyDescent="0.3">
      <c r="A128">
        <v>127</v>
      </c>
      <c r="B128" s="1">
        <v>40670</v>
      </c>
      <c r="C128">
        <v>2</v>
      </c>
      <c r="D128">
        <v>0</v>
      </c>
      <c r="E128">
        <v>5</v>
      </c>
      <c r="F128">
        <v>0</v>
      </c>
      <c r="G128">
        <v>6</v>
      </c>
      <c r="H128">
        <v>0</v>
      </c>
      <c r="I128">
        <v>1</v>
      </c>
      <c r="J128">
        <v>0.52</v>
      </c>
      <c r="K128">
        <v>0.51262099999999999</v>
      </c>
      <c r="L128">
        <v>0.54125000000000001</v>
      </c>
      <c r="M128">
        <v>0.16045000000000001</v>
      </c>
      <c r="N128">
        <v>1612</v>
      </c>
      <c r="O128">
        <v>3102</v>
      </c>
      <c r="P128">
        <v>4714</v>
      </c>
      <c r="Q128">
        <f t="shared" si="4"/>
        <v>16.440000000000001</v>
      </c>
      <c r="R128">
        <f t="shared" si="5"/>
        <v>17.832985999999998</v>
      </c>
      <c r="S128">
        <f t="shared" si="6"/>
        <v>54.125</v>
      </c>
      <c r="T128">
        <f t="shared" si="7"/>
        <v>10.750150000000001</v>
      </c>
      <c r="U128" t="str">
        <f>_xlfn.XLOOKUP(C128,Lookup!$A$3:$A$6,Lookup!$B$3:$B$6)</f>
        <v>Spring</v>
      </c>
      <c r="V128">
        <f>_xlfn.XLOOKUP(D128,Lookup!$D$3:$D$4,Lookup!$E$3:$E$4)</f>
        <v>2011</v>
      </c>
      <c r="W128" t="str">
        <f>_xlfn.XLOOKUP(I128,Lookup!$G$3:$G$6,Lookup!$H$3:$H$6)</f>
        <v>Clear</v>
      </c>
      <c r="X128" t="str">
        <f>_xlfn.XLOOKUP(E128,Lookup!$J$3:$J$14,Lookup!$K$3:$K$14)</f>
        <v>May</v>
      </c>
      <c r="Y128" t="str">
        <f>_xlfn.XLOOKUP(G128,Lookup!$M$3:$M$9,Lookup!$N$3:$N$9)</f>
        <v>Saturday</v>
      </c>
    </row>
    <row r="129" spans="1:25" x14ac:dyDescent="0.3">
      <c r="A129">
        <v>128</v>
      </c>
      <c r="B129" s="1">
        <v>40671</v>
      </c>
      <c r="C129">
        <v>2</v>
      </c>
      <c r="D129">
        <v>0</v>
      </c>
      <c r="E129">
        <v>5</v>
      </c>
      <c r="F129">
        <v>0</v>
      </c>
      <c r="G129">
        <v>0</v>
      </c>
      <c r="H129">
        <v>0</v>
      </c>
      <c r="I129">
        <v>1</v>
      </c>
      <c r="J129">
        <v>0.52833300000000005</v>
      </c>
      <c r="K129">
        <v>0.51893299999999998</v>
      </c>
      <c r="L129">
        <v>0.63166699999999998</v>
      </c>
      <c r="M129">
        <v>7.4637499999999996E-2</v>
      </c>
      <c r="N129">
        <v>1401</v>
      </c>
      <c r="O129">
        <v>2932</v>
      </c>
      <c r="P129">
        <v>4333</v>
      </c>
      <c r="Q129">
        <f t="shared" si="4"/>
        <v>16.831651000000001</v>
      </c>
      <c r="R129">
        <f t="shared" si="5"/>
        <v>18.249578</v>
      </c>
      <c r="S129">
        <f t="shared" si="6"/>
        <v>63.166699999999999</v>
      </c>
      <c r="T129">
        <f t="shared" si="7"/>
        <v>5.0007124999999997</v>
      </c>
      <c r="U129" t="str">
        <f>_xlfn.XLOOKUP(C129,Lookup!$A$3:$A$6,Lookup!$B$3:$B$6)</f>
        <v>Spring</v>
      </c>
      <c r="V129">
        <f>_xlfn.XLOOKUP(D129,Lookup!$D$3:$D$4,Lookup!$E$3:$E$4)</f>
        <v>2011</v>
      </c>
      <c r="W129" t="str">
        <f>_xlfn.XLOOKUP(I129,Lookup!$G$3:$G$6,Lookup!$H$3:$H$6)</f>
        <v>Clear</v>
      </c>
      <c r="X129" t="str">
        <f>_xlfn.XLOOKUP(E129,Lookup!$J$3:$J$14,Lookup!$K$3:$K$14)</f>
        <v>May</v>
      </c>
      <c r="Y129" t="str">
        <f>_xlfn.XLOOKUP(G129,Lookup!$M$3:$M$9,Lookup!$N$3:$N$9)</f>
        <v>Sunday</v>
      </c>
    </row>
    <row r="130" spans="1:25" x14ac:dyDescent="0.3">
      <c r="A130">
        <v>129</v>
      </c>
      <c r="B130" s="1">
        <v>40672</v>
      </c>
      <c r="C130">
        <v>2</v>
      </c>
      <c r="D130">
        <v>0</v>
      </c>
      <c r="E130">
        <v>5</v>
      </c>
      <c r="F130">
        <v>0</v>
      </c>
      <c r="G130">
        <v>1</v>
      </c>
      <c r="H130">
        <v>1</v>
      </c>
      <c r="I130">
        <v>1</v>
      </c>
      <c r="J130">
        <v>0.53249999999999997</v>
      </c>
      <c r="K130">
        <v>0.52524599999999999</v>
      </c>
      <c r="L130">
        <v>0.58875</v>
      </c>
      <c r="M130">
        <v>0.17599999999999999</v>
      </c>
      <c r="N130">
        <v>664</v>
      </c>
      <c r="O130">
        <v>3698</v>
      </c>
      <c r="P130">
        <v>4362</v>
      </c>
      <c r="Q130">
        <f t="shared" si="4"/>
        <v>17.0275</v>
      </c>
      <c r="R130">
        <f t="shared" si="5"/>
        <v>18.666235999999998</v>
      </c>
      <c r="S130">
        <f t="shared" si="6"/>
        <v>58.875</v>
      </c>
      <c r="T130">
        <f t="shared" si="7"/>
        <v>11.792</v>
      </c>
      <c r="U130" t="str">
        <f>_xlfn.XLOOKUP(C130,Lookup!$A$3:$A$6,Lookup!$B$3:$B$6)</f>
        <v>Spring</v>
      </c>
      <c r="V130">
        <f>_xlfn.XLOOKUP(D130,Lookup!$D$3:$D$4,Lookup!$E$3:$E$4)</f>
        <v>2011</v>
      </c>
      <c r="W130" t="str">
        <f>_xlfn.XLOOKUP(I130,Lookup!$G$3:$G$6,Lookup!$H$3:$H$6)</f>
        <v>Clear</v>
      </c>
      <c r="X130" t="str">
        <f>_xlfn.XLOOKUP(E130,Lookup!$J$3:$J$14,Lookup!$K$3:$K$14)</f>
        <v>May</v>
      </c>
      <c r="Y130" t="str">
        <f>_xlfn.XLOOKUP(G130,Lookup!$M$3:$M$9,Lookup!$N$3:$N$9)</f>
        <v>Monday</v>
      </c>
    </row>
    <row r="131" spans="1:25" x14ac:dyDescent="0.3">
      <c r="A131">
        <v>130</v>
      </c>
      <c r="B131" s="1">
        <v>40673</v>
      </c>
      <c r="C131">
        <v>2</v>
      </c>
      <c r="D131">
        <v>0</v>
      </c>
      <c r="E131">
        <v>5</v>
      </c>
      <c r="F131">
        <v>0</v>
      </c>
      <c r="G131">
        <v>2</v>
      </c>
      <c r="H131">
        <v>1</v>
      </c>
      <c r="I131">
        <v>1</v>
      </c>
      <c r="J131">
        <v>0.53249999999999997</v>
      </c>
      <c r="K131">
        <v>0.52272099999999999</v>
      </c>
      <c r="L131">
        <v>0.48916700000000002</v>
      </c>
      <c r="M131">
        <v>0.115671</v>
      </c>
      <c r="N131">
        <v>694</v>
      </c>
      <c r="O131">
        <v>4109</v>
      </c>
      <c r="P131">
        <v>4803</v>
      </c>
      <c r="Q131">
        <f t="shared" ref="Q131:Q194" si="8">J131*47-8</f>
        <v>17.0275</v>
      </c>
      <c r="R131">
        <f t="shared" ref="R131:R194" si="9">K131*66-16</f>
        <v>18.499586000000001</v>
      </c>
      <c r="S131">
        <f t="shared" ref="S131:S194" si="10">L131*100</f>
        <v>48.916699999999999</v>
      </c>
      <c r="T131">
        <f t="shared" ref="T131:T194" si="11">M131*67</f>
        <v>7.7499569999999993</v>
      </c>
      <c r="U131" t="str">
        <f>_xlfn.XLOOKUP(C131,Lookup!$A$3:$A$6,Lookup!$B$3:$B$6)</f>
        <v>Spring</v>
      </c>
      <c r="V131">
        <f>_xlfn.XLOOKUP(D131,Lookup!$D$3:$D$4,Lookup!$E$3:$E$4)</f>
        <v>2011</v>
      </c>
      <c r="W131" t="str">
        <f>_xlfn.XLOOKUP(I131,Lookup!$G$3:$G$6,Lookup!$H$3:$H$6)</f>
        <v>Clear</v>
      </c>
      <c r="X131" t="str">
        <f>_xlfn.XLOOKUP(E131,Lookup!$J$3:$J$14,Lookup!$K$3:$K$14)</f>
        <v>May</v>
      </c>
      <c r="Y131" t="str">
        <f>_xlfn.XLOOKUP(G131,Lookup!$M$3:$M$9,Lookup!$N$3:$N$9)</f>
        <v>Tuesday</v>
      </c>
    </row>
    <row r="132" spans="1:25" x14ac:dyDescent="0.3">
      <c r="A132">
        <v>131</v>
      </c>
      <c r="B132" s="1">
        <v>40674</v>
      </c>
      <c r="C132">
        <v>2</v>
      </c>
      <c r="D132">
        <v>0</v>
      </c>
      <c r="E132">
        <v>5</v>
      </c>
      <c r="F132">
        <v>0</v>
      </c>
      <c r="G132">
        <v>3</v>
      </c>
      <c r="H132">
        <v>1</v>
      </c>
      <c r="I132">
        <v>1</v>
      </c>
      <c r="J132">
        <v>0.54249999999999998</v>
      </c>
      <c r="K132">
        <v>0.52839999999999998</v>
      </c>
      <c r="L132">
        <v>0.63291699999999995</v>
      </c>
      <c r="M132">
        <v>0.120642</v>
      </c>
      <c r="N132">
        <v>550</v>
      </c>
      <c r="O132">
        <v>3632</v>
      </c>
      <c r="P132">
        <v>4182</v>
      </c>
      <c r="Q132">
        <f t="shared" si="8"/>
        <v>17.497499999999999</v>
      </c>
      <c r="R132">
        <f t="shared" si="9"/>
        <v>18.874400000000001</v>
      </c>
      <c r="S132">
        <f t="shared" si="10"/>
        <v>63.291699999999992</v>
      </c>
      <c r="T132">
        <f t="shared" si="11"/>
        <v>8.0830140000000004</v>
      </c>
      <c r="U132" t="str">
        <f>_xlfn.XLOOKUP(C132,Lookup!$A$3:$A$6,Lookup!$B$3:$B$6)</f>
        <v>Spring</v>
      </c>
      <c r="V132">
        <f>_xlfn.XLOOKUP(D132,Lookup!$D$3:$D$4,Lookup!$E$3:$E$4)</f>
        <v>2011</v>
      </c>
      <c r="W132" t="str">
        <f>_xlfn.XLOOKUP(I132,Lookup!$G$3:$G$6,Lookup!$H$3:$H$6)</f>
        <v>Clear</v>
      </c>
      <c r="X132" t="str">
        <f>_xlfn.XLOOKUP(E132,Lookup!$J$3:$J$14,Lookup!$K$3:$K$14)</f>
        <v>May</v>
      </c>
      <c r="Y132" t="str">
        <f>_xlfn.XLOOKUP(G132,Lookup!$M$3:$M$9,Lookup!$N$3:$N$9)</f>
        <v>Wednesday</v>
      </c>
    </row>
    <row r="133" spans="1:25" x14ac:dyDescent="0.3">
      <c r="A133">
        <v>132</v>
      </c>
      <c r="B133" s="1">
        <v>40675</v>
      </c>
      <c r="C133">
        <v>2</v>
      </c>
      <c r="D133">
        <v>0</v>
      </c>
      <c r="E133">
        <v>5</v>
      </c>
      <c r="F133">
        <v>0</v>
      </c>
      <c r="G133">
        <v>4</v>
      </c>
      <c r="H133">
        <v>1</v>
      </c>
      <c r="I133">
        <v>1</v>
      </c>
      <c r="J133">
        <v>0.53500000000000003</v>
      </c>
      <c r="K133">
        <v>0.52336300000000002</v>
      </c>
      <c r="L133">
        <v>0.74750000000000005</v>
      </c>
      <c r="M133">
        <v>0.189667</v>
      </c>
      <c r="N133">
        <v>695</v>
      </c>
      <c r="O133">
        <v>4169</v>
      </c>
      <c r="P133">
        <v>4864</v>
      </c>
      <c r="Q133">
        <f t="shared" si="8"/>
        <v>17.145000000000003</v>
      </c>
      <c r="R133">
        <f t="shared" si="9"/>
        <v>18.541958000000001</v>
      </c>
      <c r="S133">
        <f t="shared" si="10"/>
        <v>74.75</v>
      </c>
      <c r="T133">
        <f t="shared" si="11"/>
        <v>12.707689</v>
      </c>
      <c r="U133" t="str">
        <f>_xlfn.XLOOKUP(C133,Lookup!$A$3:$A$6,Lookup!$B$3:$B$6)</f>
        <v>Spring</v>
      </c>
      <c r="V133">
        <f>_xlfn.XLOOKUP(D133,Lookup!$D$3:$D$4,Lookup!$E$3:$E$4)</f>
        <v>2011</v>
      </c>
      <c r="W133" t="str">
        <f>_xlfn.XLOOKUP(I133,Lookup!$G$3:$G$6,Lookup!$H$3:$H$6)</f>
        <v>Clear</v>
      </c>
      <c r="X133" t="str">
        <f>_xlfn.XLOOKUP(E133,Lookup!$J$3:$J$14,Lookup!$K$3:$K$14)</f>
        <v>May</v>
      </c>
      <c r="Y133" t="str">
        <f>_xlfn.XLOOKUP(G133,Lookup!$M$3:$M$9,Lookup!$N$3:$N$9)</f>
        <v>Thursday</v>
      </c>
    </row>
    <row r="134" spans="1:25" x14ac:dyDescent="0.3">
      <c r="A134">
        <v>133</v>
      </c>
      <c r="B134" s="1">
        <v>40676</v>
      </c>
      <c r="C134">
        <v>2</v>
      </c>
      <c r="D134">
        <v>0</v>
      </c>
      <c r="E134">
        <v>5</v>
      </c>
      <c r="F134">
        <v>0</v>
      </c>
      <c r="G134">
        <v>5</v>
      </c>
      <c r="H134">
        <v>1</v>
      </c>
      <c r="I134">
        <v>2</v>
      </c>
      <c r="J134">
        <v>0.51249999999999996</v>
      </c>
      <c r="K134">
        <v>0.49430000000000002</v>
      </c>
      <c r="L134">
        <v>0.86333300000000002</v>
      </c>
      <c r="M134">
        <v>0.179725</v>
      </c>
      <c r="N134">
        <v>692</v>
      </c>
      <c r="O134">
        <v>3413</v>
      </c>
      <c r="P134">
        <v>4105</v>
      </c>
      <c r="Q134">
        <f t="shared" si="8"/>
        <v>16.087499999999999</v>
      </c>
      <c r="R134">
        <f t="shared" si="9"/>
        <v>16.623800000000003</v>
      </c>
      <c r="S134">
        <f t="shared" si="10"/>
        <v>86.333300000000008</v>
      </c>
      <c r="T134">
        <f t="shared" si="11"/>
        <v>12.041575</v>
      </c>
      <c r="U134" t="str">
        <f>_xlfn.XLOOKUP(C134,Lookup!$A$3:$A$6,Lookup!$B$3:$B$6)</f>
        <v>Spring</v>
      </c>
      <c r="V134">
        <f>_xlfn.XLOOKUP(D134,Lookup!$D$3:$D$4,Lookup!$E$3:$E$4)</f>
        <v>2011</v>
      </c>
      <c r="W134" t="str">
        <f>_xlfn.XLOOKUP(I134,Lookup!$G$3:$G$6,Lookup!$H$3:$H$6)</f>
        <v>Misty/Cloudy</v>
      </c>
      <c r="X134" t="str">
        <f>_xlfn.XLOOKUP(E134,Lookup!$J$3:$J$14,Lookup!$K$3:$K$14)</f>
        <v>May</v>
      </c>
      <c r="Y134" t="str">
        <f>_xlfn.XLOOKUP(G134,Lookup!$M$3:$M$9,Lookup!$N$3:$N$9)</f>
        <v>Friday</v>
      </c>
    </row>
    <row r="135" spans="1:25" x14ac:dyDescent="0.3">
      <c r="A135">
        <v>134</v>
      </c>
      <c r="B135" s="1">
        <v>40677</v>
      </c>
      <c r="C135">
        <v>2</v>
      </c>
      <c r="D135">
        <v>0</v>
      </c>
      <c r="E135">
        <v>5</v>
      </c>
      <c r="F135">
        <v>0</v>
      </c>
      <c r="G135">
        <v>6</v>
      </c>
      <c r="H135">
        <v>0</v>
      </c>
      <c r="I135">
        <v>2</v>
      </c>
      <c r="J135">
        <v>0.52083299999999999</v>
      </c>
      <c r="K135">
        <v>0.50062899999999999</v>
      </c>
      <c r="L135">
        <v>0.92249999999999999</v>
      </c>
      <c r="M135">
        <v>0.13494999999999999</v>
      </c>
      <c r="N135">
        <v>902</v>
      </c>
      <c r="O135">
        <v>2507</v>
      </c>
      <c r="P135">
        <v>3409</v>
      </c>
      <c r="Q135">
        <f t="shared" si="8"/>
        <v>16.479150999999998</v>
      </c>
      <c r="R135">
        <f t="shared" si="9"/>
        <v>17.041513999999999</v>
      </c>
      <c r="S135">
        <f t="shared" si="10"/>
        <v>92.25</v>
      </c>
      <c r="T135">
        <f t="shared" si="11"/>
        <v>9.0416499999999989</v>
      </c>
      <c r="U135" t="str">
        <f>_xlfn.XLOOKUP(C135,Lookup!$A$3:$A$6,Lookup!$B$3:$B$6)</f>
        <v>Spring</v>
      </c>
      <c r="V135">
        <f>_xlfn.XLOOKUP(D135,Lookup!$D$3:$D$4,Lookup!$E$3:$E$4)</f>
        <v>2011</v>
      </c>
      <c r="W135" t="str">
        <f>_xlfn.XLOOKUP(I135,Lookup!$G$3:$G$6,Lookup!$H$3:$H$6)</f>
        <v>Misty/Cloudy</v>
      </c>
      <c r="X135" t="str">
        <f>_xlfn.XLOOKUP(E135,Lookup!$J$3:$J$14,Lookup!$K$3:$K$14)</f>
        <v>May</v>
      </c>
      <c r="Y135" t="str">
        <f>_xlfn.XLOOKUP(G135,Lookup!$M$3:$M$9,Lookup!$N$3:$N$9)</f>
        <v>Saturday</v>
      </c>
    </row>
    <row r="136" spans="1:25" x14ac:dyDescent="0.3">
      <c r="A136">
        <v>135</v>
      </c>
      <c r="B136" s="1">
        <v>40678</v>
      </c>
      <c r="C136">
        <v>2</v>
      </c>
      <c r="D136">
        <v>0</v>
      </c>
      <c r="E136">
        <v>5</v>
      </c>
      <c r="F136">
        <v>0</v>
      </c>
      <c r="G136">
        <v>0</v>
      </c>
      <c r="H136">
        <v>0</v>
      </c>
      <c r="I136">
        <v>2</v>
      </c>
      <c r="J136">
        <v>0.5625</v>
      </c>
      <c r="K136">
        <v>0.53600000000000003</v>
      </c>
      <c r="L136">
        <v>0.86708300000000005</v>
      </c>
      <c r="M136">
        <v>0.152979</v>
      </c>
      <c r="N136">
        <v>1582</v>
      </c>
      <c r="O136">
        <v>2971</v>
      </c>
      <c r="P136">
        <v>4553</v>
      </c>
      <c r="Q136">
        <f t="shared" si="8"/>
        <v>18.4375</v>
      </c>
      <c r="R136">
        <f t="shared" si="9"/>
        <v>19.376000000000005</v>
      </c>
      <c r="S136">
        <f t="shared" si="10"/>
        <v>86.708300000000008</v>
      </c>
      <c r="T136">
        <f t="shared" si="11"/>
        <v>10.249593000000001</v>
      </c>
      <c r="U136" t="str">
        <f>_xlfn.XLOOKUP(C136,Lookup!$A$3:$A$6,Lookup!$B$3:$B$6)</f>
        <v>Spring</v>
      </c>
      <c r="V136">
        <f>_xlfn.XLOOKUP(D136,Lookup!$D$3:$D$4,Lookup!$E$3:$E$4)</f>
        <v>2011</v>
      </c>
      <c r="W136" t="str">
        <f>_xlfn.XLOOKUP(I136,Lookup!$G$3:$G$6,Lookup!$H$3:$H$6)</f>
        <v>Misty/Cloudy</v>
      </c>
      <c r="X136" t="str">
        <f>_xlfn.XLOOKUP(E136,Lookup!$J$3:$J$14,Lookup!$K$3:$K$14)</f>
        <v>May</v>
      </c>
      <c r="Y136" t="str">
        <f>_xlfn.XLOOKUP(G136,Lookup!$M$3:$M$9,Lookup!$N$3:$N$9)</f>
        <v>Sunday</v>
      </c>
    </row>
    <row r="137" spans="1:25" x14ac:dyDescent="0.3">
      <c r="A137">
        <v>136</v>
      </c>
      <c r="B137" s="1">
        <v>40679</v>
      </c>
      <c r="C137">
        <v>2</v>
      </c>
      <c r="D137">
        <v>0</v>
      </c>
      <c r="E137">
        <v>5</v>
      </c>
      <c r="F137">
        <v>0</v>
      </c>
      <c r="G137">
        <v>1</v>
      </c>
      <c r="H137">
        <v>1</v>
      </c>
      <c r="I137">
        <v>1</v>
      </c>
      <c r="J137">
        <v>0.57750000000000001</v>
      </c>
      <c r="K137">
        <v>0.550512</v>
      </c>
      <c r="L137">
        <v>0.78791699999999998</v>
      </c>
      <c r="M137">
        <v>0.12687100000000001</v>
      </c>
      <c r="N137">
        <v>773</v>
      </c>
      <c r="O137">
        <v>3185</v>
      </c>
      <c r="P137">
        <v>3958</v>
      </c>
      <c r="Q137">
        <f t="shared" si="8"/>
        <v>19.142500000000002</v>
      </c>
      <c r="R137">
        <f t="shared" si="9"/>
        <v>20.333792000000003</v>
      </c>
      <c r="S137">
        <f t="shared" si="10"/>
        <v>78.791699999999992</v>
      </c>
      <c r="T137">
        <f t="shared" si="11"/>
        <v>8.5003570000000011</v>
      </c>
      <c r="U137" t="str">
        <f>_xlfn.XLOOKUP(C137,Lookup!$A$3:$A$6,Lookup!$B$3:$B$6)</f>
        <v>Spring</v>
      </c>
      <c r="V137">
        <f>_xlfn.XLOOKUP(D137,Lookup!$D$3:$D$4,Lookup!$E$3:$E$4)</f>
        <v>2011</v>
      </c>
      <c r="W137" t="str">
        <f>_xlfn.XLOOKUP(I137,Lookup!$G$3:$G$6,Lookup!$H$3:$H$6)</f>
        <v>Clear</v>
      </c>
      <c r="X137" t="str">
        <f>_xlfn.XLOOKUP(E137,Lookup!$J$3:$J$14,Lookup!$K$3:$K$14)</f>
        <v>May</v>
      </c>
      <c r="Y137" t="str">
        <f>_xlfn.XLOOKUP(G137,Lookup!$M$3:$M$9,Lookup!$N$3:$N$9)</f>
        <v>Monday</v>
      </c>
    </row>
    <row r="138" spans="1:25" x14ac:dyDescent="0.3">
      <c r="A138">
        <v>137</v>
      </c>
      <c r="B138" s="1">
        <v>40680</v>
      </c>
      <c r="C138">
        <v>2</v>
      </c>
      <c r="D138">
        <v>0</v>
      </c>
      <c r="E138">
        <v>5</v>
      </c>
      <c r="F138">
        <v>0</v>
      </c>
      <c r="G138">
        <v>2</v>
      </c>
      <c r="H138">
        <v>1</v>
      </c>
      <c r="I138">
        <v>2</v>
      </c>
      <c r="J138">
        <v>0.56166700000000003</v>
      </c>
      <c r="K138">
        <v>0.53852900000000004</v>
      </c>
      <c r="L138">
        <v>0.83791700000000002</v>
      </c>
      <c r="M138">
        <v>0.27735399999999999</v>
      </c>
      <c r="N138">
        <v>678</v>
      </c>
      <c r="O138">
        <v>3445</v>
      </c>
      <c r="P138">
        <v>4123</v>
      </c>
      <c r="Q138">
        <f t="shared" si="8"/>
        <v>18.398349</v>
      </c>
      <c r="R138">
        <f t="shared" si="9"/>
        <v>19.542914000000003</v>
      </c>
      <c r="S138">
        <f t="shared" si="10"/>
        <v>83.791700000000006</v>
      </c>
      <c r="T138">
        <f t="shared" si="11"/>
        <v>18.582718</v>
      </c>
      <c r="U138" t="str">
        <f>_xlfn.XLOOKUP(C138,Lookup!$A$3:$A$6,Lookup!$B$3:$B$6)</f>
        <v>Spring</v>
      </c>
      <c r="V138">
        <f>_xlfn.XLOOKUP(D138,Lookup!$D$3:$D$4,Lookup!$E$3:$E$4)</f>
        <v>2011</v>
      </c>
      <c r="W138" t="str">
        <f>_xlfn.XLOOKUP(I138,Lookup!$G$3:$G$6,Lookup!$H$3:$H$6)</f>
        <v>Misty/Cloudy</v>
      </c>
      <c r="X138" t="str">
        <f>_xlfn.XLOOKUP(E138,Lookup!$J$3:$J$14,Lookup!$K$3:$K$14)</f>
        <v>May</v>
      </c>
      <c r="Y138" t="str">
        <f>_xlfn.XLOOKUP(G138,Lookup!$M$3:$M$9,Lookup!$N$3:$N$9)</f>
        <v>Tuesday</v>
      </c>
    </row>
    <row r="139" spans="1:25" x14ac:dyDescent="0.3">
      <c r="A139">
        <v>138</v>
      </c>
      <c r="B139" s="1">
        <v>40681</v>
      </c>
      <c r="C139">
        <v>2</v>
      </c>
      <c r="D139">
        <v>0</v>
      </c>
      <c r="E139">
        <v>5</v>
      </c>
      <c r="F139">
        <v>0</v>
      </c>
      <c r="G139">
        <v>3</v>
      </c>
      <c r="H139">
        <v>1</v>
      </c>
      <c r="I139">
        <v>2</v>
      </c>
      <c r="J139">
        <v>0.55000000000000004</v>
      </c>
      <c r="K139">
        <v>0.52715800000000002</v>
      </c>
      <c r="L139">
        <v>0.87</v>
      </c>
      <c r="M139">
        <v>0.201492</v>
      </c>
      <c r="N139">
        <v>536</v>
      </c>
      <c r="O139">
        <v>3319</v>
      </c>
      <c r="P139">
        <v>3855</v>
      </c>
      <c r="Q139">
        <f t="shared" si="8"/>
        <v>17.850000000000001</v>
      </c>
      <c r="R139">
        <f t="shared" si="9"/>
        <v>18.792428000000001</v>
      </c>
      <c r="S139">
        <f t="shared" si="10"/>
        <v>87</v>
      </c>
      <c r="T139">
        <f t="shared" si="11"/>
        <v>13.499964</v>
      </c>
      <c r="U139" t="str">
        <f>_xlfn.XLOOKUP(C139,Lookup!$A$3:$A$6,Lookup!$B$3:$B$6)</f>
        <v>Spring</v>
      </c>
      <c r="V139">
        <f>_xlfn.XLOOKUP(D139,Lookup!$D$3:$D$4,Lookup!$E$3:$E$4)</f>
        <v>2011</v>
      </c>
      <c r="W139" t="str">
        <f>_xlfn.XLOOKUP(I139,Lookup!$G$3:$G$6,Lookup!$H$3:$H$6)</f>
        <v>Misty/Cloudy</v>
      </c>
      <c r="X139" t="str">
        <f>_xlfn.XLOOKUP(E139,Lookup!$J$3:$J$14,Lookup!$K$3:$K$14)</f>
        <v>May</v>
      </c>
      <c r="Y139" t="str">
        <f>_xlfn.XLOOKUP(G139,Lookup!$M$3:$M$9,Lookup!$N$3:$N$9)</f>
        <v>Wednesday</v>
      </c>
    </row>
    <row r="140" spans="1:25" x14ac:dyDescent="0.3">
      <c r="A140">
        <v>139</v>
      </c>
      <c r="B140" s="1">
        <v>40682</v>
      </c>
      <c r="C140">
        <v>2</v>
      </c>
      <c r="D140">
        <v>0</v>
      </c>
      <c r="E140">
        <v>5</v>
      </c>
      <c r="F140">
        <v>0</v>
      </c>
      <c r="G140">
        <v>4</v>
      </c>
      <c r="H140">
        <v>1</v>
      </c>
      <c r="I140">
        <v>2</v>
      </c>
      <c r="J140">
        <v>0.530833</v>
      </c>
      <c r="K140">
        <v>0.51074200000000003</v>
      </c>
      <c r="L140">
        <v>0.82958299999999996</v>
      </c>
      <c r="M140">
        <v>0.108213</v>
      </c>
      <c r="N140">
        <v>735</v>
      </c>
      <c r="O140">
        <v>3840</v>
      </c>
      <c r="P140">
        <v>4575</v>
      </c>
      <c r="Q140">
        <f t="shared" si="8"/>
        <v>16.949151000000001</v>
      </c>
      <c r="R140">
        <f t="shared" si="9"/>
        <v>17.708972000000003</v>
      </c>
      <c r="S140">
        <f t="shared" si="10"/>
        <v>82.958299999999994</v>
      </c>
      <c r="T140">
        <f t="shared" si="11"/>
        <v>7.2502710000000006</v>
      </c>
      <c r="U140" t="str">
        <f>_xlfn.XLOOKUP(C140,Lookup!$A$3:$A$6,Lookup!$B$3:$B$6)</f>
        <v>Spring</v>
      </c>
      <c r="V140">
        <f>_xlfn.XLOOKUP(D140,Lookup!$D$3:$D$4,Lookup!$E$3:$E$4)</f>
        <v>2011</v>
      </c>
      <c r="W140" t="str">
        <f>_xlfn.XLOOKUP(I140,Lookup!$G$3:$G$6,Lookup!$H$3:$H$6)</f>
        <v>Misty/Cloudy</v>
      </c>
      <c r="X140" t="str">
        <f>_xlfn.XLOOKUP(E140,Lookup!$J$3:$J$14,Lookup!$K$3:$K$14)</f>
        <v>May</v>
      </c>
      <c r="Y140" t="str">
        <f>_xlfn.XLOOKUP(G140,Lookup!$M$3:$M$9,Lookup!$N$3:$N$9)</f>
        <v>Thursday</v>
      </c>
    </row>
    <row r="141" spans="1:25" x14ac:dyDescent="0.3">
      <c r="A141">
        <v>140</v>
      </c>
      <c r="B141" s="1">
        <v>40683</v>
      </c>
      <c r="C141">
        <v>2</v>
      </c>
      <c r="D141">
        <v>0</v>
      </c>
      <c r="E141">
        <v>5</v>
      </c>
      <c r="F141">
        <v>0</v>
      </c>
      <c r="G141">
        <v>5</v>
      </c>
      <c r="H141">
        <v>1</v>
      </c>
      <c r="I141">
        <v>1</v>
      </c>
      <c r="J141">
        <v>0.53666700000000001</v>
      </c>
      <c r="K141">
        <v>0.52904200000000001</v>
      </c>
      <c r="L141">
        <v>0.71958299999999997</v>
      </c>
      <c r="M141">
        <v>0.12501300000000001</v>
      </c>
      <c r="N141">
        <v>909</v>
      </c>
      <c r="O141">
        <v>4008</v>
      </c>
      <c r="P141">
        <v>4917</v>
      </c>
      <c r="Q141">
        <f t="shared" si="8"/>
        <v>17.223348999999999</v>
      </c>
      <c r="R141">
        <f t="shared" si="9"/>
        <v>18.916772000000002</v>
      </c>
      <c r="S141">
        <f t="shared" si="10"/>
        <v>71.958299999999994</v>
      </c>
      <c r="T141">
        <f t="shared" si="11"/>
        <v>8.3758710000000001</v>
      </c>
      <c r="U141" t="str">
        <f>_xlfn.XLOOKUP(C141,Lookup!$A$3:$A$6,Lookup!$B$3:$B$6)</f>
        <v>Spring</v>
      </c>
      <c r="V141">
        <f>_xlfn.XLOOKUP(D141,Lookup!$D$3:$D$4,Lookup!$E$3:$E$4)</f>
        <v>2011</v>
      </c>
      <c r="W141" t="str">
        <f>_xlfn.XLOOKUP(I141,Lookup!$G$3:$G$6,Lookup!$H$3:$H$6)</f>
        <v>Clear</v>
      </c>
      <c r="X141" t="str">
        <f>_xlfn.XLOOKUP(E141,Lookup!$J$3:$J$14,Lookup!$K$3:$K$14)</f>
        <v>May</v>
      </c>
      <c r="Y141" t="str">
        <f>_xlfn.XLOOKUP(G141,Lookup!$M$3:$M$9,Lookup!$N$3:$N$9)</f>
        <v>Friday</v>
      </c>
    </row>
    <row r="142" spans="1:25" x14ac:dyDescent="0.3">
      <c r="A142">
        <v>141</v>
      </c>
      <c r="B142" s="1">
        <v>40684</v>
      </c>
      <c r="C142">
        <v>2</v>
      </c>
      <c r="D142">
        <v>0</v>
      </c>
      <c r="E142">
        <v>5</v>
      </c>
      <c r="F142">
        <v>0</v>
      </c>
      <c r="G142">
        <v>6</v>
      </c>
      <c r="H142">
        <v>0</v>
      </c>
      <c r="I142">
        <v>1</v>
      </c>
      <c r="J142">
        <v>0.60250000000000004</v>
      </c>
      <c r="K142">
        <v>0.57197500000000001</v>
      </c>
      <c r="L142">
        <v>0.62666699999999997</v>
      </c>
      <c r="M142">
        <v>0.12064999999999999</v>
      </c>
      <c r="N142">
        <v>2258</v>
      </c>
      <c r="O142">
        <v>3547</v>
      </c>
      <c r="P142">
        <v>5805</v>
      </c>
      <c r="Q142">
        <f t="shared" si="8"/>
        <v>20.317500000000003</v>
      </c>
      <c r="R142">
        <f t="shared" si="9"/>
        <v>21.750349999999997</v>
      </c>
      <c r="S142">
        <f t="shared" si="10"/>
        <v>62.666699999999999</v>
      </c>
      <c r="T142">
        <f t="shared" si="11"/>
        <v>8.0835499999999989</v>
      </c>
      <c r="U142" t="str">
        <f>_xlfn.XLOOKUP(C142,Lookup!$A$3:$A$6,Lookup!$B$3:$B$6)</f>
        <v>Spring</v>
      </c>
      <c r="V142">
        <f>_xlfn.XLOOKUP(D142,Lookup!$D$3:$D$4,Lookup!$E$3:$E$4)</f>
        <v>2011</v>
      </c>
      <c r="W142" t="str">
        <f>_xlfn.XLOOKUP(I142,Lookup!$G$3:$G$6,Lookup!$H$3:$H$6)</f>
        <v>Clear</v>
      </c>
      <c r="X142" t="str">
        <f>_xlfn.XLOOKUP(E142,Lookup!$J$3:$J$14,Lookup!$K$3:$K$14)</f>
        <v>May</v>
      </c>
      <c r="Y142" t="str">
        <f>_xlfn.XLOOKUP(G142,Lookup!$M$3:$M$9,Lookup!$N$3:$N$9)</f>
        <v>Saturday</v>
      </c>
    </row>
    <row r="143" spans="1:25" x14ac:dyDescent="0.3">
      <c r="A143">
        <v>142</v>
      </c>
      <c r="B143" s="1">
        <v>40685</v>
      </c>
      <c r="C143">
        <v>2</v>
      </c>
      <c r="D143">
        <v>0</v>
      </c>
      <c r="E143">
        <v>5</v>
      </c>
      <c r="F143">
        <v>0</v>
      </c>
      <c r="G143">
        <v>0</v>
      </c>
      <c r="H143">
        <v>0</v>
      </c>
      <c r="I143">
        <v>1</v>
      </c>
      <c r="J143">
        <v>0.60416700000000001</v>
      </c>
      <c r="K143">
        <v>0.57450000000000001</v>
      </c>
      <c r="L143">
        <v>0.749583</v>
      </c>
      <c r="M143">
        <v>0.148008</v>
      </c>
      <c r="N143">
        <v>1576</v>
      </c>
      <c r="O143">
        <v>3084</v>
      </c>
      <c r="P143">
        <v>4660</v>
      </c>
      <c r="Q143">
        <f t="shared" si="8"/>
        <v>20.395849000000002</v>
      </c>
      <c r="R143">
        <f t="shared" si="9"/>
        <v>21.917000000000002</v>
      </c>
      <c r="S143">
        <f t="shared" si="10"/>
        <v>74.958299999999994</v>
      </c>
      <c r="T143">
        <f t="shared" si="11"/>
        <v>9.9165360000000007</v>
      </c>
      <c r="U143" t="str">
        <f>_xlfn.XLOOKUP(C143,Lookup!$A$3:$A$6,Lookup!$B$3:$B$6)</f>
        <v>Spring</v>
      </c>
      <c r="V143">
        <f>_xlfn.XLOOKUP(D143,Lookup!$D$3:$D$4,Lookup!$E$3:$E$4)</f>
        <v>2011</v>
      </c>
      <c r="W143" t="str">
        <f>_xlfn.XLOOKUP(I143,Lookup!$G$3:$G$6,Lookup!$H$3:$H$6)</f>
        <v>Clear</v>
      </c>
      <c r="X143" t="str">
        <f>_xlfn.XLOOKUP(E143,Lookup!$J$3:$J$14,Lookup!$K$3:$K$14)</f>
        <v>May</v>
      </c>
      <c r="Y143" t="str">
        <f>_xlfn.XLOOKUP(G143,Lookup!$M$3:$M$9,Lookup!$N$3:$N$9)</f>
        <v>Sunday</v>
      </c>
    </row>
    <row r="144" spans="1:25" x14ac:dyDescent="0.3">
      <c r="A144">
        <v>143</v>
      </c>
      <c r="B144" s="1">
        <v>40686</v>
      </c>
      <c r="C144">
        <v>2</v>
      </c>
      <c r="D144">
        <v>0</v>
      </c>
      <c r="E144">
        <v>5</v>
      </c>
      <c r="F144">
        <v>0</v>
      </c>
      <c r="G144">
        <v>1</v>
      </c>
      <c r="H144">
        <v>1</v>
      </c>
      <c r="I144">
        <v>2</v>
      </c>
      <c r="J144">
        <v>0.63166699999999998</v>
      </c>
      <c r="K144">
        <v>0.59029600000000004</v>
      </c>
      <c r="L144">
        <v>0.81</v>
      </c>
      <c r="M144">
        <v>0.23384199999999999</v>
      </c>
      <c r="N144">
        <v>836</v>
      </c>
      <c r="O144">
        <v>3438</v>
      </c>
      <c r="P144">
        <v>4274</v>
      </c>
      <c r="Q144">
        <f t="shared" si="8"/>
        <v>21.688348999999999</v>
      </c>
      <c r="R144">
        <f t="shared" si="9"/>
        <v>22.959536</v>
      </c>
      <c r="S144">
        <f t="shared" si="10"/>
        <v>81</v>
      </c>
      <c r="T144">
        <f t="shared" si="11"/>
        <v>15.667413999999999</v>
      </c>
      <c r="U144" t="str">
        <f>_xlfn.XLOOKUP(C144,Lookup!$A$3:$A$6,Lookup!$B$3:$B$6)</f>
        <v>Spring</v>
      </c>
      <c r="V144">
        <f>_xlfn.XLOOKUP(D144,Lookup!$D$3:$D$4,Lookup!$E$3:$E$4)</f>
        <v>2011</v>
      </c>
      <c r="W144" t="str">
        <f>_xlfn.XLOOKUP(I144,Lookup!$G$3:$G$6,Lookup!$H$3:$H$6)</f>
        <v>Misty/Cloudy</v>
      </c>
      <c r="X144" t="str">
        <f>_xlfn.XLOOKUP(E144,Lookup!$J$3:$J$14,Lookup!$K$3:$K$14)</f>
        <v>May</v>
      </c>
      <c r="Y144" t="str">
        <f>_xlfn.XLOOKUP(G144,Lookup!$M$3:$M$9,Lookup!$N$3:$N$9)</f>
        <v>Monday</v>
      </c>
    </row>
    <row r="145" spans="1:25" x14ac:dyDescent="0.3">
      <c r="A145">
        <v>144</v>
      </c>
      <c r="B145" s="1">
        <v>40687</v>
      </c>
      <c r="C145">
        <v>2</v>
      </c>
      <c r="D145">
        <v>0</v>
      </c>
      <c r="E145">
        <v>5</v>
      </c>
      <c r="F145">
        <v>0</v>
      </c>
      <c r="G145">
        <v>2</v>
      </c>
      <c r="H145">
        <v>1</v>
      </c>
      <c r="I145">
        <v>2</v>
      </c>
      <c r="J145">
        <v>0.66</v>
      </c>
      <c r="K145">
        <v>0.60481300000000005</v>
      </c>
      <c r="L145">
        <v>0.74083299999999996</v>
      </c>
      <c r="M145">
        <v>0.207092</v>
      </c>
      <c r="N145">
        <v>659</v>
      </c>
      <c r="O145">
        <v>3833</v>
      </c>
      <c r="P145">
        <v>4492</v>
      </c>
      <c r="Q145">
        <f t="shared" si="8"/>
        <v>23.020000000000003</v>
      </c>
      <c r="R145">
        <f t="shared" si="9"/>
        <v>23.917658000000003</v>
      </c>
      <c r="S145">
        <f t="shared" si="10"/>
        <v>74.083299999999994</v>
      </c>
      <c r="T145">
        <f t="shared" si="11"/>
        <v>13.875164</v>
      </c>
      <c r="U145" t="str">
        <f>_xlfn.XLOOKUP(C145,Lookup!$A$3:$A$6,Lookup!$B$3:$B$6)</f>
        <v>Spring</v>
      </c>
      <c r="V145">
        <f>_xlfn.XLOOKUP(D145,Lookup!$D$3:$D$4,Lookup!$E$3:$E$4)</f>
        <v>2011</v>
      </c>
      <c r="W145" t="str">
        <f>_xlfn.XLOOKUP(I145,Lookup!$G$3:$G$6,Lookup!$H$3:$H$6)</f>
        <v>Misty/Cloudy</v>
      </c>
      <c r="X145" t="str">
        <f>_xlfn.XLOOKUP(E145,Lookup!$J$3:$J$14,Lookup!$K$3:$K$14)</f>
        <v>May</v>
      </c>
      <c r="Y145" t="str">
        <f>_xlfn.XLOOKUP(G145,Lookup!$M$3:$M$9,Lookup!$N$3:$N$9)</f>
        <v>Tuesday</v>
      </c>
    </row>
    <row r="146" spans="1:25" x14ac:dyDescent="0.3">
      <c r="A146">
        <v>145</v>
      </c>
      <c r="B146" s="1">
        <v>40688</v>
      </c>
      <c r="C146">
        <v>2</v>
      </c>
      <c r="D146">
        <v>0</v>
      </c>
      <c r="E146">
        <v>5</v>
      </c>
      <c r="F146">
        <v>0</v>
      </c>
      <c r="G146">
        <v>3</v>
      </c>
      <c r="H146">
        <v>1</v>
      </c>
      <c r="I146">
        <v>1</v>
      </c>
      <c r="J146">
        <v>0.660833</v>
      </c>
      <c r="K146">
        <v>0.61554200000000003</v>
      </c>
      <c r="L146">
        <v>0.69625000000000004</v>
      </c>
      <c r="M146">
        <v>0.15423300000000001</v>
      </c>
      <c r="N146">
        <v>740</v>
      </c>
      <c r="O146">
        <v>4238</v>
      </c>
      <c r="P146">
        <v>4978</v>
      </c>
      <c r="Q146">
        <f t="shared" si="8"/>
        <v>23.059151</v>
      </c>
      <c r="R146">
        <f t="shared" si="9"/>
        <v>24.625772000000005</v>
      </c>
      <c r="S146">
        <f t="shared" si="10"/>
        <v>69.625</v>
      </c>
      <c r="T146">
        <f t="shared" si="11"/>
        <v>10.333611000000001</v>
      </c>
      <c r="U146" t="str">
        <f>_xlfn.XLOOKUP(C146,Lookup!$A$3:$A$6,Lookup!$B$3:$B$6)</f>
        <v>Spring</v>
      </c>
      <c r="V146">
        <f>_xlfn.XLOOKUP(D146,Lookup!$D$3:$D$4,Lookup!$E$3:$E$4)</f>
        <v>2011</v>
      </c>
      <c r="W146" t="str">
        <f>_xlfn.XLOOKUP(I146,Lookup!$G$3:$G$6,Lookup!$H$3:$H$6)</f>
        <v>Clear</v>
      </c>
      <c r="X146" t="str">
        <f>_xlfn.XLOOKUP(E146,Lookup!$J$3:$J$14,Lookup!$K$3:$K$14)</f>
        <v>May</v>
      </c>
      <c r="Y146" t="str">
        <f>_xlfn.XLOOKUP(G146,Lookup!$M$3:$M$9,Lookup!$N$3:$N$9)</f>
        <v>Wednesday</v>
      </c>
    </row>
    <row r="147" spans="1:25" x14ac:dyDescent="0.3">
      <c r="A147">
        <v>146</v>
      </c>
      <c r="B147" s="1">
        <v>40689</v>
      </c>
      <c r="C147">
        <v>2</v>
      </c>
      <c r="D147">
        <v>0</v>
      </c>
      <c r="E147">
        <v>5</v>
      </c>
      <c r="F147">
        <v>0</v>
      </c>
      <c r="G147">
        <v>4</v>
      </c>
      <c r="H147">
        <v>1</v>
      </c>
      <c r="I147">
        <v>1</v>
      </c>
      <c r="J147">
        <v>0.70833299999999999</v>
      </c>
      <c r="K147">
        <v>0.65468800000000005</v>
      </c>
      <c r="L147">
        <v>0.67749999999999999</v>
      </c>
      <c r="M147">
        <v>0.19964199999999999</v>
      </c>
      <c r="N147">
        <v>758</v>
      </c>
      <c r="O147">
        <v>3919</v>
      </c>
      <c r="P147">
        <v>4677</v>
      </c>
      <c r="Q147">
        <f t="shared" si="8"/>
        <v>25.291651000000002</v>
      </c>
      <c r="R147">
        <f t="shared" si="9"/>
        <v>27.209408000000003</v>
      </c>
      <c r="S147">
        <f t="shared" si="10"/>
        <v>67.75</v>
      </c>
      <c r="T147">
        <f t="shared" si="11"/>
        <v>13.376014</v>
      </c>
      <c r="U147" t="str">
        <f>_xlfn.XLOOKUP(C147,Lookup!$A$3:$A$6,Lookup!$B$3:$B$6)</f>
        <v>Spring</v>
      </c>
      <c r="V147">
        <f>_xlfn.XLOOKUP(D147,Lookup!$D$3:$D$4,Lookup!$E$3:$E$4)</f>
        <v>2011</v>
      </c>
      <c r="W147" t="str">
        <f>_xlfn.XLOOKUP(I147,Lookup!$G$3:$G$6,Lookup!$H$3:$H$6)</f>
        <v>Clear</v>
      </c>
      <c r="X147" t="str">
        <f>_xlfn.XLOOKUP(E147,Lookup!$J$3:$J$14,Lookup!$K$3:$K$14)</f>
        <v>May</v>
      </c>
      <c r="Y147" t="str">
        <f>_xlfn.XLOOKUP(G147,Lookup!$M$3:$M$9,Lookup!$N$3:$N$9)</f>
        <v>Thursday</v>
      </c>
    </row>
    <row r="148" spans="1:25" x14ac:dyDescent="0.3">
      <c r="A148">
        <v>147</v>
      </c>
      <c r="B148" s="1">
        <v>40690</v>
      </c>
      <c r="C148">
        <v>2</v>
      </c>
      <c r="D148">
        <v>0</v>
      </c>
      <c r="E148">
        <v>5</v>
      </c>
      <c r="F148">
        <v>0</v>
      </c>
      <c r="G148">
        <v>5</v>
      </c>
      <c r="H148">
        <v>1</v>
      </c>
      <c r="I148">
        <v>1</v>
      </c>
      <c r="J148">
        <v>0.68166700000000002</v>
      </c>
      <c r="K148">
        <v>0.63700800000000002</v>
      </c>
      <c r="L148">
        <v>0.65375000000000005</v>
      </c>
      <c r="M148">
        <v>0.240679</v>
      </c>
      <c r="N148">
        <v>871</v>
      </c>
      <c r="O148">
        <v>3808</v>
      </c>
      <c r="P148">
        <v>4679</v>
      </c>
      <c r="Q148">
        <f t="shared" si="8"/>
        <v>24.038349000000004</v>
      </c>
      <c r="R148">
        <f t="shared" si="9"/>
        <v>26.042528000000004</v>
      </c>
      <c r="S148">
        <f t="shared" si="10"/>
        <v>65.375</v>
      </c>
      <c r="T148">
        <f t="shared" si="11"/>
        <v>16.125492999999999</v>
      </c>
      <c r="U148" t="str">
        <f>_xlfn.XLOOKUP(C148,Lookup!$A$3:$A$6,Lookup!$B$3:$B$6)</f>
        <v>Spring</v>
      </c>
      <c r="V148">
        <f>_xlfn.XLOOKUP(D148,Lookup!$D$3:$D$4,Lookup!$E$3:$E$4)</f>
        <v>2011</v>
      </c>
      <c r="W148" t="str">
        <f>_xlfn.XLOOKUP(I148,Lookup!$G$3:$G$6,Lookup!$H$3:$H$6)</f>
        <v>Clear</v>
      </c>
      <c r="X148" t="str">
        <f>_xlfn.XLOOKUP(E148,Lookup!$J$3:$J$14,Lookup!$K$3:$K$14)</f>
        <v>May</v>
      </c>
      <c r="Y148" t="str">
        <f>_xlfn.XLOOKUP(G148,Lookup!$M$3:$M$9,Lookup!$N$3:$N$9)</f>
        <v>Friday</v>
      </c>
    </row>
    <row r="149" spans="1:25" x14ac:dyDescent="0.3">
      <c r="A149">
        <v>148</v>
      </c>
      <c r="B149" s="1">
        <v>40691</v>
      </c>
      <c r="C149">
        <v>2</v>
      </c>
      <c r="D149">
        <v>0</v>
      </c>
      <c r="E149">
        <v>5</v>
      </c>
      <c r="F149">
        <v>0</v>
      </c>
      <c r="G149">
        <v>6</v>
      </c>
      <c r="H149">
        <v>0</v>
      </c>
      <c r="I149">
        <v>1</v>
      </c>
      <c r="J149">
        <v>0.655833</v>
      </c>
      <c r="K149">
        <v>0.61237900000000001</v>
      </c>
      <c r="L149">
        <v>0.72958299999999998</v>
      </c>
      <c r="M149">
        <v>0.23009199999999999</v>
      </c>
      <c r="N149">
        <v>2001</v>
      </c>
      <c r="O149">
        <v>2757</v>
      </c>
      <c r="P149">
        <v>4758</v>
      </c>
      <c r="Q149">
        <f t="shared" si="8"/>
        <v>22.824151000000001</v>
      </c>
      <c r="R149">
        <f t="shared" si="9"/>
        <v>24.417014000000002</v>
      </c>
      <c r="S149">
        <f t="shared" si="10"/>
        <v>72.958299999999994</v>
      </c>
      <c r="T149">
        <f t="shared" si="11"/>
        <v>15.416164</v>
      </c>
      <c r="U149" t="str">
        <f>_xlfn.XLOOKUP(C149,Lookup!$A$3:$A$6,Lookup!$B$3:$B$6)</f>
        <v>Spring</v>
      </c>
      <c r="V149">
        <f>_xlfn.XLOOKUP(D149,Lookup!$D$3:$D$4,Lookup!$E$3:$E$4)</f>
        <v>2011</v>
      </c>
      <c r="W149" t="str">
        <f>_xlfn.XLOOKUP(I149,Lookup!$G$3:$G$6,Lookup!$H$3:$H$6)</f>
        <v>Clear</v>
      </c>
      <c r="X149" t="str">
        <f>_xlfn.XLOOKUP(E149,Lookup!$J$3:$J$14,Lookup!$K$3:$K$14)</f>
        <v>May</v>
      </c>
      <c r="Y149" t="str">
        <f>_xlfn.XLOOKUP(G149,Lookup!$M$3:$M$9,Lookup!$N$3:$N$9)</f>
        <v>Saturday</v>
      </c>
    </row>
    <row r="150" spans="1:25" x14ac:dyDescent="0.3">
      <c r="A150">
        <v>149</v>
      </c>
      <c r="B150" s="1">
        <v>40692</v>
      </c>
      <c r="C150">
        <v>2</v>
      </c>
      <c r="D150">
        <v>0</v>
      </c>
      <c r="E150">
        <v>5</v>
      </c>
      <c r="F150">
        <v>0</v>
      </c>
      <c r="G150">
        <v>0</v>
      </c>
      <c r="H150">
        <v>0</v>
      </c>
      <c r="I150">
        <v>1</v>
      </c>
      <c r="J150">
        <v>0.66749999999999998</v>
      </c>
      <c r="K150">
        <v>0.61555000000000004</v>
      </c>
      <c r="L150">
        <v>0.81874999999999998</v>
      </c>
      <c r="M150">
        <v>0.21393799999999999</v>
      </c>
      <c r="N150">
        <v>2355</v>
      </c>
      <c r="O150">
        <v>2433</v>
      </c>
      <c r="P150">
        <v>4788</v>
      </c>
      <c r="Q150">
        <f t="shared" si="8"/>
        <v>23.372499999999999</v>
      </c>
      <c r="R150">
        <f t="shared" si="9"/>
        <v>24.626300000000001</v>
      </c>
      <c r="S150">
        <f t="shared" si="10"/>
        <v>81.875</v>
      </c>
      <c r="T150">
        <f t="shared" si="11"/>
        <v>14.333845999999999</v>
      </c>
      <c r="U150" t="str">
        <f>_xlfn.XLOOKUP(C150,Lookup!$A$3:$A$6,Lookup!$B$3:$B$6)</f>
        <v>Spring</v>
      </c>
      <c r="V150">
        <f>_xlfn.XLOOKUP(D150,Lookup!$D$3:$D$4,Lookup!$E$3:$E$4)</f>
        <v>2011</v>
      </c>
      <c r="W150" t="str">
        <f>_xlfn.XLOOKUP(I150,Lookup!$G$3:$G$6,Lookup!$H$3:$H$6)</f>
        <v>Clear</v>
      </c>
      <c r="X150" t="str">
        <f>_xlfn.XLOOKUP(E150,Lookup!$J$3:$J$14,Lookup!$K$3:$K$14)</f>
        <v>May</v>
      </c>
      <c r="Y150" t="str">
        <f>_xlfn.XLOOKUP(G150,Lookup!$M$3:$M$9,Lookup!$N$3:$N$9)</f>
        <v>Sunday</v>
      </c>
    </row>
    <row r="151" spans="1:25" x14ac:dyDescent="0.3">
      <c r="A151">
        <v>150</v>
      </c>
      <c r="B151" s="1">
        <v>40693</v>
      </c>
      <c r="C151">
        <v>2</v>
      </c>
      <c r="D151">
        <v>0</v>
      </c>
      <c r="E151">
        <v>5</v>
      </c>
      <c r="F151">
        <v>1</v>
      </c>
      <c r="G151">
        <v>1</v>
      </c>
      <c r="H151">
        <v>0</v>
      </c>
      <c r="I151">
        <v>1</v>
      </c>
      <c r="J151">
        <v>0.73333300000000001</v>
      </c>
      <c r="K151">
        <v>0.67109200000000002</v>
      </c>
      <c r="L151">
        <v>0.68500000000000005</v>
      </c>
      <c r="M151">
        <v>0.13122500000000001</v>
      </c>
      <c r="N151">
        <v>1549</v>
      </c>
      <c r="O151">
        <v>2549</v>
      </c>
      <c r="P151">
        <v>4098</v>
      </c>
      <c r="Q151">
        <f t="shared" si="8"/>
        <v>26.466650999999999</v>
      </c>
      <c r="R151">
        <f t="shared" si="9"/>
        <v>28.292072000000005</v>
      </c>
      <c r="S151">
        <f t="shared" si="10"/>
        <v>68.5</v>
      </c>
      <c r="T151">
        <f t="shared" si="11"/>
        <v>8.7920750000000005</v>
      </c>
      <c r="U151" t="str">
        <f>_xlfn.XLOOKUP(C151,Lookup!$A$3:$A$6,Lookup!$B$3:$B$6)</f>
        <v>Spring</v>
      </c>
      <c r="V151">
        <f>_xlfn.XLOOKUP(D151,Lookup!$D$3:$D$4,Lookup!$E$3:$E$4)</f>
        <v>2011</v>
      </c>
      <c r="W151" t="str">
        <f>_xlfn.XLOOKUP(I151,Lookup!$G$3:$G$6,Lookup!$H$3:$H$6)</f>
        <v>Clear</v>
      </c>
      <c r="X151" t="str">
        <f>_xlfn.XLOOKUP(E151,Lookup!$J$3:$J$14,Lookup!$K$3:$K$14)</f>
        <v>May</v>
      </c>
      <c r="Y151" t="str">
        <f>_xlfn.XLOOKUP(G151,Lookup!$M$3:$M$9,Lookup!$N$3:$N$9)</f>
        <v>Monday</v>
      </c>
    </row>
    <row r="152" spans="1:25" x14ac:dyDescent="0.3">
      <c r="A152">
        <v>151</v>
      </c>
      <c r="B152" s="1">
        <v>40694</v>
      </c>
      <c r="C152">
        <v>2</v>
      </c>
      <c r="D152">
        <v>0</v>
      </c>
      <c r="E152">
        <v>5</v>
      </c>
      <c r="F152">
        <v>0</v>
      </c>
      <c r="G152">
        <v>2</v>
      </c>
      <c r="H152">
        <v>1</v>
      </c>
      <c r="I152">
        <v>1</v>
      </c>
      <c r="J152">
        <v>0.77500000000000002</v>
      </c>
      <c r="K152">
        <v>0.725383</v>
      </c>
      <c r="L152">
        <v>0.63666699999999998</v>
      </c>
      <c r="M152">
        <v>0.111329</v>
      </c>
      <c r="N152">
        <v>673</v>
      </c>
      <c r="O152">
        <v>3309</v>
      </c>
      <c r="P152">
        <v>3982</v>
      </c>
      <c r="Q152">
        <f t="shared" si="8"/>
        <v>28.425000000000004</v>
      </c>
      <c r="R152">
        <f t="shared" si="9"/>
        <v>31.875278000000002</v>
      </c>
      <c r="S152">
        <f t="shared" si="10"/>
        <v>63.666699999999999</v>
      </c>
      <c r="T152">
        <f t="shared" si="11"/>
        <v>7.4590429999999994</v>
      </c>
      <c r="U152" t="str">
        <f>_xlfn.XLOOKUP(C152,Lookup!$A$3:$A$6,Lookup!$B$3:$B$6)</f>
        <v>Spring</v>
      </c>
      <c r="V152">
        <f>_xlfn.XLOOKUP(D152,Lookup!$D$3:$D$4,Lookup!$E$3:$E$4)</f>
        <v>2011</v>
      </c>
      <c r="W152" t="str">
        <f>_xlfn.XLOOKUP(I152,Lookup!$G$3:$G$6,Lookup!$H$3:$H$6)</f>
        <v>Clear</v>
      </c>
      <c r="X152" t="str">
        <f>_xlfn.XLOOKUP(E152,Lookup!$J$3:$J$14,Lookup!$K$3:$K$14)</f>
        <v>May</v>
      </c>
      <c r="Y152" t="str">
        <f>_xlfn.XLOOKUP(G152,Lookup!$M$3:$M$9,Lookup!$N$3:$N$9)</f>
        <v>Tuesday</v>
      </c>
    </row>
    <row r="153" spans="1:25" x14ac:dyDescent="0.3">
      <c r="A153">
        <v>152</v>
      </c>
      <c r="B153" s="1">
        <v>40695</v>
      </c>
      <c r="C153">
        <v>2</v>
      </c>
      <c r="D153">
        <v>0</v>
      </c>
      <c r="E153">
        <v>6</v>
      </c>
      <c r="F153">
        <v>0</v>
      </c>
      <c r="G153">
        <v>3</v>
      </c>
      <c r="H153">
        <v>1</v>
      </c>
      <c r="I153">
        <v>2</v>
      </c>
      <c r="J153">
        <v>0.76416700000000004</v>
      </c>
      <c r="K153">
        <v>0.72096700000000002</v>
      </c>
      <c r="L153">
        <v>0.67708299999999999</v>
      </c>
      <c r="M153">
        <v>0.207092</v>
      </c>
      <c r="N153">
        <v>513</v>
      </c>
      <c r="O153">
        <v>3461</v>
      </c>
      <c r="P153">
        <v>3974</v>
      </c>
      <c r="Q153">
        <f t="shared" si="8"/>
        <v>27.915849000000001</v>
      </c>
      <c r="R153">
        <f t="shared" si="9"/>
        <v>31.583822000000005</v>
      </c>
      <c r="S153">
        <f t="shared" si="10"/>
        <v>67.708299999999994</v>
      </c>
      <c r="T153">
        <f t="shared" si="11"/>
        <v>13.875164</v>
      </c>
      <c r="U153" t="str">
        <f>_xlfn.XLOOKUP(C153,Lookup!$A$3:$A$6,Lookup!$B$3:$B$6)</f>
        <v>Spring</v>
      </c>
      <c r="V153">
        <f>_xlfn.XLOOKUP(D153,Lookup!$D$3:$D$4,Lookup!$E$3:$E$4)</f>
        <v>2011</v>
      </c>
      <c r="W153" t="str">
        <f>_xlfn.XLOOKUP(I153,Lookup!$G$3:$G$6,Lookup!$H$3:$H$6)</f>
        <v>Misty/Cloudy</v>
      </c>
      <c r="X153" t="str">
        <f>_xlfn.XLOOKUP(E153,Lookup!$J$3:$J$14,Lookup!$K$3:$K$14)</f>
        <v>June</v>
      </c>
      <c r="Y153" t="str">
        <f>_xlfn.XLOOKUP(G153,Lookup!$M$3:$M$9,Lookup!$N$3:$N$9)</f>
        <v>Wednesday</v>
      </c>
    </row>
    <row r="154" spans="1:25" x14ac:dyDescent="0.3">
      <c r="A154">
        <v>153</v>
      </c>
      <c r="B154" s="1">
        <v>40696</v>
      </c>
      <c r="C154">
        <v>2</v>
      </c>
      <c r="D154">
        <v>0</v>
      </c>
      <c r="E154">
        <v>6</v>
      </c>
      <c r="F154">
        <v>0</v>
      </c>
      <c r="G154">
        <v>4</v>
      </c>
      <c r="H154">
        <v>1</v>
      </c>
      <c r="I154">
        <v>1</v>
      </c>
      <c r="J154">
        <v>0.71499999999999997</v>
      </c>
      <c r="K154">
        <v>0.64394200000000001</v>
      </c>
      <c r="L154">
        <v>0.30499999999999999</v>
      </c>
      <c r="M154">
        <v>0.29228700000000002</v>
      </c>
      <c r="N154">
        <v>736</v>
      </c>
      <c r="O154">
        <v>4232</v>
      </c>
      <c r="P154">
        <v>4968</v>
      </c>
      <c r="Q154">
        <f t="shared" si="8"/>
        <v>25.604999999999997</v>
      </c>
      <c r="R154">
        <f t="shared" si="9"/>
        <v>26.500171999999999</v>
      </c>
      <c r="S154">
        <f t="shared" si="10"/>
        <v>30.5</v>
      </c>
      <c r="T154">
        <f t="shared" si="11"/>
        <v>19.583229000000003</v>
      </c>
      <c r="U154" t="str">
        <f>_xlfn.XLOOKUP(C154,Lookup!$A$3:$A$6,Lookup!$B$3:$B$6)</f>
        <v>Spring</v>
      </c>
      <c r="V154">
        <f>_xlfn.XLOOKUP(D154,Lookup!$D$3:$D$4,Lookup!$E$3:$E$4)</f>
        <v>2011</v>
      </c>
      <c r="W154" t="str">
        <f>_xlfn.XLOOKUP(I154,Lookup!$G$3:$G$6,Lookup!$H$3:$H$6)</f>
        <v>Clear</v>
      </c>
      <c r="X154" t="str">
        <f>_xlfn.XLOOKUP(E154,Lookup!$J$3:$J$14,Lookup!$K$3:$K$14)</f>
        <v>June</v>
      </c>
      <c r="Y154" t="str">
        <f>_xlfn.XLOOKUP(G154,Lookup!$M$3:$M$9,Lookup!$N$3:$N$9)</f>
        <v>Thursday</v>
      </c>
    </row>
    <row r="155" spans="1:25" x14ac:dyDescent="0.3">
      <c r="A155">
        <v>154</v>
      </c>
      <c r="B155" s="1">
        <v>40697</v>
      </c>
      <c r="C155">
        <v>2</v>
      </c>
      <c r="D155">
        <v>0</v>
      </c>
      <c r="E155">
        <v>6</v>
      </c>
      <c r="F155">
        <v>0</v>
      </c>
      <c r="G155">
        <v>5</v>
      </c>
      <c r="H155">
        <v>1</v>
      </c>
      <c r="I155">
        <v>1</v>
      </c>
      <c r="J155">
        <v>0.62</v>
      </c>
      <c r="K155">
        <v>0.58713300000000002</v>
      </c>
      <c r="L155">
        <v>0.35416700000000001</v>
      </c>
      <c r="M155">
        <v>0.25312099999999998</v>
      </c>
      <c r="N155">
        <v>898</v>
      </c>
      <c r="O155">
        <v>4414</v>
      </c>
      <c r="P155">
        <v>5312</v>
      </c>
      <c r="Q155">
        <f t="shared" si="8"/>
        <v>21.14</v>
      </c>
      <c r="R155">
        <f t="shared" si="9"/>
        <v>22.750778000000004</v>
      </c>
      <c r="S155">
        <f t="shared" si="10"/>
        <v>35.416699999999999</v>
      </c>
      <c r="T155">
        <f t="shared" si="11"/>
        <v>16.959106999999999</v>
      </c>
      <c r="U155" t="str">
        <f>_xlfn.XLOOKUP(C155,Lookup!$A$3:$A$6,Lookup!$B$3:$B$6)</f>
        <v>Spring</v>
      </c>
      <c r="V155">
        <f>_xlfn.XLOOKUP(D155,Lookup!$D$3:$D$4,Lookup!$E$3:$E$4)</f>
        <v>2011</v>
      </c>
      <c r="W155" t="str">
        <f>_xlfn.XLOOKUP(I155,Lookup!$G$3:$G$6,Lookup!$H$3:$H$6)</f>
        <v>Clear</v>
      </c>
      <c r="X155" t="str">
        <f>_xlfn.XLOOKUP(E155,Lookup!$J$3:$J$14,Lookup!$K$3:$K$14)</f>
        <v>June</v>
      </c>
      <c r="Y155" t="str">
        <f>_xlfn.XLOOKUP(G155,Lookup!$M$3:$M$9,Lookup!$N$3:$N$9)</f>
        <v>Friday</v>
      </c>
    </row>
    <row r="156" spans="1:25" x14ac:dyDescent="0.3">
      <c r="A156">
        <v>155</v>
      </c>
      <c r="B156" s="1">
        <v>40698</v>
      </c>
      <c r="C156">
        <v>2</v>
      </c>
      <c r="D156">
        <v>0</v>
      </c>
      <c r="E156">
        <v>6</v>
      </c>
      <c r="F156">
        <v>0</v>
      </c>
      <c r="G156">
        <v>6</v>
      </c>
      <c r="H156">
        <v>0</v>
      </c>
      <c r="I156">
        <v>1</v>
      </c>
      <c r="J156">
        <v>0.63500000000000001</v>
      </c>
      <c r="K156">
        <v>0.594696</v>
      </c>
      <c r="L156">
        <v>0.45624999999999999</v>
      </c>
      <c r="M156">
        <v>0.123142</v>
      </c>
      <c r="N156">
        <v>1869</v>
      </c>
      <c r="O156">
        <v>3473</v>
      </c>
      <c r="P156">
        <v>5342</v>
      </c>
      <c r="Q156">
        <f t="shared" si="8"/>
        <v>21.844999999999999</v>
      </c>
      <c r="R156">
        <f t="shared" si="9"/>
        <v>23.249935999999998</v>
      </c>
      <c r="S156">
        <f t="shared" si="10"/>
        <v>45.625</v>
      </c>
      <c r="T156">
        <f t="shared" si="11"/>
        <v>8.2505140000000008</v>
      </c>
      <c r="U156" t="str">
        <f>_xlfn.XLOOKUP(C156,Lookup!$A$3:$A$6,Lookup!$B$3:$B$6)</f>
        <v>Spring</v>
      </c>
      <c r="V156">
        <f>_xlfn.XLOOKUP(D156,Lookup!$D$3:$D$4,Lookup!$E$3:$E$4)</f>
        <v>2011</v>
      </c>
      <c r="W156" t="str">
        <f>_xlfn.XLOOKUP(I156,Lookup!$G$3:$G$6,Lookup!$H$3:$H$6)</f>
        <v>Clear</v>
      </c>
      <c r="X156" t="str">
        <f>_xlfn.XLOOKUP(E156,Lookup!$J$3:$J$14,Lookup!$K$3:$K$14)</f>
        <v>June</v>
      </c>
      <c r="Y156" t="str">
        <f>_xlfn.XLOOKUP(G156,Lookup!$M$3:$M$9,Lookup!$N$3:$N$9)</f>
        <v>Saturday</v>
      </c>
    </row>
    <row r="157" spans="1:25" x14ac:dyDescent="0.3">
      <c r="A157">
        <v>156</v>
      </c>
      <c r="B157" s="1">
        <v>40699</v>
      </c>
      <c r="C157">
        <v>2</v>
      </c>
      <c r="D157">
        <v>0</v>
      </c>
      <c r="E157">
        <v>6</v>
      </c>
      <c r="F157">
        <v>0</v>
      </c>
      <c r="G157">
        <v>0</v>
      </c>
      <c r="H157">
        <v>0</v>
      </c>
      <c r="I157">
        <v>2</v>
      </c>
      <c r="J157">
        <v>0.64833300000000005</v>
      </c>
      <c r="K157">
        <v>0.61680400000000002</v>
      </c>
      <c r="L157">
        <v>0.65249999999999997</v>
      </c>
      <c r="M157">
        <v>0.13869200000000001</v>
      </c>
      <c r="N157">
        <v>1685</v>
      </c>
      <c r="O157">
        <v>3221</v>
      </c>
      <c r="P157">
        <v>4906</v>
      </c>
      <c r="Q157">
        <f t="shared" si="8"/>
        <v>22.471651000000001</v>
      </c>
      <c r="R157">
        <f t="shared" si="9"/>
        <v>24.709063999999998</v>
      </c>
      <c r="S157">
        <f t="shared" si="10"/>
        <v>65.25</v>
      </c>
      <c r="T157">
        <f t="shared" si="11"/>
        <v>9.292364000000001</v>
      </c>
      <c r="U157" t="str">
        <f>_xlfn.XLOOKUP(C157,Lookup!$A$3:$A$6,Lookup!$B$3:$B$6)</f>
        <v>Spring</v>
      </c>
      <c r="V157">
        <f>_xlfn.XLOOKUP(D157,Lookup!$D$3:$D$4,Lookup!$E$3:$E$4)</f>
        <v>2011</v>
      </c>
      <c r="W157" t="str">
        <f>_xlfn.XLOOKUP(I157,Lookup!$G$3:$G$6,Lookup!$H$3:$H$6)</f>
        <v>Misty/Cloudy</v>
      </c>
      <c r="X157" t="str">
        <f>_xlfn.XLOOKUP(E157,Lookup!$J$3:$J$14,Lookup!$K$3:$K$14)</f>
        <v>June</v>
      </c>
      <c r="Y157" t="str">
        <f>_xlfn.XLOOKUP(G157,Lookup!$M$3:$M$9,Lookup!$N$3:$N$9)</f>
        <v>Sunday</v>
      </c>
    </row>
    <row r="158" spans="1:25" x14ac:dyDescent="0.3">
      <c r="A158">
        <v>157</v>
      </c>
      <c r="B158" s="1">
        <v>40700</v>
      </c>
      <c r="C158">
        <v>2</v>
      </c>
      <c r="D158">
        <v>0</v>
      </c>
      <c r="E158">
        <v>6</v>
      </c>
      <c r="F158">
        <v>0</v>
      </c>
      <c r="G158">
        <v>1</v>
      </c>
      <c r="H158">
        <v>1</v>
      </c>
      <c r="I158">
        <v>1</v>
      </c>
      <c r="J158">
        <v>0.67833299999999996</v>
      </c>
      <c r="K158">
        <v>0.62185800000000002</v>
      </c>
      <c r="L158">
        <v>0.6</v>
      </c>
      <c r="M158">
        <v>0.121896</v>
      </c>
      <c r="N158">
        <v>673</v>
      </c>
      <c r="O158">
        <v>3875</v>
      </c>
      <c r="P158">
        <v>4548</v>
      </c>
      <c r="Q158">
        <f t="shared" si="8"/>
        <v>23.881650999999998</v>
      </c>
      <c r="R158">
        <f t="shared" si="9"/>
        <v>25.042628000000001</v>
      </c>
      <c r="S158">
        <f t="shared" si="10"/>
        <v>60</v>
      </c>
      <c r="T158">
        <f t="shared" si="11"/>
        <v>8.1670320000000007</v>
      </c>
      <c r="U158" t="str">
        <f>_xlfn.XLOOKUP(C158,Lookup!$A$3:$A$6,Lookup!$B$3:$B$6)</f>
        <v>Spring</v>
      </c>
      <c r="V158">
        <f>_xlfn.XLOOKUP(D158,Lookup!$D$3:$D$4,Lookup!$E$3:$E$4)</f>
        <v>2011</v>
      </c>
      <c r="W158" t="str">
        <f>_xlfn.XLOOKUP(I158,Lookup!$G$3:$G$6,Lookup!$H$3:$H$6)</f>
        <v>Clear</v>
      </c>
      <c r="X158" t="str">
        <f>_xlfn.XLOOKUP(E158,Lookup!$J$3:$J$14,Lookup!$K$3:$K$14)</f>
        <v>June</v>
      </c>
      <c r="Y158" t="str">
        <f>_xlfn.XLOOKUP(G158,Lookup!$M$3:$M$9,Lookup!$N$3:$N$9)</f>
        <v>Monday</v>
      </c>
    </row>
    <row r="159" spans="1:25" x14ac:dyDescent="0.3">
      <c r="A159">
        <v>158</v>
      </c>
      <c r="B159" s="1">
        <v>40701</v>
      </c>
      <c r="C159">
        <v>2</v>
      </c>
      <c r="D159">
        <v>0</v>
      </c>
      <c r="E159">
        <v>6</v>
      </c>
      <c r="F159">
        <v>0</v>
      </c>
      <c r="G159">
        <v>2</v>
      </c>
      <c r="H159">
        <v>1</v>
      </c>
      <c r="I159">
        <v>1</v>
      </c>
      <c r="J159">
        <v>0.70750000000000002</v>
      </c>
      <c r="K159">
        <v>0.65595000000000003</v>
      </c>
      <c r="L159">
        <v>0.59791700000000003</v>
      </c>
      <c r="M159">
        <v>0.187808</v>
      </c>
      <c r="N159">
        <v>763</v>
      </c>
      <c r="O159">
        <v>4070</v>
      </c>
      <c r="P159">
        <v>4833</v>
      </c>
      <c r="Q159">
        <f t="shared" si="8"/>
        <v>25.252499999999998</v>
      </c>
      <c r="R159">
        <f t="shared" si="9"/>
        <v>27.292700000000004</v>
      </c>
      <c r="S159">
        <f t="shared" si="10"/>
        <v>59.791700000000006</v>
      </c>
      <c r="T159">
        <f t="shared" si="11"/>
        <v>12.583136</v>
      </c>
      <c r="U159" t="str">
        <f>_xlfn.XLOOKUP(C159,Lookup!$A$3:$A$6,Lookup!$B$3:$B$6)</f>
        <v>Spring</v>
      </c>
      <c r="V159">
        <f>_xlfn.XLOOKUP(D159,Lookup!$D$3:$D$4,Lookup!$E$3:$E$4)</f>
        <v>2011</v>
      </c>
      <c r="W159" t="str">
        <f>_xlfn.XLOOKUP(I159,Lookup!$G$3:$G$6,Lookup!$H$3:$H$6)</f>
        <v>Clear</v>
      </c>
      <c r="X159" t="str">
        <f>_xlfn.XLOOKUP(E159,Lookup!$J$3:$J$14,Lookup!$K$3:$K$14)</f>
        <v>June</v>
      </c>
      <c r="Y159" t="str">
        <f>_xlfn.XLOOKUP(G159,Lookup!$M$3:$M$9,Lookup!$N$3:$N$9)</f>
        <v>Tuesday</v>
      </c>
    </row>
    <row r="160" spans="1:25" x14ac:dyDescent="0.3">
      <c r="A160">
        <v>159</v>
      </c>
      <c r="B160" s="1">
        <v>40702</v>
      </c>
      <c r="C160">
        <v>2</v>
      </c>
      <c r="D160">
        <v>0</v>
      </c>
      <c r="E160">
        <v>6</v>
      </c>
      <c r="F160">
        <v>0</v>
      </c>
      <c r="G160">
        <v>3</v>
      </c>
      <c r="H160">
        <v>1</v>
      </c>
      <c r="I160">
        <v>1</v>
      </c>
      <c r="J160">
        <v>0.77583299999999999</v>
      </c>
      <c r="K160">
        <v>0.72727900000000001</v>
      </c>
      <c r="L160">
        <v>0.62208300000000005</v>
      </c>
      <c r="M160">
        <v>0.13681699999999999</v>
      </c>
      <c r="N160">
        <v>676</v>
      </c>
      <c r="O160">
        <v>3725</v>
      </c>
      <c r="P160">
        <v>4401</v>
      </c>
      <c r="Q160">
        <f t="shared" si="8"/>
        <v>28.464151000000001</v>
      </c>
      <c r="R160">
        <f t="shared" si="9"/>
        <v>32.000413999999999</v>
      </c>
      <c r="S160">
        <f t="shared" si="10"/>
        <v>62.208300000000008</v>
      </c>
      <c r="T160">
        <f t="shared" si="11"/>
        <v>9.1667389999999997</v>
      </c>
      <c r="U160" t="str">
        <f>_xlfn.XLOOKUP(C160,Lookup!$A$3:$A$6,Lookup!$B$3:$B$6)</f>
        <v>Spring</v>
      </c>
      <c r="V160">
        <f>_xlfn.XLOOKUP(D160,Lookup!$D$3:$D$4,Lookup!$E$3:$E$4)</f>
        <v>2011</v>
      </c>
      <c r="W160" t="str">
        <f>_xlfn.XLOOKUP(I160,Lookup!$G$3:$G$6,Lookup!$H$3:$H$6)</f>
        <v>Clear</v>
      </c>
      <c r="X160" t="str">
        <f>_xlfn.XLOOKUP(E160,Lookup!$J$3:$J$14,Lookup!$K$3:$K$14)</f>
        <v>June</v>
      </c>
      <c r="Y160" t="str">
        <f>_xlfn.XLOOKUP(G160,Lookup!$M$3:$M$9,Lookup!$N$3:$N$9)</f>
        <v>Wednesday</v>
      </c>
    </row>
    <row r="161" spans="1:25" x14ac:dyDescent="0.3">
      <c r="A161">
        <v>160</v>
      </c>
      <c r="B161" s="1">
        <v>40703</v>
      </c>
      <c r="C161">
        <v>2</v>
      </c>
      <c r="D161">
        <v>0</v>
      </c>
      <c r="E161">
        <v>6</v>
      </c>
      <c r="F161">
        <v>0</v>
      </c>
      <c r="G161">
        <v>4</v>
      </c>
      <c r="H161">
        <v>1</v>
      </c>
      <c r="I161">
        <v>2</v>
      </c>
      <c r="J161">
        <v>0.80833299999999997</v>
      </c>
      <c r="K161">
        <v>0.757579</v>
      </c>
      <c r="L161">
        <v>0.56833299999999998</v>
      </c>
      <c r="M161">
        <v>0.14988299999999999</v>
      </c>
      <c r="N161">
        <v>563</v>
      </c>
      <c r="O161">
        <v>3352</v>
      </c>
      <c r="P161">
        <v>3915</v>
      </c>
      <c r="Q161">
        <f t="shared" si="8"/>
        <v>29.991650999999997</v>
      </c>
      <c r="R161">
        <f t="shared" si="9"/>
        <v>34.000214</v>
      </c>
      <c r="S161">
        <f t="shared" si="10"/>
        <v>56.833299999999994</v>
      </c>
      <c r="T161">
        <f t="shared" si="11"/>
        <v>10.042161</v>
      </c>
      <c r="U161" t="str">
        <f>_xlfn.XLOOKUP(C161,Lookup!$A$3:$A$6,Lookup!$B$3:$B$6)</f>
        <v>Spring</v>
      </c>
      <c r="V161">
        <f>_xlfn.XLOOKUP(D161,Lookup!$D$3:$D$4,Lookup!$E$3:$E$4)</f>
        <v>2011</v>
      </c>
      <c r="W161" t="str">
        <f>_xlfn.XLOOKUP(I161,Lookup!$G$3:$G$6,Lookup!$H$3:$H$6)</f>
        <v>Misty/Cloudy</v>
      </c>
      <c r="X161" t="str">
        <f>_xlfn.XLOOKUP(E161,Lookup!$J$3:$J$14,Lookup!$K$3:$K$14)</f>
        <v>June</v>
      </c>
      <c r="Y161" t="str">
        <f>_xlfn.XLOOKUP(G161,Lookup!$M$3:$M$9,Lookup!$N$3:$N$9)</f>
        <v>Thursday</v>
      </c>
    </row>
    <row r="162" spans="1:25" x14ac:dyDescent="0.3">
      <c r="A162">
        <v>161</v>
      </c>
      <c r="B162" s="1">
        <v>40704</v>
      </c>
      <c r="C162">
        <v>2</v>
      </c>
      <c r="D162">
        <v>0</v>
      </c>
      <c r="E162">
        <v>6</v>
      </c>
      <c r="F162">
        <v>0</v>
      </c>
      <c r="G162">
        <v>5</v>
      </c>
      <c r="H162">
        <v>1</v>
      </c>
      <c r="I162">
        <v>1</v>
      </c>
      <c r="J162">
        <v>0.755</v>
      </c>
      <c r="K162">
        <v>0.70329200000000003</v>
      </c>
      <c r="L162">
        <v>0.60499999999999998</v>
      </c>
      <c r="M162">
        <v>0.14055400000000001</v>
      </c>
      <c r="N162">
        <v>815</v>
      </c>
      <c r="O162">
        <v>3771</v>
      </c>
      <c r="P162">
        <v>4586</v>
      </c>
      <c r="Q162">
        <f t="shared" si="8"/>
        <v>27.484999999999999</v>
      </c>
      <c r="R162">
        <f t="shared" si="9"/>
        <v>30.417272000000004</v>
      </c>
      <c r="S162">
        <f t="shared" si="10"/>
        <v>60.5</v>
      </c>
      <c r="T162">
        <f t="shared" si="11"/>
        <v>9.4171180000000003</v>
      </c>
      <c r="U162" t="str">
        <f>_xlfn.XLOOKUP(C162,Lookup!$A$3:$A$6,Lookup!$B$3:$B$6)</f>
        <v>Spring</v>
      </c>
      <c r="V162">
        <f>_xlfn.XLOOKUP(D162,Lookup!$D$3:$D$4,Lookup!$E$3:$E$4)</f>
        <v>2011</v>
      </c>
      <c r="W162" t="str">
        <f>_xlfn.XLOOKUP(I162,Lookup!$G$3:$G$6,Lookup!$H$3:$H$6)</f>
        <v>Clear</v>
      </c>
      <c r="X162" t="str">
        <f>_xlfn.XLOOKUP(E162,Lookup!$J$3:$J$14,Lookup!$K$3:$K$14)</f>
        <v>June</v>
      </c>
      <c r="Y162" t="str">
        <f>_xlfn.XLOOKUP(G162,Lookup!$M$3:$M$9,Lookup!$N$3:$N$9)</f>
        <v>Friday</v>
      </c>
    </row>
    <row r="163" spans="1:25" x14ac:dyDescent="0.3">
      <c r="A163">
        <v>162</v>
      </c>
      <c r="B163" s="1">
        <v>40705</v>
      </c>
      <c r="C163">
        <v>2</v>
      </c>
      <c r="D163">
        <v>0</v>
      </c>
      <c r="E163">
        <v>6</v>
      </c>
      <c r="F163">
        <v>0</v>
      </c>
      <c r="G163">
        <v>6</v>
      </c>
      <c r="H163">
        <v>0</v>
      </c>
      <c r="I163">
        <v>1</v>
      </c>
      <c r="J163">
        <v>0.72499999999999998</v>
      </c>
      <c r="K163">
        <v>0.67803800000000003</v>
      </c>
      <c r="L163">
        <v>0.65458300000000003</v>
      </c>
      <c r="M163">
        <v>0.15484999999999999</v>
      </c>
      <c r="N163">
        <v>1729</v>
      </c>
      <c r="O163">
        <v>3237</v>
      </c>
      <c r="P163">
        <v>4966</v>
      </c>
      <c r="Q163">
        <f t="shared" si="8"/>
        <v>26.074999999999996</v>
      </c>
      <c r="R163">
        <f t="shared" si="9"/>
        <v>28.750508000000004</v>
      </c>
      <c r="S163">
        <f t="shared" si="10"/>
        <v>65.458300000000008</v>
      </c>
      <c r="T163">
        <f t="shared" si="11"/>
        <v>10.374949999999998</v>
      </c>
      <c r="U163" t="str">
        <f>_xlfn.XLOOKUP(C163,Lookup!$A$3:$A$6,Lookup!$B$3:$B$6)</f>
        <v>Spring</v>
      </c>
      <c r="V163">
        <f>_xlfn.XLOOKUP(D163,Lookup!$D$3:$D$4,Lookup!$E$3:$E$4)</f>
        <v>2011</v>
      </c>
      <c r="W163" t="str">
        <f>_xlfn.XLOOKUP(I163,Lookup!$G$3:$G$6,Lookup!$H$3:$H$6)</f>
        <v>Clear</v>
      </c>
      <c r="X163" t="str">
        <f>_xlfn.XLOOKUP(E163,Lookup!$J$3:$J$14,Lookup!$K$3:$K$14)</f>
        <v>June</v>
      </c>
      <c r="Y163" t="str">
        <f>_xlfn.XLOOKUP(G163,Lookup!$M$3:$M$9,Lookup!$N$3:$N$9)</f>
        <v>Saturday</v>
      </c>
    </row>
    <row r="164" spans="1:25" x14ac:dyDescent="0.3">
      <c r="A164">
        <v>163</v>
      </c>
      <c r="B164" s="1">
        <v>40706</v>
      </c>
      <c r="C164">
        <v>2</v>
      </c>
      <c r="D164">
        <v>0</v>
      </c>
      <c r="E164">
        <v>6</v>
      </c>
      <c r="F164">
        <v>0</v>
      </c>
      <c r="G164">
        <v>0</v>
      </c>
      <c r="H164">
        <v>0</v>
      </c>
      <c r="I164">
        <v>1</v>
      </c>
      <c r="J164">
        <v>0.6925</v>
      </c>
      <c r="K164">
        <v>0.64332500000000004</v>
      </c>
      <c r="L164">
        <v>0.74791700000000005</v>
      </c>
      <c r="M164">
        <v>0.16356699999999999</v>
      </c>
      <c r="N164">
        <v>1467</v>
      </c>
      <c r="O164">
        <v>2993</v>
      </c>
      <c r="P164">
        <v>4460</v>
      </c>
      <c r="Q164">
        <f t="shared" si="8"/>
        <v>24.547499999999999</v>
      </c>
      <c r="R164">
        <f t="shared" si="9"/>
        <v>26.459450000000004</v>
      </c>
      <c r="S164">
        <f t="shared" si="10"/>
        <v>74.791700000000006</v>
      </c>
      <c r="T164">
        <f t="shared" si="11"/>
        <v>10.958988999999999</v>
      </c>
      <c r="U164" t="str">
        <f>_xlfn.XLOOKUP(C164,Lookup!$A$3:$A$6,Lookup!$B$3:$B$6)</f>
        <v>Spring</v>
      </c>
      <c r="V164">
        <f>_xlfn.XLOOKUP(D164,Lookup!$D$3:$D$4,Lookup!$E$3:$E$4)</f>
        <v>2011</v>
      </c>
      <c r="W164" t="str">
        <f>_xlfn.XLOOKUP(I164,Lookup!$G$3:$G$6,Lookup!$H$3:$H$6)</f>
        <v>Clear</v>
      </c>
      <c r="X164" t="str">
        <f>_xlfn.XLOOKUP(E164,Lookup!$J$3:$J$14,Lookup!$K$3:$K$14)</f>
        <v>June</v>
      </c>
      <c r="Y164" t="str">
        <f>_xlfn.XLOOKUP(G164,Lookup!$M$3:$M$9,Lookup!$N$3:$N$9)</f>
        <v>Sunday</v>
      </c>
    </row>
    <row r="165" spans="1:25" x14ac:dyDescent="0.3">
      <c r="A165">
        <v>164</v>
      </c>
      <c r="B165" s="1">
        <v>40707</v>
      </c>
      <c r="C165">
        <v>2</v>
      </c>
      <c r="D165">
        <v>0</v>
      </c>
      <c r="E165">
        <v>6</v>
      </c>
      <c r="F165">
        <v>0</v>
      </c>
      <c r="G165">
        <v>1</v>
      </c>
      <c r="H165">
        <v>1</v>
      </c>
      <c r="I165">
        <v>1</v>
      </c>
      <c r="J165">
        <v>0.63500000000000001</v>
      </c>
      <c r="K165">
        <v>0.60165400000000002</v>
      </c>
      <c r="L165">
        <v>0.49458299999999999</v>
      </c>
      <c r="M165">
        <v>0.30535000000000001</v>
      </c>
      <c r="N165">
        <v>863</v>
      </c>
      <c r="O165">
        <v>4157</v>
      </c>
      <c r="P165">
        <v>5020</v>
      </c>
      <c r="Q165">
        <f t="shared" si="8"/>
        <v>21.844999999999999</v>
      </c>
      <c r="R165">
        <f t="shared" si="9"/>
        <v>23.709164000000001</v>
      </c>
      <c r="S165">
        <f t="shared" si="10"/>
        <v>49.458300000000001</v>
      </c>
      <c r="T165">
        <f t="shared" si="11"/>
        <v>20.458449999999999</v>
      </c>
      <c r="U165" t="str">
        <f>_xlfn.XLOOKUP(C165,Lookup!$A$3:$A$6,Lookup!$B$3:$B$6)</f>
        <v>Spring</v>
      </c>
      <c r="V165">
        <f>_xlfn.XLOOKUP(D165,Lookup!$D$3:$D$4,Lookup!$E$3:$E$4)</f>
        <v>2011</v>
      </c>
      <c r="W165" t="str">
        <f>_xlfn.XLOOKUP(I165,Lookup!$G$3:$G$6,Lookup!$H$3:$H$6)</f>
        <v>Clear</v>
      </c>
      <c r="X165" t="str">
        <f>_xlfn.XLOOKUP(E165,Lookup!$J$3:$J$14,Lookup!$K$3:$K$14)</f>
        <v>June</v>
      </c>
      <c r="Y165" t="str">
        <f>_xlfn.XLOOKUP(G165,Lookup!$M$3:$M$9,Lookup!$N$3:$N$9)</f>
        <v>Monday</v>
      </c>
    </row>
    <row r="166" spans="1:25" x14ac:dyDescent="0.3">
      <c r="A166">
        <v>165</v>
      </c>
      <c r="B166" s="1">
        <v>40708</v>
      </c>
      <c r="C166">
        <v>2</v>
      </c>
      <c r="D166">
        <v>0</v>
      </c>
      <c r="E166">
        <v>6</v>
      </c>
      <c r="F166">
        <v>0</v>
      </c>
      <c r="G166">
        <v>2</v>
      </c>
      <c r="H166">
        <v>1</v>
      </c>
      <c r="I166">
        <v>1</v>
      </c>
      <c r="J166">
        <v>0.60416700000000001</v>
      </c>
      <c r="K166">
        <v>0.59154600000000002</v>
      </c>
      <c r="L166">
        <v>0.50708299999999995</v>
      </c>
      <c r="M166">
        <v>0.26928299999999999</v>
      </c>
      <c r="N166">
        <v>727</v>
      </c>
      <c r="O166">
        <v>4164</v>
      </c>
      <c r="P166">
        <v>4891</v>
      </c>
      <c r="Q166">
        <f t="shared" si="8"/>
        <v>20.395849000000002</v>
      </c>
      <c r="R166">
        <f t="shared" si="9"/>
        <v>23.042036000000003</v>
      </c>
      <c r="S166">
        <f t="shared" si="10"/>
        <v>50.708299999999994</v>
      </c>
      <c r="T166">
        <f t="shared" si="11"/>
        <v>18.041961000000001</v>
      </c>
      <c r="U166" t="str">
        <f>_xlfn.XLOOKUP(C166,Lookup!$A$3:$A$6,Lookup!$B$3:$B$6)</f>
        <v>Spring</v>
      </c>
      <c r="V166">
        <f>_xlfn.XLOOKUP(D166,Lookup!$D$3:$D$4,Lookup!$E$3:$E$4)</f>
        <v>2011</v>
      </c>
      <c r="W166" t="str">
        <f>_xlfn.XLOOKUP(I166,Lookup!$G$3:$G$6,Lookup!$H$3:$H$6)</f>
        <v>Clear</v>
      </c>
      <c r="X166" t="str">
        <f>_xlfn.XLOOKUP(E166,Lookup!$J$3:$J$14,Lookup!$K$3:$K$14)</f>
        <v>June</v>
      </c>
      <c r="Y166" t="str">
        <f>_xlfn.XLOOKUP(G166,Lookup!$M$3:$M$9,Lookup!$N$3:$N$9)</f>
        <v>Tuesday</v>
      </c>
    </row>
    <row r="167" spans="1:25" x14ac:dyDescent="0.3">
      <c r="A167">
        <v>166</v>
      </c>
      <c r="B167" s="1">
        <v>40709</v>
      </c>
      <c r="C167">
        <v>2</v>
      </c>
      <c r="D167">
        <v>0</v>
      </c>
      <c r="E167">
        <v>6</v>
      </c>
      <c r="F167">
        <v>0</v>
      </c>
      <c r="G167">
        <v>3</v>
      </c>
      <c r="H167">
        <v>1</v>
      </c>
      <c r="I167">
        <v>1</v>
      </c>
      <c r="J167">
        <v>0.62666699999999997</v>
      </c>
      <c r="K167">
        <v>0.587754</v>
      </c>
      <c r="L167">
        <v>0.471667</v>
      </c>
      <c r="M167">
        <v>0.16791200000000001</v>
      </c>
      <c r="N167">
        <v>769</v>
      </c>
      <c r="O167">
        <v>4411</v>
      </c>
      <c r="P167">
        <v>5180</v>
      </c>
      <c r="Q167">
        <f t="shared" si="8"/>
        <v>21.453348999999999</v>
      </c>
      <c r="R167">
        <f t="shared" si="9"/>
        <v>22.791764000000001</v>
      </c>
      <c r="S167">
        <f t="shared" si="10"/>
        <v>47.166699999999999</v>
      </c>
      <c r="T167">
        <f t="shared" si="11"/>
        <v>11.250104</v>
      </c>
      <c r="U167" t="str">
        <f>_xlfn.XLOOKUP(C167,Lookup!$A$3:$A$6,Lookup!$B$3:$B$6)</f>
        <v>Spring</v>
      </c>
      <c r="V167">
        <f>_xlfn.XLOOKUP(D167,Lookup!$D$3:$D$4,Lookup!$E$3:$E$4)</f>
        <v>2011</v>
      </c>
      <c r="W167" t="str">
        <f>_xlfn.XLOOKUP(I167,Lookup!$G$3:$G$6,Lookup!$H$3:$H$6)</f>
        <v>Clear</v>
      </c>
      <c r="X167" t="str">
        <f>_xlfn.XLOOKUP(E167,Lookup!$J$3:$J$14,Lookup!$K$3:$K$14)</f>
        <v>June</v>
      </c>
      <c r="Y167" t="str">
        <f>_xlfn.XLOOKUP(G167,Lookup!$M$3:$M$9,Lookup!$N$3:$N$9)</f>
        <v>Wednesday</v>
      </c>
    </row>
    <row r="168" spans="1:25" x14ac:dyDescent="0.3">
      <c r="A168">
        <v>167</v>
      </c>
      <c r="B168" s="1">
        <v>40710</v>
      </c>
      <c r="C168">
        <v>2</v>
      </c>
      <c r="D168">
        <v>0</v>
      </c>
      <c r="E168">
        <v>6</v>
      </c>
      <c r="F168">
        <v>0</v>
      </c>
      <c r="G168">
        <v>4</v>
      </c>
      <c r="H168">
        <v>1</v>
      </c>
      <c r="I168">
        <v>2</v>
      </c>
      <c r="J168">
        <v>0.62833300000000003</v>
      </c>
      <c r="K168">
        <v>0.59534600000000004</v>
      </c>
      <c r="L168">
        <v>0.68833299999999997</v>
      </c>
      <c r="M168">
        <v>0.20647099999999999</v>
      </c>
      <c r="N168">
        <v>545</v>
      </c>
      <c r="O168">
        <v>3222</v>
      </c>
      <c r="P168">
        <v>3767</v>
      </c>
      <c r="Q168">
        <f t="shared" si="8"/>
        <v>21.531651</v>
      </c>
      <c r="R168">
        <f t="shared" si="9"/>
        <v>23.292836000000001</v>
      </c>
      <c r="S168">
        <f t="shared" si="10"/>
        <v>68.833299999999994</v>
      </c>
      <c r="T168">
        <f t="shared" si="11"/>
        <v>13.833556999999999</v>
      </c>
      <c r="U168" t="str">
        <f>_xlfn.XLOOKUP(C168,Lookup!$A$3:$A$6,Lookup!$B$3:$B$6)</f>
        <v>Spring</v>
      </c>
      <c r="V168">
        <f>_xlfn.XLOOKUP(D168,Lookup!$D$3:$D$4,Lookup!$E$3:$E$4)</f>
        <v>2011</v>
      </c>
      <c r="W168" t="str">
        <f>_xlfn.XLOOKUP(I168,Lookup!$G$3:$G$6,Lookup!$H$3:$H$6)</f>
        <v>Misty/Cloudy</v>
      </c>
      <c r="X168" t="str">
        <f>_xlfn.XLOOKUP(E168,Lookup!$J$3:$J$14,Lookup!$K$3:$K$14)</f>
        <v>June</v>
      </c>
      <c r="Y168" t="str">
        <f>_xlfn.XLOOKUP(G168,Lookup!$M$3:$M$9,Lookup!$N$3:$N$9)</f>
        <v>Thursday</v>
      </c>
    </row>
    <row r="169" spans="1:25" x14ac:dyDescent="0.3">
      <c r="A169">
        <v>168</v>
      </c>
      <c r="B169" s="1">
        <v>40711</v>
      </c>
      <c r="C169">
        <v>2</v>
      </c>
      <c r="D169">
        <v>0</v>
      </c>
      <c r="E169">
        <v>6</v>
      </c>
      <c r="F169">
        <v>0</v>
      </c>
      <c r="G169">
        <v>5</v>
      </c>
      <c r="H169">
        <v>1</v>
      </c>
      <c r="I169">
        <v>1</v>
      </c>
      <c r="J169">
        <v>0.64916700000000005</v>
      </c>
      <c r="K169">
        <v>0.600383</v>
      </c>
      <c r="L169">
        <v>0.73583299999999996</v>
      </c>
      <c r="M169">
        <v>0.14302899999999999</v>
      </c>
      <c r="N169">
        <v>863</v>
      </c>
      <c r="O169">
        <v>3981</v>
      </c>
      <c r="P169">
        <v>4844</v>
      </c>
      <c r="Q169">
        <f t="shared" si="8"/>
        <v>22.510849000000004</v>
      </c>
      <c r="R169">
        <f t="shared" si="9"/>
        <v>23.625278000000002</v>
      </c>
      <c r="S169">
        <f t="shared" si="10"/>
        <v>73.583299999999994</v>
      </c>
      <c r="T169">
        <f t="shared" si="11"/>
        <v>9.5829429999999984</v>
      </c>
      <c r="U169" t="str">
        <f>_xlfn.XLOOKUP(C169,Lookup!$A$3:$A$6,Lookup!$B$3:$B$6)</f>
        <v>Spring</v>
      </c>
      <c r="V169">
        <f>_xlfn.XLOOKUP(D169,Lookup!$D$3:$D$4,Lookup!$E$3:$E$4)</f>
        <v>2011</v>
      </c>
      <c r="W169" t="str">
        <f>_xlfn.XLOOKUP(I169,Lookup!$G$3:$G$6,Lookup!$H$3:$H$6)</f>
        <v>Clear</v>
      </c>
      <c r="X169" t="str">
        <f>_xlfn.XLOOKUP(E169,Lookup!$J$3:$J$14,Lookup!$K$3:$K$14)</f>
        <v>June</v>
      </c>
      <c r="Y169" t="str">
        <f>_xlfn.XLOOKUP(G169,Lookup!$M$3:$M$9,Lookup!$N$3:$N$9)</f>
        <v>Friday</v>
      </c>
    </row>
    <row r="170" spans="1:25" x14ac:dyDescent="0.3">
      <c r="A170">
        <v>169</v>
      </c>
      <c r="B170" s="1">
        <v>40712</v>
      </c>
      <c r="C170">
        <v>2</v>
      </c>
      <c r="D170">
        <v>0</v>
      </c>
      <c r="E170">
        <v>6</v>
      </c>
      <c r="F170">
        <v>0</v>
      </c>
      <c r="G170">
        <v>6</v>
      </c>
      <c r="H170">
        <v>0</v>
      </c>
      <c r="I170">
        <v>1</v>
      </c>
      <c r="J170">
        <v>0.69666700000000004</v>
      </c>
      <c r="K170">
        <v>0.64395400000000003</v>
      </c>
      <c r="L170">
        <v>0.67041700000000004</v>
      </c>
      <c r="M170">
        <v>0.119408</v>
      </c>
      <c r="N170">
        <v>1807</v>
      </c>
      <c r="O170">
        <v>3312</v>
      </c>
      <c r="P170">
        <v>5119</v>
      </c>
      <c r="Q170">
        <f t="shared" si="8"/>
        <v>24.743349000000002</v>
      </c>
      <c r="R170">
        <f t="shared" si="9"/>
        <v>26.500964000000003</v>
      </c>
      <c r="S170">
        <f t="shared" si="10"/>
        <v>67.041700000000006</v>
      </c>
      <c r="T170">
        <f t="shared" si="11"/>
        <v>8.0003360000000008</v>
      </c>
      <c r="U170" t="str">
        <f>_xlfn.XLOOKUP(C170,Lookup!$A$3:$A$6,Lookup!$B$3:$B$6)</f>
        <v>Spring</v>
      </c>
      <c r="V170">
        <f>_xlfn.XLOOKUP(D170,Lookup!$D$3:$D$4,Lookup!$E$3:$E$4)</f>
        <v>2011</v>
      </c>
      <c r="W170" t="str">
        <f>_xlfn.XLOOKUP(I170,Lookup!$G$3:$G$6,Lookup!$H$3:$H$6)</f>
        <v>Clear</v>
      </c>
      <c r="X170" t="str">
        <f>_xlfn.XLOOKUP(E170,Lookup!$J$3:$J$14,Lookup!$K$3:$K$14)</f>
        <v>June</v>
      </c>
      <c r="Y170" t="str">
        <f>_xlfn.XLOOKUP(G170,Lookup!$M$3:$M$9,Lookup!$N$3:$N$9)</f>
        <v>Saturday</v>
      </c>
    </row>
    <row r="171" spans="1:25" x14ac:dyDescent="0.3">
      <c r="A171">
        <v>170</v>
      </c>
      <c r="B171" s="1">
        <v>40713</v>
      </c>
      <c r="C171">
        <v>2</v>
      </c>
      <c r="D171">
        <v>0</v>
      </c>
      <c r="E171">
        <v>6</v>
      </c>
      <c r="F171">
        <v>0</v>
      </c>
      <c r="G171">
        <v>0</v>
      </c>
      <c r="H171">
        <v>0</v>
      </c>
      <c r="I171">
        <v>2</v>
      </c>
      <c r="J171">
        <v>0.69916699999999998</v>
      </c>
      <c r="K171">
        <v>0.64584600000000003</v>
      </c>
      <c r="L171">
        <v>0.66666700000000001</v>
      </c>
      <c r="M171">
        <v>0.10199999999999999</v>
      </c>
      <c r="N171">
        <v>1639</v>
      </c>
      <c r="O171">
        <v>3105</v>
      </c>
      <c r="P171">
        <v>4744</v>
      </c>
      <c r="Q171">
        <f t="shared" si="8"/>
        <v>24.860849000000002</v>
      </c>
      <c r="R171">
        <f t="shared" si="9"/>
        <v>26.625836</v>
      </c>
      <c r="S171">
        <f t="shared" si="10"/>
        <v>66.666700000000006</v>
      </c>
      <c r="T171">
        <f t="shared" si="11"/>
        <v>6.8339999999999996</v>
      </c>
      <c r="U171" t="str">
        <f>_xlfn.XLOOKUP(C171,Lookup!$A$3:$A$6,Lookup!$B$3:$B$6)</f>
        <v>Spring</v>
      </c>
      <c r="V171">
        <f>_xlfn.XLOOKUP(D171,Lookup!$D$3:$D$4,Lookup!$E$3:$E$4)</f>
        <v>2011</v>
      </c>
      <c r="W171" t="str">
        <f>_xlfn.XLOOKUP(I171,Lookup!$G$3:$G$6,Lookup!$H$3:$H$6)</f>
        <v>Misty/Cloudy</v>
      </c>
      <c r="X171" t="str">
        <f>_xlfn.XLOOKUP(E171,Lookup!$J$3:$J$14,Lookup!$K$3:$K$14)</f>
        <v>June</v>
      </c>
      <c r="Y171" t="str">
        <f>_xlfn.XLOOKUP(G171,Lookup!$M$3:$M$9,Lookup!$N$3:$N$9)</f>
        <v>Sunday</v>
      </c>
    </row>
    <row r="172" spans="1:25" x14ac:dyDescent="0.3">
      <c r="A172">
        <v>171</v>
      </c>
      <c r="B172" s="1">
        <v>40714</v>
      </c>
      <c r="C172">
        <v>2</v>
      </c>
      <c r="D172">
        <v>0</v>
      </c>
      <c r="E172">
        <v>6</v>
      </c>
      <c r="F172">
        <v>0</v>
      </c>
      <c r="G172">
        <v>1</v>
      </c>
      <c r="H172">
        <v>1</v>
      </c>
      <c r="I172">
        <v>2</v>
      </c>
      <c r="J172">
        <v>0.63500000000000001</v>
      </c>
      <c r="K172">
        <v>0.59534600000000004</v>
      </c>
      <c r="L172">
        <v>0.74624999999999997</v>
      </c>
      <c r="M172">
        <v>0.155475</v>
      </c>
      <c r="N172">
        <v>699</v>
      </c>
      <c r="O172">
        <v>3311</v>
      </c>
      <c r="P172">
        <v>4010</v>
      </c>
      <c r="Q172">
        <f t="shared" si="8"/>
        <v>21.844999999999999</v>
      </c>
      <c r="R172">
        <f t="shared" si="9"/>
        <v>23.292836000000001</v>
      </c>
      <c r="S172">
        <f t="shared" si="10"/>
        <v>74.625</v>
      </c>
      <c r="T172">
        <f t="shared" si="11"/>
        <v>10.416824999999999</v>
      </c>
      <c r="U172" t="str">
        <f>_xlfn.XLOOKUP(C172,Lookup!$A$3:$A$6,Lookup!$B$3:$B$6)</f>
        <v>Spring</v>
      </c>
      <c r="V172">
        <f>_xlfn.XLOOKUP(D172,Lookup!$D$3:$D$4,Lookup!$E$3:$E$4)</f>
        <v>2011</v>
      </c>
      <c r="W172" t="str">
        <f>_xlfn.XLOOKUP(I172,Lookup!$G$3:$G$6,Lookup!$H$3:$H$6)</f>
        <v>Misty/Cloudy</v>
      </c>
      <c r="X172" t="str">
        <f>_xlfn.XLOOKUP(E172,Lookup!$J$3:$J$14,Lookup!$K$3:$K$14)</f>
        <v>June</v>
      </c>
      <c r="Y172" t="str">
        <f>_xlfn.XLOOKUP(G172,Lookup!$M$3:$M$9,Lookup!$N$3:$N$9)</f>
        <v>Monday</v>
      </c>
    </row>
    <row r="173" spans="1:25" x14ac:dyDescent="0.3">
      <c r="A173">
        <v>172</v>
      </c>
      <c r="B173" s="1">
        <v>40715</v>
      </c>
      <c r="C173">
        <v>3</v>
      </c>
      <c r="D173">
        <v>0</v>
      </c>
      <c r="E173">
        <v>6</v>
      </c>
      <c r="F173">
        <v>0</v>
      </c>
      <c r="G173">
        <v>2</v>
      </c>
      <c r="H173">
        <v>1</v>
      </c>
      <c r="I173">
        <v>2</v>
      </c>
      <c r="J173">
        <v>0.68083300000000002</v>
      </c>
      <c r="K173">
        <v>0.63764600000000005</v>
      </c>
      <c r="L173">
        <v>0.77041700000000002</v>
      </c>
      <c r="M173">
        <v>0.17102500000000001</v>
      </c>
      <c r="N173">
        <v>774</v>
      </c>
      <c r="O173">
        <v>4061</v>
      </c>
      <c r="P173">
        <v>4835</v>
      </c>
      <c r="Q173">
        <f t="shared" si="8"/>
        <v>23.999151000000001</v>
      </c>
      <c r="R173">
        <f t="shared" si="9"/>
        <v>26.084636000000003</v>
      </c>
      <c r="S173">
        <f t="shared" si="10"/>
        <v>77.041700000000006</v>
      </c>
      <c r="T173">
        <f t="shared" si="11"/>
        <v>11.458675000000001</v>
      </c>
      <c r="U173" t="str">
        <f>_xlfn.XLOOKUP(C173,Lookup!$A$3:$A$6,Lookup!$B$3:$B$6)</f>
        <v>Summer</v>
      </c>
      <c r="V173">
        <f>_xlfn.XLOOKUP(D173,Lookup!$D$3:$D$4,Lookup!$E$3:$E$4)</f>
        <v>2011</v>
      </c>
      <c r="W173" t="str">
        <f>_xlfn.XLOOKUP(I173,Lookup!$G$3:$G$6,Lookup!$H$3:$H$6)</f>
        <v>Misty/Cloudy</v>
      </c>
      <c r="X173" t="str">
        <f>_xlfn.XLOOKUP(E173,Lookup!$J$3:$J$14,Lookup!$K$3:$K$14)</f>
        <v>June</v>
      </c>
      <c r="Y173" t="str">
        <f>_xlfn.XLOOKUP(G173,Lookup!$M$3:$M$9,Lookup!$N$3:$N$9)</f>
        <v>Tuesday</v>
      </c>
    </row>
    <row r="174" spans="1:25" x14ac:dyDescent="0.3">
      <c r="A174">
        <v>173</v>
      </c>
      <c r="B174" s="1">
        <v>40716</v>
      </c>
      <c r="C174">
        <v>3</v>
      </c>
      <c r="D174">
        <v>0</v>
      </c>
      <c r="E174">
        <v>6</v>
      </c>
      <c r="F174">
        <v>0</v>
      </c>
      <c r="G174">
        <v>3</v>
      </c>
      <c r="H174">
        <v>1</v>
      </c>
      <c r="I174">
        <v>1</v>
      </c>
      <c r="J174">
        <v>0.73333300000000001</v>
      </c>
      <c r="K174">
        <v>0.69382900000000003</v>
      </c>
      <c r="L174">
        <v>0.70750000000000002</v>
      </c>
      <c r="M174">
        <v>0.172262</v>
      </c>
      <c r="N174">
        <v>661</v>
      </c>
      <c r="O174">
        <v>3846</v>
      </c>
      <c r="P174">
        <v>4507</v>
      </c>
      <c r="Q174">
        <f t="shared" si="8"/>
        <v>26.466650999999999</v>
      </c>
      <c r="R174">
        <f t="shared" si="9"/>
        <v>29.792714000000004</v>
      </c>
      <c r="S174">
        <f t="shared" si="10"/>
        <v>70.75</v>
      </c>
      <c r="T174">
        <f t="shared" si="11"/>
        <v>11.541554</v>
      </c>
      <c r="U174" t="str">
        <f>_xlfn.XLOOKUP(C174,Lookup!$A$3:$A$6,Lookup!$B$3:$B$6)</f>
        <v>Summer</v>
      </c>
      <c r="V174">
        <f>_xlfn.XLOOKUP(D174,Lookup!$D$3:$D$4,Lookup!$E$3:$E$4)</f>
        <v>2011</v>
      </c>
      <c r="W174" t="str">
        <f>_xlfn.XLOOKUP(I174,Lookup!$G$3:$G$6,Lookup!$H$3:$H$6)</f>
        <v>Clear</v>
      </c>
      <c r="X174" t="str">
        <f>_xlfn.XLOOKUP(E174,Lookup!$J$3:$J$14,Lookup!$K$3:$K$14)</f>
        <v>June</v>
      </c>
      <c r="Y174" t="str">
        <f>_xlfn.XLOOKUP(G174,Lookup!$M$3:$M$9,Lookup!$N$3:$N$9)</f>
        <v>Wednesday</v>
      </c>
    </row>
    <row r="175" spans="1:25" x14ac:dyDescent="0.3">
      <c r="A175">
        <v>174</v>
      </c>
      <c r="B175" s="1">
        <v>40717</v>
      </c>
      <c r="C175">
        <v>3</v>
      </c>
      <c r="D175">
        <v>0</v>
      </c>
      <c r="E175">
        <v>6</v>
      </c>
      <c r="F175">
        <v>0</v>
      </c>
      <c r="G175">
        <v>4</v>
      </c>
      <c r="H175">
        <v>1</v>
      </c>
      <c r="I175">
        <v>2</v>
      </c>
      <c r="J175">
        <v>0.72833300000000001</v>
      </c>
      <c r="K175">
        <v>0.69383300000000003</v>
      </c>
      <c r="L175">
        <v>0.70333299999999999</v>
      </c>
      <c r="M175">
        <v>0.23880399999999999</v>
      </c>
      <c r="N175">
        <v>746</v>
      </c>
      <c r="O175">
        <v>4044</v>
      </c>
      <c r="P175">
        <v>4790</v>
      </c>
      <c r="Q175">
        <f t="shared" si="8"/>
        <v>26.231650999999999</v>
      </c>
      <c r="R175">
        <f t="shared" si="9"/>
        <v>29.792978000000005</v>
      </c>
      <c r="S175">
        <f t="shared" si="10"/>
        <v>70.333299999999994</v>
      </c>
      <c r="T175">
        <f t="shared" si="11"/>
        <v>15.999867999999999</v>
      </c>
      <c r="U175" t="str">
        <f>_xlfn.XLOOKUP(C175,Lookup!$A$3:$A$6,Lookup!$B$3:$B$6)</f>
        <v>Summer</v>
      </c>
      <c r="V175">
        <f>_xlfn.XLOOKUP(D175,Lookup!$D$3:$D$4,Lookup!$E$3:$E$4)</f>
        <v>2011</v>
      </c>
      <c r="W175" t="str">
        <f>_xlfn.XLOOKUP(I175,Lookup!$G$3:$G$6,Lookup!$H$3:$H$6)</f>
        <v>Misty/Cloudy</v>
      </c>
      <c r="X175" t="str">
        <f>_xlfn.XLOOKUP(E175,Lookup!$J$3:$J$14,Lookup!$K$3:$K$14)</f>
        <v>June</v>
      </c>
      <c r="Y175" t="str">
        <f>_xlfn.XLOOKUP(G175,Lookup!$M$3:$M$9,Lookup!$N$3:$N$9)</f>
        <v>Thursday</v>
      </c>
    </row>
    <row r="176" spans="1:25" x14ac:dyDescent="0.3">
      <c r="A176">
        <v>175</v>
      </c>
      <c r="B176" s="1">
        <v>40718</v>
      </c>
      <c r="C176">
        <v>3</v>
      </c>
      <c r="D176">
        <v>0</v>
      </c>
      <c r="E176">
        <v>6</v>
      </c>
      <c r="F176">
        <v>0</v>
      </c>
      <c r="G176">
        <v>5</v>
      </c>
      <c r="H176">
        <v>1</v>
      </c>
      <c r="I176">
        <v>1</v>
      </c>
      <c r="J176">
        <v>0.72416700000000001</v>
      </c>
      <c r="K176">
        <v>0.65658300000000003</v>
      </c>
      <c r="L176">
        <v>0.57333299999999998</v>
      </c>
      <c r="M176">
        <v>0.222025</v>
      </c>
      <c r="N176">
        <v>969</v>
      </c>
      <c r="O176">
        <v>4022</v>
      </c>
      <c r="P176">
        <v>4991</v>
      </c>
      <c r="Q176">
        <f t="shared" si="8"/>
        <v>26.035848999999999</v>
      </c>
      <c r="R176">
        <f t="shared" si="9"/>
        <v>27.334478000000004</v>
      </c>
      <c r="S176">
        <f t="shared" si="10"/>
        <v>57.333300000000001</v>
      </c>
      <c r="T176">
        <f t="shared" si="11"/>
        <v>14.875674999999999</v>
      </c>
      <c r="U176" t="str">
        <f>_xlfn.XLOOKUP(C176,Lookup!$A$3:$A$6,Lookup!$B$3:$B$6)</f>
        <v>Summer</v>
      </c>
      <c r="V176">
        <f>_xlfn.XLOOKUP(D176,Lookup!$D$3:$D$4,Lookup!$E$3:$E$4)</f>
        <v>2011</v>
      </c>
      <c r="W176" t="str">
        <f>_xlfn.XLOOKUP(I176,Lookup!$G$3:$G$6,Lookup!$H$3:$H$6)</f>
        <v>Clear</v>
      </c>
      <c r="X176" t="str">
        <f>_xlfn.XLOOKUP(E176,Lookup!$J$3:$J$14,Lookup!$K$3:$K$14)</f>
        <v>June</v>
      </c>
      <c r="Y176" t="str">
        <f>_xlfn.XLOOKUP(G176,Lookup!$M$3:$M$9,Lookup!$N$3:$N$9)</f>
        <v>Friday</v>
      </c>
    </row>
    <row r="177" spans="1:25" x14ac:dyDescent="0.3">
      <c r="A177">
        <v>176</v>
      </c>
      <c r="B177" s="1">
        <v>40719</v>
      </c>
      <c r="C177">
        <v>3</v>
      </c>
      <c r="D177">
        <v>0</v>
      </c>
      <c r="E177">
        <v>6</v>
      </c>
      <c r="F177">
        <v>0</v>
      </c>
      <c r="G177">
        <v>6</v>
      </c>
      <c r="H177">
        <v>0</v>
      </c>
      <c r="I177">
        <v>1</v>
      </c>
      <c r="J177">
        <v>0.69499999999999995</v>
      </c>
      <c r="K177">
        <v>0.64331300000000002</v>
      </c>
      <c r="L177">
        <v>0.48333300000000001</v>
      </c>
      <c r="M177">
        <v>0.20957100000000001</v>
      </c>
      <c r="N177">
        <v>1782</v>
      </c>
      <c r="O177">
        <v>3420</v>
      </c>
      <c r="P177">
        <v>5202</v>
      </c>
      <c r="Q177">
        <f t="shared" si="8"/>
        <v>24.664999999999999</v>
      </c>
      <c r="R177">
        <f t="shared" si="9"/>
        <v>26.458658</v>
      </c>
      <c r="S177">
        <f t="shared" si="10"/>
        <v>48.333300000000001</v>
      </c>
      <c r="T177">
        <f t="shared" si="11"/>
        <v>14.041257</v>
      </c>
      <c r="U177" t="str">
        <f>_xlfn.XLOOKUP(C177,Lookup!$A$3:$A$6,Lookup!$B$3:$B$6)</f>
        <v>Summer</v>
      </c>
      <c r="V177">
        <f>_xlfn.XLOOKUP(D177,Lookup!$D$3:$D$4,Lookup!$E$3:$E$4)</f>
        <v>2011</v>
      </c>
      <c r="W177" t="str">
        <f>_xlfn.XLOOKUP(I177,Lookup!$G$3:$G$6,Lookup!$H$3:$H$6)</f>
        <v>Clear</v>
      </c>
      <c r="X177" t="str">
        <f>_xlfn.XLOOKUP(E177,Lookup!$J$3:$J$14,Lookup!$K$3:$K$14)</f>
        <v>June</v>
      </c>
      <c r="Y177" t="str">
        <f>_xlfn.XLOOKUP(G177,Lookup!$M$3:$M$9,Lookup!$N$3:$N$9)</f>
        <v>Saturday</v>
      </c>
    </row>
    <row r="178" spans="1:25" x14ac:dyDescent="0.3">
      <c r="A178">
        <v>177</v>
      </c>
      <c r="B178" s="1">
        <v>40720</v>
      </c>
      <c r="C178">
        <v>3</v>
      </c>
      <c r="D178">
        <v>0</v>
      </c>
      <c r="E178">
        <v>6</v>
      </c>
      <c r="F178">
        <v>0</v>
      </c>
      <c r="G178">
        <v>0</v>
      </c>
      <c r="H178">
        <v>0</v>
      </c>
      <c r="I178">
        <v>1</v>
      </c>
      <c r="J178">
        <v>0.68</v>
      </c>
      <c r="K178">
        <v>0.637629</v>
      </c>
      <c r="L178">
        <v>0.51333300000000004</v>
      </c>
      <c r="M178">
        <v>9.4533300000000001E-2</v>
      </c>
      <c r="N178">
        <v>1920</v>
      </c>
      <c r="O178">
        <v>3385</v>
      </c>
      <c r="P178">
        <v>5305</v>
      </c>
      <c r="Q178">
        <f t="shared" si="8"/>
        <v>23.96</v>
      </c>
      <c r="R178">
        <f t="shared" si="9"/>
        <v>26.083514000000001</v>
      </c>
      <c r="S178">
        <f t="shared" si="10"/>
        <v>51.333300000000001</v>
      </c>
      <c r="T178">
        <f t="shared" si="11"/>
        <v>6.3337310999999996</v>
      </c>
      <c r="U178" t="str">
        <f>_xlfn.XLOOKUP(C178,Lookup!$A$3:$A$6,Lookup!$B$3:$B$6)</f>
        <v>Summer</v>
      </c>
      <c r="V178">
        <f>_xlfn.XLOOKUP(D178,Lookup!$D$3:$D$4,Lookup!$E$3:$E$4)</f>
        <v>2011</v>
      </c>
      <c r="W178" t="str">
        <f>_xlfn.XLOOKUP(I178,Lookup!$G$3:$G$6,Lookup!$H$3:$H$6)</f>
        <v>Clear</v>
      </c>
      <c r="X178" t="str">
        <f>_xlfn.XLOOKUP(E178,Lookup!$J$3:$J$14,Lookup!$K$3:$K$14)</f>
        <v>June</v>
      </c>
      <c r="Y178" t="str">
        <f>_xlfn.XLOOKUP(G178,Lookup!$M$3:$M$9,Lookup!$N$3:$N$9)</f>
        <v>Sunday</v>
      </c>
    </row>
    <row r="179" spans="1:25" x14ac:dyDescent="0.3">
      <c r="A179">
        <v>178</v>
      </c>
      <c r="B179" s="1">
        <v>40721</v>
      </c>
      <c r="C179">
        <v>3</v>
      </c>
      <c r="D179">
        <v>0</v>
      </c>
      <c r="E179">
        <v>6</v>
      </c>
      <c r="F179">
        <v>0</v>
      </c>
      <c r="G179">
        <v>1</v>
      </c>
      <c r="H179">
        <v>1</v>
      </c>
      <c r="I179">
        <v>2</v>
      </c>
      <c r="J179">
        <v>0.6825</v>
      </c>
      <c r="K179">
        <v>0.63700400000000001</v>
      </c>
      <c r="L179">
        <v>0.65833299999999995</v>
      </c>
      <c r="M179">
        <v>0.107588</v>
      </c>
      <c r="N179">
        <v>854</v>
      </c>
      <c r="O179">
        <v>3854</v>
      </c>
      <c r="P179">
        <v>4708</v>
      </c>
      <c r="Q179">
        <f t="shared" si="8"/>
        <v>24.077500000000001</v>
      </c>
      <c r="R179">
        <f t="shared" si="9"/>
        <v>26.042264000000003</v>
      </c>
      <c r="S179">
        <f t="shared" si="10"/>
        <v>65.833299999999994</v>
      </c>
      <c r="T179">
        <f t="shared" si="11"/>
        <v>7.2083960000000005</v>
      </c>
      <c r="U179" t="str">
        <f>_xlfn.XLOOKUP(C179,Lookup!$A$3:$A$6,Lookup!$B$3:$B$6)</f>
        <v>Summer</v>
      </c>
      <c r="V179">
        <f>_xlfn.XLOOKUP(D179,Lookup!$D$3:$D$4,Lookup!$E$3:$E$4)</f>
        <v>2011</v>
      </c>
      <c r="W179" t="str">
        <f>_xlfn.XLOOKUP(I179,Lookup!$G$3:$G$6,Lookup!$H$3:$H$6)</f>
        <v>Misty/Cloudy</v>
      </c>
      <c r="X179" t="str">
        <f>_xlfn.XLOOKUP(E179,Lookup!$J$3:$J$14,Lookup!$K$3:$K$14)</f>
        <v>June</v>
      </c>
      <c r="Y179" t="str">
        <f>_xlfn.XLOOKUP(G179,Lookup!$M$3:$M$9,Lookup!$N$3:$N$9)</f>
        <v>Monday</v>
      </c>
    </row>
    <row r="180" spans="1:25" x14ac:dyDescent="0.3">
      <c r="A180">
        <v>179</v>
      </c>
      <c r="B180" s="1">
        <v>40722</v>
      </c>
      <c r="C180">
        <v>3</v>
      </c>
      <c r="D180">
        <v>0</v>
      </c>
      <c r="E180">
        <v>6</v>
      </c>
      <c r="F180">
        <v>0</v>
      </c>
      <c r="G180">
        <v>2</v>
      </c>
      <c r="H180">
        <v>1</v>
      </c>
      <c r="I180">
        <v>1</v>
      </c>
      <c r="J180">
        <v>0.74416700000000002</v>
      </c>
      <c r="K180">
        <v>0.69255800000000001</v>
      </c>
      <c r="L180">
        <v>0.63416700000000004</v>
      </c>
      <c r="M180">
        <v>0.14428299999999999</v>
      </c>
      <c r="N180">
        <v>732</v>
      </c>
      <c r="O180">
        <v>3916</v>
      </c>
      <c r="P180">
        <v>4648</v>
      </c>
      <c r="Q180">
        <f t="shared" si="8"/>
        <v>26.975849000000004</v>
      </c>
      <c r="R180">
        <f t="shared" si="9"/>
        <v>29.708827999999997</v>
      </c>
      <c r="S180">
        <f t="shared" si="10"/>
        <v>63.416700000000006</v>
      </c>
      <c r="T180">
        <f t="shared" si="11"/>
        <v>9.6669609999999988</v>
      </c>
      <c r="U180" t="str">
        <f>_xlfn.XLOOKUP(C180,Lookup!$A$3:$A$6,Lookup!$B$3:$B$6)</f>
        <v>Summer</v>
      </c>
      <c r="V180">
        <f>_xlfn.XLOOKUP(D180,Lookup!$D$3:$D$4,Lookup!$E$3:$E$4)</f>
        <v>2011</v>
      </c>
      <c r="W180" t="str">
        <f>_xlfn.XLOOKUP(I180,Lookup!$G$3:$G$6,Lookup!$H$3:$H$6)</f>
        <v>Clear</v>
      </c>
      <c r="X180" t="str">
        <f>_xlfn.XLOOKUP(E180,Lookup!$J$3:$J$14,Lookup!$K$3:$K$14)</f>
        <v>June</v>
      </c>
      <c r="Y180" t="str">
        <f>_xlfn.XLOOKUP(G180,Lookup!$M$3:$M$9,Lookup!$N$3:$N$9)</f>
        <v>Tuesday</v>
      </c>
    </row>
    <row r="181" spans="1:25" x14ac:dyDescent="0.3">
      <c r="A181">
        <v>180</v>
      </c>
      <c r="B181" s="1">
        <v>40723</v>
      </c>
      <c r="C181">
        <v>3</v>
      </c>
      <c r="D181">
        <v>0</v>
      </c>
      <c r="E181">
        <v>6</v>
      </c>
      <c r="F181">
        <v>0</v>
      </c>
      <c r="G181">
        <v>3</v>
      </c>
      <c r="H181">
        <v>1</v>
      </c>
      <c r="I181">
        <v>1</v>
      </c>
      <c r="J181">
        <v>0.72833300000000001</v>
      </c>
      <c r="K181">
        <v>0.65468800000000005</v>
      </c>
      <c r="L181">
        <v>0.497917</v>
      </c>
      <c r="M181">
        <v>0.26182100000000003</v>
      </c>
      <c r="N181">
        <v>848</v>
      </c>
      <c r="O181">
        <v>4377</v>
      </c>
      <c r="P181">
        <v>5225</v>
      </c>
      <c r="Q181">
        <f t="shared" si="8"/>
        <v>26.231650999999999</v>
      </c>
      <c r="R181">
        <f t="shared" si="9"/>
        <v>27.209408000000003</v>
      </c>
      <c r="S181">
        <f t="shared" si="10"/>
        <v>49.791699999999999</v>
      </c>
      <c r="T181">
        <f t="shared" si="11"/>
        <v>17.542007000000002</v>
      </c>
      <c r="U181" t="str">
        <f>_xlfn.XLOOKUP(C181,Lookup!$A$3:$A$6,Lookup!$B$3:$B$6)</f>
        <v>Summer</v>
      </c>
      <c r="V181">
        <f>_xlfn.XLOOKUP(D181,Lookup!$D$3:$D$4,Lookup!$E$3:$E$4)</f>
        <v>2011</v>
      </c>
      <c r="W181" t="str">
        <f>_xlfn.XLOOKUP(I181,Lookup!$G$3:$G$6,Lookup!$H$3:$H$6)</f>
        <v>Clear</v>
      </c>
      <c r="X181" t="str">
        <f>_xlfn.XLOOKUP(E181,Lookup!$J$3:$J$14,Lookup!$K$3:$K$14)</f>
        <v>June</v>
      </c>
      <c r="Y181" t="str">
        <f>_xlfn.XLOOKUP(G181,Lookup!$M$3:$M$9,Lookup!$N$3:$N$9)</f>
        <v>Wednesday</v>
      </c>
    </row>
    <row r="182" spans="1:25" x14ac:dyDescent="0.3">
      <c r="A182">
        <v>181</v>
      </c>
      <c r="B182" s="1">
        <v>40724</v>
      </c>
      <c r="C182">
        <v>3</v>
      </c>
      <c r="D182">
        <v>0</v>
      </c>
      <c r="E182">
        <v>6</v>
      </c>
      <c r="F182">
        <v>0</v>
      </c>
      <c r="G182">
        <v>4</v>
      </c>
      <c r="H182">
        <v>1</v>
      </c>
      <c r="I182">
        <v>1</v>
      </c>
      <c r="J182">
        <v>0.69666700000000004</v>
      </c>
      <c r="K182">
        <v>0.63700800000000002</v>
      </c>
      <c r="L182">
        <v>0.43416700000000003</v>
      </c>
      <c r="M182">
        <v>0.185312</v>
      </c>
      <c r="N182">
        <v>1027</v>
      </c>
      <c r="O182">
        <v>4488</v>
      </c>
      <c r="P182">
        <v>5515</v>
      </c>
      <c r="Q182">
        <f t="shared" si="8"/>
        <v>24.743349000000002</v>
      </c>
      <c r="R182">
        <f t="shared" si="9"/>
        <v>26.042528000000004</v>
      </c>
      <c r="S182">
        <f t="shared" si="10"/>
        <v>43.416700000000006</v>
      </c>
      <c r="T182">
        <f t="shared" si="11"/>
        <v>12.415904000000001</v>
      </c>
      <c r="U182" t="str">
        <f>_xlfn.XLOOKUP(C182,Lookup!$A$3:$A$6,Lookup!$B$3:$B$6)</f>
        <v>Summer</v>
      </c>
      <c r="V182">
        <f>_xlfn.XLOOKUP(D182,Lookup!$D$3:$D$4,Lookup!$E$3:$E$4)</f>
        <v>2011</v>
      </c>
      <c r="W182" t="str">
        <f>_xlfn.XLOOKUP(I182,Lookup!$G$3:$G$6,Lookup!$H$3:$H$6)</f>
        <v>Clear</v>
      </c>
      <c r="X182" t="str">
        <f>_xlfn.XLOOKUP(E182,Lookup!$J$3:$J$14,Lookup!$K$3:$K$14)</f>
        <v>June</v>
      </c>
      <c r="Y182" t="str">
        <f>_xlfn.XLOOKUP(G182,Lookup!$M$3:$M$9,Lookup!$N$3:$N$9)</f>
        <v>Thursday</v>
      </c>
    </row>
    <row r="183" spans="1:25" x14ac:dyDescent="0.3">
      <c r="A183">
        <v>182</v>
      </c>
      <c r="B183" s="1">
        <v>40725</v>
      </c>
      <c r="C183">
        <v>3</v>
      </c>
      <c r="D183">
        <v>0</v>
      </c>
      <c r="E183">
        <v>7</v>
      </c>
      <c r="F183">
        <v>0</v>
      </c>
      <c r="G183">
        <v>5</v>
      </c>
      <c r="H183">
        <v>1</v>
      </c>
      <c r="I183">
        <v>1</v>
      </c>
      <c r="J183">
        <v>0.72250000000000003</v>
      </c>
      <c r="K183">
        <v>0.65216200000000002</v>
      </c>
      <c r="L183">
        <v>0.39624999999999999</v>
      </c>
      <c r="M183">
        <v>0.102608</v>
      </c>
      <c r="N183">
        <v>1246</v>
      </c>
      <c r="O183">
        <v>4116</v>
      </c>
      <c r="P183">
        <v>5362</v>
      </c>
      <c r="Q183">
        <f t="shared" si="8"/>
        <v>25.957500000000003</v>
      </c>
      <c r="R183">
        <f t="shared" si="9"/>
        <v>27.042692000000002</v>
      </c>
      <c r="S183">
        <f t="shared" si="10"/>
        <v>39.625</v>
      </c>
      <c r="T183">
        <f t="shared" si="11"/>
        <v>6.8747360000000004</v>
      </c>
      <c r="U183" t="str">
        <f>_xlfn.XLOOKUP(C183,Lookup!$A$3:$A$6,Lookup!$B$3:$B$6)</f>
        <v>Summer</v>
      </c>
      <c r="V183">
        <f>_xlfn.XLOOKUP(D183,Lookup!$D$3:$D$4,Lookup!$E$3:$E$4)</f>
        <v>2011</v>
      </c>
      <c r="W183" t="str">
        <f>_xlfn.XLOOKUP(I183,Lookup!$G$3:$G$6,Lookup!$H$3:$H$6)</f>
        <v>Clear</v>
      </c>
      <c r="X183" t="str">
        <f>_xlfn.XLOOKUP(E183,Lookup!$J$3:$J$14,Lookup!$K$3:$K$14)</f>
        <v>July</v>
      </c>
      <c r="Y183" t="str">
        <f>_xlfn.XLOOKUP(G183,Lookup!$M$3:$M$9,Lookup!$N$3:$N$9)</f>
        <v>Friday</v>
      </c>
    </row>
    <row r="184" spans="1:25" x14ac:dyDescent="0.3">
      <c r="A184">
        <v>183</v>
      </c>
      <c r="B184" s="1">
        <v>40726</v>
      </c>
      <c r="C184">
        <v>3</v>
      </c>
      <c r="D184">
        <v>0</v>
      </c>
      <c r="E184">
        <v>7</v>
      </c>
      <c r="F184">
        <v>0</v>
      </c>
      <c r="G184">
        <v>6</v>
      </c>
      <c r="H184">
        <v>0</v>
      </c>
      <c r="I184">
        <v>1</v>
      </c>
      <c r="J184">
        <v>0.73833300000000002</v>
      </c>
      <c r="K184">
        <v>0.66730800000000001</v>
      </c>
      <c r="L184">
        <v>0.44458300000000001</v>
      </c>
      <c r="M184">
        <v>0.115062</v>
      </c>
      <c r="N184">
        <v>2204</v>
      </c>
      <c r="O184">
        <v>2915</v>
      </c>
      <c r="P184">
        <v>5119</v>
      </c>
      <c r="Q184">
        <f t="shared" si="8"/>
        <v>26.701650999999998</v>
      </c>
      <c r="R184">
        <f t="shared" si="9"/>
        <v>28.042327999999998</v>
      </c>
      <c r="S184">
        <f t="shared" si="10"/>
        <v>44.458300000000001</v>
      </c>
      <c r="T184">
        <f t="shared" si="11"/>
        <v>7.7091539999999998</v>
      </c>
      <c r="U184" t="str">
        <f>_xlfn.XLOOKUP(C184,Lookup!$A$3:$A$6,Lookup!$B$3:$B$6)</f>
        <v>Summer</v>
      </c>
      <c r="V184">
        <f>_xlfn.XLOOKUP(D184,Lookup!$D$3:$D$4,Lookup!$E$3:$E$4)</f>
        <v>2011</v>
      </c>
      <c r="W184" t="str">
        <f>_xlfn.XLOOKUP(I184,Lookup!$G$3:$G$6,Lookup!$H$3:$H$6)</f>
        <v>Clear</v>
      </c>
      <c r="X184" t="str">
        <f>_xlfn.XLOOKUP(E184,Lookup!$J$3:$J$14,Lookup!$K$3:$K$14)</f>
        <v>July</v>
      </c>
      <c r="Y184" t="str">
        <f>_xlfn.XLOOKUP(G184,Lookup!$M$3:$M$9,Lookup!$N$3:$N$9)</f>
        <v>Saturday</v>
      </c>
    </row>
    <row r="185" spans="1:25" x14ac:dyDescent="0.3">
      <c r="A185">
        <v>184</v>
      </c>
      <c r="B185" s="1">
        <v>40727</v>
      </c>
      <c r="C185">
        <v>3</v>
      </c>
      <c r="D185">
        <v>0</v>
      </c>
      <c r="E185">
        <v>7</v>
      </c>
      <c r="F185">
        <v>0</v>
      </c>
      <c r="G185">
        <v>0</v>
      </c>
      <c r="H185">
        <v>0</v>
      </c>
      <c r="I185">
        <v>2</v>
      </c>
      <c r="J185">
        <v>0.71666700000000005</v>
      </c>
      <c r="K185">
        <v>0.66857500000000003</v>
      </c>
      <c r="L185">
        <v>0.6825</v>
      </c>
      <c r="M185">
        <v>0.22885800000000001</v>
      </c>
      <c r="N185">
        <v>2282</v>
      </c>
      <c r="O185">
        <v>2367</v>
      </c>
      <c r="P185">
        <v>4649</v>
      </c>
      <c r="Q185">
        <f t="shared" si="8"/>
        <v>25.683349</v>
      </c>
      <c r="R185">
        <f t="shared" si="9"/>
        <v>28.125950000000003</v>
      </c>
      <c r="S185">
        <f t="shared" si="10"/>
        <v>68.25</v>
      </c>
      <c r="T185">
        <f t="shared" si="11"/>
        <v>15.333486000000001</v>
      </c>
      <c r="U185" t="str">
        <f>_xlfn.XLOOKUP(C185,Lookup!$A$3:$A$6,Lookup!$B$3:$B$6)</f>
        <v>Summer</v>
      </c>
      <c r="V185">
        <f>_xlfn.XLOOKUP(D185,Lookup!$D$3:$D$4,Lookup!$E$3:$E$4)</f>
        <v>2011</v>
      </c>
      <c r="W185" t="str">
        <f>_xlfn.XLOOKUP(I185,Lookup!$G$3:$G$6,Lookup!$H$3:$H$6)</f>
        <v>Misty/Cloudy</v>
      </c>
      <c r="X185" t="str">
        <f>_xlfn.XLOOKUP(E185,Lookup!$J$3:$J$14,Lookup!$K$3:$K$14)</f>
        <v>July</v>
      </c>
      <c r="Y185" t="str">
        <f>_xlfn.XLOOKUP(G185,Lookup!$M$3:$M$9,Lookup!$N$3:$N$9)</f>
        <v>Sunday</v>
      </c>
    </row>
    <row r="186" spans="1:25" x14ac:dyDescent="0.3">
      <c r="A186">
        <v>185</v>
      </c>
      <c r="B186" s="1">
        <v>40728</v>
      </c>
      <c r="C186">
        <v>3</v>
      </c>
      <c r="D186">
        <v>0</v>
      </c>
      <c r="E186">
        <v>7</v>
      </c>
      <c r="F186">
        <v>1</v>
      </c>
      <c r="G186">
        <v>1</v>
      </c>
      <c r="H186">
        <v>0</v>
      </c>
      <c r="I186">
        <v>2</v>
      </c>
      <c r="J186">
        <v>0.72666699999999995</v>
      </c>
      <c r="K186">
        <v>0.66541700000000004</v>
      </c>
      <c r="L186">
        <v>0.63791699999999996</v>
      </c>
      <c r="M186">
        <v>8.1479200000000002E-2</v>
      </c>
      <c r="N186">
        <v>3065</v>
      </c>
      <c r="O186">
        <v>2978</v>
      </c>
      <c r="P186">
        <v>6043</v>
      </c>
      <c r="Q186">
        <f t="shared" si="8"/>
        <v>26.153348999999999</v>
      </c>
      <c r="R186">
        <f t="shared" si="9"/>
        <v>27.917522000000005</v>
      </c>
      <c r="S186">
        <f t="shared" si="10"/>
        <v>63.791699999999999</v>
      </c>
      <c r="T186">
        <f t="shared" si="11"/>
        <v>5.4591064000000005</v>
      </c>
      <c r="U186" t="str">
        <f>_xlfn.XLOOKUP(C186,Lookup!$A$3:$A$6,Lookup!$B$3:$B$6)</f>
        <v>Summer</v>
      </c>
      <c r="V186">
        <f>_xlfn.XLOOKUP(D186,Lookup!$D$3:$D$4,Lookup!$E$3:$E$4)</f>
        <v>2011</v>
      </c>
      <c r="W186" t="str">
        <f>_xlfn.XLOOKUP(I186,Lookup!$G$3:$G$6,Lookup!$H$3:$H$6)</f>
        <v>Misty/Cloudy</v>
      </c>
      <c r="X186" t="str">
        <f>_xlfn.XLOOKUP(E186,Lookup!$J$3:$J$14,Lookup!$K$3:$K$14)</f>
        <v>July</v>
      </c>
      <c r="Y186" t="str">
        <f>_xlfn.XLOOKUP(G186,Lookup!$M$3:$M$9,Lookup!$N$3:$N$9)</f>
        <v>Monday</v>
      </c>
    </row>
    <row r="187" spans="1:25" x14ac:dyDescent="0.3">
      <c r="A187">
        <v>186</v>
      </c>
      <c r="B187" s="1">
        <v>40729</v>
      </c>
      <c r="C187">
        <v>3</v>
      </c>
      <c r="D187">
        <v>0</v>
      </c>
      <c r="E187">
        <v>7</v>
      </c>
      <c r="F187">
        <v>0</v>
      </c>
      <c r="G187">
        <v>2</v>
      </c>
      <c r="H187">
        <v>1</v>
      </c>
      <c r="I187">
        <v>1</v>
      </c>
      <c r="J187">
        <v>0.74666699999999997</v>
      </c>
      <c r="K187">
        <v>0.69633800000000001</v>
      </c>
      <c r="L187">
        <v>0.59041699999999997</v>
      </c>
      <c r="M187">
        <v>0.12625800000000001</v>
      </c>
      <c r="N187">
        <v>1031</v>
      </c>
      <c r="O187">
        <v>3634</v>
      </c>
      <c r="P187">
        <v>4665</v>
      </c>
      <c r="Q187">
        <f t="shared" si="8"/>
        <v>27.093348999999996</v>
      </c>
      <c r="R187">
        <f t="shared" si="9"/>
        <v>29.958308000000002</v>
      </c>
      <c r="S187">
        <f t="shared" si="10"/>
        <v>59.041699999999999</v>
      </c>
      <c r="T187">
        <f t="shared" si="11"/>
        <v>8.4592860000000005</v>
      </c>
      <c r="U187" t="str">
        <f>_xlfn.XLOOKUP(C187,Lookup!$A$3:$A$6,Lookup!$B$3:$B$6)</f>
        <v>Summer</v>
      </c>
      <c r="V187">
        <f>_xlfn.XLOOKUP(D187,Lookup!$D$3:$D$4,Lookup!$E$3:$E$4)</f>
        <v>2011</v>
      </c>
      <c r="W187" t="str">
        <f>_xlfn.XLOOKUP(I187,Lookup!$G$3:$G$6,Lookup!$H$3:$H$6)</f>
        <v>Clear</v>
      </c>
      <c r="X187" t="str">
        <f>_xlfn.XLOOKUP(E187,Lookup!$J$3:$J$14,Lookup!$K$3:$K$14)</f>
        <v>July</v>
      </c>
      <c r="Y187" t="str">
        <f>_xlfn.XLOOKUP(G187,Lookup!$M$3:$M$9,Lookup!$N$3:$N$9)</f>
        <v>Tuesday</v>
      </c>
    </row>
    <row r="188" spans="1:25" x14ac:dyDescent="0.3">
      <c r="A188">
        <v>187</v>
      </c>
      <c r="B188" s="1">
        <v>40730</v>
      </c>
      <c r="C188">
        <v>3</v>
      </c>
      <c r="D188">
        <v>0</v>
      </c>
      <c r="E188">
        <v>7</v>
      </c>
      <c r="F188">
        <v>0</v>
      </c>
      <c r="G188">
        <v>3</v>
      </c>
      <c r="H188">
        <v>1</v>
      </c>
      <c r="I188">
        <v>1</v>
      </c>
      <c r="J188">
        <v>0.72</v>
      </c>
      <c r="K188">
        <v>0.68563300000000005</v>
      </c>
      <c r="L188">
        <v>0.74333300000000002</v>
      </c>
      <c r="M188">
        <v>0.14988299999999999</v>
      </c>
      <c r="N188">
        <v>784</v>
      </c>
      <c r="O188">
        <v>3845</v>
      </c>
      <c r="P188">
        <v>4629</v>
      </c>
      <c r="Q188">
        <f t="shared" si="8"/>
        <v>25.839999999999996</v>
      </c>
      <c r="R188">
        <f t="shared" si="9"/>
        <v>29.251778000000002</v>
      </c>
      <c r="S188">
        <f t="shared" si="10"/>
        <v>74.333300000000008</v>
      </c>
      <c r="T188">
        <f t="shared" si="11"/>
        <v>10.042161</v>
      </c>
      <c r="U188" t="str">
        <f>_xlfn.XLOOKUP(C188,Lookup!$A$3:$A$6,Lookup!$B$3:$B$6)</f>
        <v>Summer</v>
      </c>
      <c r="V188">
        <f>_xlfn.XLOOKUP(D188,Lookup!$D$3:$D$4,Lookup!$E$3:$E$4)</f>
        <v>2011</v>
      </c>
      <c r="W188" t="str">
        <f>_xlfn.XLOOKUP(I188,Lookup!$G$3:$G$6,Lookup!$H$3:$H$6)</f>
        <v>Clear</v>
      </c>
      <c r="X188" t="str">
        <f>_xlfn.XLOOKUP(E188,Lookup!$J$3:$J$14,Lookup!$K$3:$K$14)</f>
        <v>July</v>
      </c>
      <c r="Y188" t="str">
        <f>_xlfn.XLOOKUP(G188,Lookup!$M$3:$M$9,Lookup!$N$3:$N$9)</f>
        <v>Wednesday</v>
      </c>
    </row>
    <row r="189" spans="1:25" x14ac:dyDescent="0.3">
      <c r="A189">
        <v>188</v>
      </c>
      <c r="B189" s="1">
        <v>40731</v>
      </c>
      <c r="C189">
        <v>3</v>
      </c>
      <c r="D189">
        <v>0</v>
      </c>
      <c r="E189">
        <v>7</v>
      </c>
      <c r="F189">
        <v>0</v>
      </c>
      <c r="G189">
        <v>4</v>
      </c>
      <c r="H189">
        <v>1</v>
      </c>
      <c r="I189">
        <v>1</v>
      </c>
      <c r="J189">
        <v>0.75</v>
      </c>
      <c r="K189">
        <v>0.68687100000000001</v>
      </c>
      <c r="L189">
        <v>0.65125</v>
      </c>
      <c r="M189">
        <v>0.15920000000000001</v>
      </c>
      <c r="N189">
        <v>754</v>
      </c>
      <c r="O189">
        <v>3838</v>
      </c>
      <c r="P189">
        <v>4592</v>
      </c>
      <c r="Q189">
        <f t="shared" si="8"/>
        <v>27.25</v>
      </c>
      <c r="R189">
        <f t="shared" si="9"/>
        <v>29.333486000000001</v>
      </c>
      <c r="S189">
        <f t="shared" si="10"/>
        <v>65.125</v>
      </c>
      <c r="T189">
        <f t="shared" si="11"/>
        <v>10.666400000000001</v>
      </c>
      <c r="U189" t="str">
        <f>_xlfn.XLOOKUP(C189,Lookup!$A$3:$A$6,Lookup!$B$3:$B$6)</f>
        <v>Summer</v>
      </c>
      <c r="V189">
        <f>_xlfn.XLOOKUP(D189,Lookup!$D$3:$D$4,Lookup!$E$3:$E$4)</f>
        <v>2011</v>
      </c>
      <c r="W189" t="str">
        <f>_xlfn.XLOOKUP(I189,Lookup!$G$3:$G$6,Lookup!$H$3:$H$6)</f>
        <v>Clear</v>
      </c>
      <c r="X189" t="str">
        <f>_xlfn.XLOOKUP(E189,Lookup!$J$3:$J$14,Lookup!$K$3:$K$14)</f>
        <v>July</v>
      </c>
      <c r="Y189" t="str">
        <f>_xlfn.XLOOKUP(G189,Lookup!$M$3:$M$9,Lookup!$N$3:$N$9)</f>
        <v>Thursday</v>
      </c>
    </row>
    <row r="190" spans="1:25" x14ac:dyDescent="0.3">
      <c r="A190">
        <v>189</v>
      </c>
      <c r="B190" s="1">
        <v>40732</v>
      </c>
      <c r="C190">
        <v>3</v>
      </c>
      <c r="D190">
        <v>0</v>
      </c>
      <c r="E190">
        <v>7</v>
      </c>
      <c r="F190">
        <v>0</v>
      </c>
      <c r="G190">
        <v>5</v>
      </c>
      <c r="H190">
        <v>1</v>
      </c>
      <c r="I190">
        <v>2</v>
      </c>
      <c r="J190">
        <v>0.70916699999999999</v>
      </c>
      <c r="K190">
        <v>0.67048300000000005</v>
      </c>
      <c r="L190">
        <v>0.75791699999999995</v>
      </c>
      <c r="M190">
        <v>0.225129</v>
      </c>
      <c r="N190">
        <v>692</v>
      </c>
      <c r="O190">
        <v>3348</v>
      </c>
      <c r="P190">
        <v>4040</v>
      </c>
      <c r="Q190">
        <f t="shared" si="8"/>
        <v>25.330849000000001</v>
      </c>
      <c r="R190">
        <f t="shared" si="9"/>
        <v>28.251878000000005</v>
      </c>
      <c r="S190">
        <f t="shared" si="10"/>
        <v>75.791699999999992</v>
      </c>
      <c r="T190">
        <f t="shared" si="11"/>
        <v>15.083643</v>
      </c>
      <c r="U190" t="str">
        <f>_xlfn.XLOOKUP(C190,Lookup!$A$3:$A$6,Lookup!$B$3:$B$6)</f>
        <v>Summer</v>
      </c>
      <c r="V190">
        <f>_xlfn.XLOOKUP(D190,Lookup!$D$3:$D$4,Lookup!$E$3:$E$4)</f>
        <v>2011</v>
      </c>
      <c r="W190" t="str">
        <f>_xlfn.XLOOKUP(I190,Lookup!$G$3:$G$6,Lookup!$H$3:$H$6)</f>
        <v>Misty/Cloudy</v>
      </c>
      <c r="X190" t="str">
        <f>_xlfn.XLOOKUP(E190,Lookup!$J$3:$J$14,Lookup!$K$3:$K$14)</f>
        <v>July</v>
      </c>
      <c r="Y190" t="str">
        <f>_xlfn.XLOOKUP(G190,Lookup!$M$3:$M$9,Lookup!$N$3:$N$9)</f>
        <v>Friday</v>
      </c>
    </row>
    <row r="191" spans="1:25" x14ac:dyDescent="0.3">
      <c r="A191">
        <v>190</v>
      </c>
      <c r="B191" s="1">
        <v>40733</v>
      </c>
      <c r="C191">
        <v>3</v>
      </c>
      <c r="D191">
        <v>0</v>
      </c>
      <c r="E191">
        <v>7</v>
      </c>
      <c r="F191">
        <v>0</v>
      </c>
      <c r="G191">
        <v>6</v>
      </c>
      <c r="H191">
        <v>0</v>
      </c>
      <c r="I191">
        <v>1</v>
      </c>
      <c r="J191">
        <v>0.73333300000000001</v>
      </c>
      <c r="K191">
        <v>0.66415800000000003</v>
      </c>
      <c r="L191">
        <v>0.60916700000000001</v>
      </c>
      <c r="M191">
        <v>0.16791200000000001</v>
      </c>
      <c r="N191">
        <v>1988</v>
      </c>
      <c r="O191">
        <v>3348</v>
      </c>
      <c r="P191">
        <v>5336</v>
      </c>
      <c r="Q191">
        <f t="shared" si="8"/>
        <v>26.466650999999999</v>
      </c>
      <c r="R191">
        <f t="shared" si="9"/>
        <v>27.834428000000003</v>
      </c>
      <c r="S191">
        <f t="shared" si="10"/>
        <v>60.916699999999999</v>
      </c>
      <c r="T191">
        <f t="shared" si="11"/>
        <v>11.250104</v>
      </c>
      <c r="U191" t="str">
        <f>_xlfn.XLOOKUP(C191,Lookup!$A$3:$A$6,Lookup!$B$3:$B$6)</f>
        <v>Summer</v>
      </c>
      <c r="V191">
        <f>_xlfn.XLOOKUP(D191,Lookup!$D$3:$D$4,Lookup!$E$3:$E$4)</f>
        <v>2011</v>
      </c>
      <c r="W191" t="str">
        <f>_xlfn.XLOOKUP(I191,Lookup!$G$3:$G$6,Lookup!$H$3:$H$6)</f>
        <v>Clear</v>
      </c>
      <c r="X191" t="str">
        <f>_xlfn.XLOOKUP(E191,Lookup!$J$3:$J$14,Lookup!$K$3:$K$14)</f>
        <v>July</v>
      </c>
      <c r="Y191" t="str">
        <f>_xlfn.XLOOKUP(G191,Lookup!$M$3:$M$9,Lookup!$N$3:$N$9)</f>
        <v>Saturday</v>
      </c>
    </row>
    <row r="192" spans="1:25" x14ac:dyDescent="0.3">
      <c r="A192">
        <v>191</v>
      </c>
      <c r="B192" s="1">
        <v>40734</v>
      </c>
      <c r="C192">
        <v>3</v>
      </c>
      <c r="D192">
        <v>0</v>
      </c>
      <c r="E192">
        <v>7</v>
      </c>
      <c r="F192">
        <v>0</v>
      </c>
      <c r="G192">
        <v>0</v>
      </c>
      <c r="H192">
        <v>0</v>
      </c>
      <c r="I192">
        <v>1</v>
      </c>
      <c r="J192">
        <v>0.74750000000000005</v>
      </c>
      <c r="K192">
        <v>0.690025</v>
      </c>
      <c r="L192">
        <v>0.57833299999999999</v>
      </c>
      <c r="M192">
        <v>0.183471</v>
      </c>
      <c r="N192">
        <v>1743</v>
      </c>
      <c r="O192">
        <v>3138</v>
      </c>
      <c r="P192">
        <v>4881</v>
      </c>
      <c r="Q192">
        <f t="shared" si="8"/>
        <v>27.1325</v>
      </c>
      <c r="R192">
        <f t="shared" si="9"/>
        <v>29.541649999999997</v>
      </c>
      <c r="S192">
        <f t="shared" si="10"/>
        <v>57.833300000000001</v>
      </c>
      <c r="T192">
        <f t="shared" si="11"/>
        <v>12.292557</v>
      </c>
      <c r="U192" t="str">
        <f>_xlfn.XLOOKUP(C192,Lookup!$A$3:$A$6,Lookup!$B$3:$B$6)</f>
        <v>Summer</v>
      </c>
      <c r="V192">
        <f>_xlfn.XLOOKUP(D192,Lookup!$D$3:$D$4,Lookup!$E$3:$E$4)</f>
        <v>2011</v>
      </c>
      <c r="W192" t="str">
        <f>_xlfn.XLOOKUP(I192,Lookup!$G$3:$G$6,Lookup!$H$3:$H$6)</f>
        <v>Clear</v>
      </c>
      <c r="X192" t="str">
        <f>_xlfn.XLOOKUP(E192,Lookup!$J$3:$J$14,Lookup!$K$3:$K$14)</f>
        <v>July</v>
      </c>
      <c r="Y192" t="str">
        <f>_xlfn.XLOOKUP(G192,Lookup!$M$3:$M$9,Lookup!$N$3:$N$9)</f>
        <v>Sunday</v>
      </c>
    </row>
    <row r="193" spans="1:25" x14ac:dyDescent="0.3">
      <c r="A193">
        <v>192</v>
      </c>
      <c r="B193" s="1">
        <v>40735</v>
      </c>
      <c r="C193">
        <v>3</v>
      </c>
      <c r="D193">
        <v>0</v>
      </c>
      <c r="E193">
        <v>7</v>
      </c>
      <c r="F193">
        <v>0</v>
      </c>
      <c r="G193">
        <v>1</v>
      </c>
      <c r="H193">
        <v>1</v>
      </c>
      <c r="I193">
        <v>1</v>
      </c>
      <c r="J193">
        <v>0.76249999999999996</v>
      </c>
      <c r="K193">
        <v>0.72980400000000001</v>
      </c>
      <c r="L193">
        <v>0.63583299999999998</v>
      </c>
      <c r="M193">
        <v>0.282337</v>
      </c>
      <c r="N193">
        <v>723</v>
      </c>
      <c r="O193">
        <v>3363</v>
      </c>
      <c r="P193">
        <v>4086</v>
      </c>
      <c r="Q193">
        <f t="shared" si="8"/>
        <v>27.837499999999999</v>
      </c>
      <c r="R193">
        <f t="shared" si="9"/>
        <v>32.167064000000003</v>
      </c>
      <c r="S193">
        <f t="shared" si="10"/>
        <v>63.583300000000001</v>
      </c>
      <c r="T193">
        <f t="shared" si="11"/>
        <v>18.916578999999999</v>
      </c>
      <c r="U193" t="str">
        <f>_xlfn.XLOOKUP(C193,Lookup!$A$3:$A$6,Lookup!$B$3:$B$6)</f>
        <v>Summer</v>
      </c>
      <c r="V193">
        <f>_xlfn.XLOOKUP(D193,Lookup!$D$3:$D$4,Lookup!$E$3:$E$4)</f>
        <v>2011</v>
      </c>
      <c r="W193" t="str">
        <f>_xlfn.XLOOKUP(I193,Lookup!$G$3:$G$6,Lookup!$H$3:$H$6)</f>
        <v>Clear</v>
      </c>
      <c r="X193" t="str">
        <f>_xlfn.XLOOKUP(E193,Lookup!$J$3:$J$14,Lookup!$K$3:$K$14)</f>
        <v>July</v>
      </c>
      <c r="Y193" t="str">
        <f>_xlfn.XLOOKUP(G193,Lookup!$M$3:$M$9,Lookup!$N$3:$N$9)</f>
        <v>Monday</v>
      </c>
    </row>
    <row r="194" spans="1:25" x14ac:dyDescent="0.3">
      <c r="A194">
        <v>193</v>
      </c>
      <c r="B194" s="1">
        <v>40736</v>
      </c>
      <c r="C194">
        <v>3</v>
      </c>
      <c r="D194">
        <v>0</v>
      </c>
      <c r="E194">
        <v>7</v>
      </c>
      <c r="F194">
        <v>0</v>
      </c>
      <c r="G194">
        <v>2</v>
      </c>
      <c r="H194">
        <v>1</v>
      </c>
      <c r="I194">
        <v>1</v>
      </c>
      <c r="J194">
        <v>0.79416699999999996</v>
      </c>
      <c r="K194">
        <v>0.73927500000000002</v>
      </c>
      <c r="L194">
        <v>0.55916699999999997</v>
      </c>
      <c r="M194">
        <v>0.20025399999999999</v>
      </c>
      <c r="N194">
        <v>662</v>
      </c>
      <c r="O194">
        <v>3596</v>
      </c>
      <c r="P194">
        <v>4258</v>
      </c>
      <c r="Q194">
        <f t="shared" si="8"/>
        <v>29.325848999999998</v>
      </c>
      <c r="R194">
        <f t="shared" si="9"/>
        <v>32.792149999999999</v>
      </c>
      <c r="S194">
        <f t="shared" si="10"/>
        <v>55.916699999999999</v>
      </c>
      <c r="T194">
        <f t="shared" si="11"/>
        <v>13.417017999999999</v>
      </c>
      <c r="U194" t="str">
        <f>_xlfn.XLOOKUP(C194,Lookup!$A$3:$A$6,Lookup!$B$3:$B$6)</f>
        <v>Summer</v>
      </c>
      <c r="V194">
        <f>_xlfn.XLOOKUP(D194,Lookup!$D$3:$D$4,Lookup!$E$3:$E$4)</f>
        <v>2011</v>
      </c>
      <c r="W194" t="str">
        <f>_xlfn.XLOOKUP(I194,Lookup!$G$3:$G$6,Lookup!$H$3:$H$6)</f>
        <v>Clear</v>
      </c>
      <c r="X194" t="str">
        <f>_xlfn.XLOOKUP(E194,Lookup!$J$3:$J$14,Lookup!$K$3:$K$14)</f>
        <v>July</v>
      </c>
      <c r="Y194" t="str">
        <f>_xlfn.XLOOKUP(G194,Lookup!$M$3:$M$9,Lookup!$N$3:$N$9)</f>
        <v>Tuesday</v>
      </c>
    </row>
    <row r="195" spans="1:25" x14ac:dyDescent="0.3">
      <c r="A195">
        <v>194</v>
      </c>
      <c r="B195" s="1">
        <v>40737</v>
      </c>
      <c r="C195">
        <v>3</v>
      </c>
      <c r="D195">
        <v>0</v>
      </c>
      <c r="E195">
        <v>7</v>
      </c>
      <c r="F195">
        <v>0</v>
      </c>
      <c r="G195">
        <v>3</v>
      </c>
      <c r="H195">
        <v>1</v>
      </c>
      <c r="I195">
        <v>1</v>
      </c>
      <c r="J195">
        <v>0.74666699999999997</v>
      </c>
      <c r="K195">
        <v>0.68940400000000002</v>
      </c>
      <c r="L195">
        <v>0.63166699999999998</v>
      </c>
      <c r="M195">
        <v>0.14613300000000001</v>
      </c>
      <c r="N195">
        <v>748</v>
      </c>
      <c r="O195">
        <v>3594</v>
      </c>
      <c r="P195">
        <v>4342</v>
      </c>
      <c r="Q195">
        <f t="shared" ref="Q195:Q258" si="12">J195*47-8</f>
        <v>27.093348999999996</v>
      </c>
      <c r="R195">
        <f t="shared" ref="R195:R258" si="13">K195*66-16</f>
        <v>29.500664</v>
      </c>
      <c r="S195">
        <f t="shared" ref="S195:S258" si="14">L195*100</f>
        <v>63.166699999999999</v>
      </c>
      <c r="T195">
        <f t="shared" ref="T195:T258" si="15">M195*67</f>
        <v>9.7909110000000013</v>
      </c>
      <c r="U195" t="str">
        <f>_xlfn.XLOOKUP(C195,Lookup!$A$3:$A$6,Lookup!$B$3:$B$6)</f>
        <v>Summer</v>
      </c>
      <c r="V195">
        <f>_xlfn.XLOOKUP(D195,Lookup!$D$3:$D$4,Lookup!$E$3:$E$4)</f>
        <v>2011</v>
      </c>
      <c r="W195" t="str">
        <f>_xlfn.XLOOKUP(I195,Lookup!$G$3:$G$6,Lookup!$H$3:$H$6)</f>
        <v>Clear</v>
      </c>
      <c r="X195" t="str">
        <f>_xlfn.XLOOKUP(E195,Lookup!$J$3:$J$14,Lookup!$K$3:$K$14)</f>
        <v>July</v>
      </c>
      <c r="Y195" t="str">
        <f>_xlfn.XLOOKUP(G195,Lookup!$M$3:$M$9,Lookup!$N$3:$N$9)</f>
        <v>Wednesday</v>
      </c>
    </row>
    <row r="196" spans="1:25" x14ac:dyDescent="0.3">
      <c r="A196">
        <v>195</v>
      </c>
      <c r="B196" s="1">
        <v>40738</v>
      </c>
      <c r="C196">
        <v>3</v>
      </c>
      <c r="D196">
        <v>0</v>
      </c>
      <c r="E196">
        <v>7</v>
      </c>
      <c r="F196">
        <v>0</v>
      </c>
      <c r="G196">
        <v>4</v>
      </c>
      <c r="H196">
        <v>1</v>
      </c>
      <c r="I196">
        <v>1</v>
      </c>
      <c r="J196">
        <v>0.68083300000000002</v>
      </c>
      <c r="K196">
        <v>0.635104</v>
      </c>
      <c r="L196">
        <v>0.47625000000000001</v>
      </c>
      <c r="M196">
        <v>0.24066699999999999</v>
      </c>
      <c r="N196">
        <v>888</v>
      </c>
      <c r="O196">
        <v>4196</v>
      </c>
      <c r="P196">
        <v>5084</v>
      </c>
      <c r="Q196">
        <f t="shared" si="12"/>
        <v>23.999151000000001</v>
      </c>
      <c r="R196">
        <f t="shared" si="13"/>
        <v>25.916863999999997</v>
      </c>
      <c r="S196">
        <f t="shared" si="14"/>
        <v>47.625</v>
      </c>
      <c r="T196">
        <f t="shared" si="15"/>
        <v>16.124689</v>
      </c>
      <c r="U196" t="str">
        <f>_xlfn.XLOOKUP(C196,Lookup!$A$3:$A$6,Lookup!$B$3:$B$6)</f>
        <v>Summer</v>
      </c>
      <c r="V196">
        <f>_xlfn.XLOOKUP(D196,Lookup!$D$3:$D$4,Lookup!$E$3:$E$4)</f>
        <v>2011</v>
      </c>
      <c r="W196" t="str">
        <f>_xlfn.XLOOKUP(I196,Lookup!$G$3:$G$6,Lookup!$H$3:$H$6)</f>
        <v>Clear</v>
      </c>
      <c r="X196" t="str">
        <f>_xlfn.XLOOKUP(E196,Lookup!$J$3:$J$14,Lookup!$K$3:$K$14)</f>
        <v>July</v>
      </c>
      <c r="Y196" t="str">
        <f>_xlfn.XLOOKUP(G196,Lookup!$M$3:$M$9,Lookup!$N$3:$N$9)</f>
        <v>Thursday</v>
      </c>
    </row>
    <row r="197" spans="1:25" x14ac:dyDescent="0.3">
      <c r="A197">
        <v>196</v>
      </c>
      <c r="B197" s="1">
        <v>40739</v>
      </c>
      <c r="C197">
        <v>3</v>
      </c>
      <c r="D197">
        <v>0</v>
      </c>
      <c r="E197">
        <v>7</v>
      </c>
      <c r="F197">
        <v>0</v>
      </c>
      <c r="G197">
        <v>5</v>
      </c>
      <c r="H197">
        <v>1</v>
      </c>
      <c r="I197">
        <v>1</v>
      </c>
      <c r="J197">
        <v>0.66333299999999995</v>
      </c>
      <c r="K197">
        <v>0.62437100000000001</v>
      </c>
      <c r="L197">
        <v>0.59125000000000005</v>
      </c>
      <c r="M197">
        <v>0.182833</v>
      </c>
      <c r="N197">
        <v>1318</v>
      </c>
      <c r="O197">
        <v>4220</v>
      </c>
      <c r="P197">
        <v>5538</v>
      </c>
      <c r="Q197">
        <f t="shared" si="12"/>
        <v>23.176650999999996</v>
      </c>
      <c r="R197">
        <f t="shared" si="13"/>
        <v>25.208486000000001</v>
      </c>
      <c r="S197">
        <f t="shared" si="14"/>
        <v>59.125000000000007</v>
      </c>
      <c r="T197">
        <f t="shared" si="15"/>
        <v>12.249810999999999</v>
      </c>
      <c r="U197" t="str">
        <f>_xlfn.XLOOKUP(C197,Lookup!$A$3:$A$6,Lookup!$B$3:$B$6)</f>
        <v>Summer</v>
      </c>
      <c r="V197">
        <f>_xlfn.XLOOKUP(D197,Lookup!$D$3:$D$4,Lookup!$E$3:$E$4)</f>
        <v>2011</v>
      </c>
      <c r="W197" t="str">
        <f>_xlfn.XLOOKUP(I197,Lookup!$G$3:$G$6,Lookup!$H$3:$H$6)</f>
        <v>Clear</v>
      </c>
      <c r="X197" t="str">
        <f>_xlfn.XLOOKUP(E197,Lookup!$J$3:$J$14,Lookup!$K$3:$K$14)</f>
        <v>July</v>
      </c>
      <c r="Y197" t="str">
        <f>_xlfn.XLOOKUP(G197,Lookup!$M$3:$M$9,Lookup!$N$3:$N$9)</f>
        <v>Friday</v>
      </c>
    </row>
    <row r="198" spans="1:25" x14ac:dyDescent="0.3">
      <c r="A198">
        <v>197</v>
      </c>
      <c r="B198" s="1">
        <v>40740</v>
      </c>
      <c r="C198">
        <v>3</v>
      </c>
      <c r="D198">
        <v>0</v>
      </c>
      <c r="E198">
        <v>7</v>
      </c>
      <c r="F198">
        <v>0</v>
      </c>
      <c r="G198">
        <v>6</v>
      </c>
      <c r="H198">
        <v>0</v>
      </c>
      <c r="I198">
        <v>1</v>
      </c>
      <c r="J198">
        <v>0.68666700000000003</v>
      </c>
      <c r="K198">
        <v>0.63826300000000002</v>
      </c>
      <c r="L198">
        <v>0.58499999999999996</v>
      </c>
      <c r="M198">
        <v>0.208342</v>
      </c>
      <c r="N198">
        <v>2418</v>
      </c>
      <c r="O198">
        <v>3505</v>
      </c>
      <c r="P198">
        <v>5923</v>
      </c>
      <c r="Q198">
        <f t="shared" si="12"/>
        <v>24.273349000000003</v>
      </c>
      <c r="R198">
        <f t="shared" si="13"/>
        <v>26.125357999999999</v>
      </c>
      <c r="S198">
        <f t="shared" si="14"/>
        <v>58.5</v>
      </c>
      <c r="T198">
        <f t="shared" si="15"/>
        <v>13.958914</v>
      </c>
      <c r="U198" t="str">
        <f>_xlfn.XLOOKUP(C198,Lookup!$A$3:$A$6,Lookup!$B$3:$B$6)</f>
        <v>Summer</v>
      </c>
      <c r="V198">
        <f>_xlfn.XLOOKUP(D198,Lookup!$D$3:$D$4,Lookup!$E$3:$E$4)</f>
        <v>2011</v>
      </c>
      <c r="W198" t="str">
        <f>_xlfn.XLOOKUP(I198,Lookup!$G$3:$G$6,Lookup!$H$3:$H$6)</f>
        <v>Clear</v>
      </c>
      <c r="X198" t="str">
        <f>_xlfn.XLOOKUP(E198,Lookup!$J$3:$J$14,Lookup!$K$3:$K$14)</f>
        <v>July</v>
      </c>
      <c r="Y198" t="str">
        <f>_xlfn.XLOOKUP(G198,Lookup!$M$3:$M$9,Lookup!$N$3:$N$9)</f>
        <v>Saturday</v>
      </c>
    </row>
    <row r="199" spans="1:25" x14ac:dyDescent="0.3">
      <c r="A199">
        <v>198</v>
      </c>
      <c r="B199" s="1">
        <v>40741</v>
      </c>
      <c r="C199">
        <v>3</v>
      </c>
      <c r="D199">
        <v>0</v>
      </c>
      <c r="E199">
        <v>7</v>
      </c>
      <c r="F199">
        <v>0</v>
      </c>
      <c r="G199">
        <v>0</v>
      </c>
      <c r="H199">
        <v>0</v>
      </c>
      <c r="I199">
        <v>1</v>
      </c>
      <c r="J199">
        <v>0.719167</v>
      </c>
      <c r="K199">
        <v>0.66983300000000001</v>
      </c>
      <c r="L199">
        <v>0.60416700000000001</v>
      </c>
      <c r="M199">
        <v>0.245033</v>
      </c>
      <c r="N199">
        <v>2006</v>
      </c>
      <c r="O199">
        <v>3296</v>
      </c>
      <c r="P199">
        <v>5302</v>
      </c>
      <c r="Q199">
        <f t="shared" si="12"/>
        <v>25.800848999999999</v>
      </c>
      <c r="R199">
        <f t="shared" si="13"/>
        <v>28.208978000000002</v>
      </c>
      <c r="S199">
        <f t="shared" si="14"/>
        <v>60.416699999999999</v>
      </c>
      <c r="T199">
        <f t="shared" si="15"/>
        <v>16.417211000000002</v>
      </c>
      <c r="U199" t="str">
        <f>_xlfn.XLOOKUP(C199,Lookup!$A$3:$A$6,Lookup!$B$3:$B$6)</f>
        <v>Summer</v>
      </c>
      <c r="V199">
        <f>_xlfn.XLOOKUP(D199,Lookup!$D$3:$D$4,Lookup!$E$3:$E$4)</f>
        <v>2011</v>
      </c>
      <c r="W199" t="str">
        <f>_xlfn.XLOOKUP(I199,Lookup!$G$3:$G$6,Lookup!$H$3:$H$6)</f>
        <v>Clear</v>
      </c>
      <c r="X199" t="str">
        <f>_xlfn.XLOOKUP(E199,Lookup!$J$3:$J$14,Lookup!$K$3:$K$14)</f>
        <v>July</v>
      </c>
      <c r="Y199" t="str">
        <f>_xlfn.XLOOKUP(G199,Lookup!$M$3:$M$9,Lookup!$N$3:$N$9)</f>
        <v>Sunday</v>
      </c>
    </row>
    <row r="200" spans="1:25" x14ac:dyDescent="0.3">
      <c r="A200">
        <v>199</v>
      </c>
      <c r="B200" s="1">
        <v>40742</v>
      </c>
      <c r="C200">
        <v>3</v>
      </c>
      <c r="D200">
        <v>0</v>
      </c>
      <c r="E200">
        <v>7</v>
      </c>
      <c r="F200">
        <v>0</v>
      </c>
      <c r="G200">
        <v>1</v>
      </c>
      <c r="H200">
        <v>1</v>
      </c>
      <c r="I200">
        <v>1</v>
      </c>
      <c r="J200">
        <v>0.74666699999999997</v>
      </c>
      <c r="K200">
        <v>0.70392500000000002</v>
      </c>
      <c r="L200">
        <v>0.65125</v>
      </c>
      <c r="M200">
        <v>0.215804</v>
      </c>
      <c r="N200">
        <v>841</v>
      </c>
      <c r="O200">
        <v>3617</v>
      </c>
      <c r="P200">
        <v>4458</v>
      </c>
      <c r="Q200">
        <f t="shared" si="12"/>
        <v>27.093348999999996</v>
      </c>
      <c r="R200">
        <f t="shared" si="13"/>
        <v>30.459050000000005</v>
      </c>
      <c r="S200">
        <f t="shared" si="14"/>
        <v>65.125</v>
      </c>
      <c r="T200">
        <f t="shared" si="15"/>
        <v>14.458867999999999</v>
      </c>
      <c r="U200" t="str">
        <f>_xlfn.XLOOKUP(C200,Lookup!$A$3:$A$6,Lookup!$B$3:$B$6)</f>
        <v>Summer</v>
      </c>
      <c r="V200">
        <f>_xlfn.XLOOKUP(D200,Lookup!$D$3:$D$4,Lookup!$E$3:$E$4)</f>
        <v>2011</v>
      </c>
      <c r="W200" t="str">
        <f>_xlfn.XLOOKUP(I200,Lookup!$G$3:$G$6,Lookup!$H$3:$H$6)</f>
        <v>Clear</v>
      </c>
      <c r="X200" t="str">
        <f>_xlfn.XLOOKUP(E200,Lookup!$J$3:$J$14,Lookup!$K$3:$K$14)</f>
        <v>July</v>
      </c>
      <c r="Y200" t="str">
        <f>_xlfn.XLOOKUP(G200,Lookup!$M$3:$M$9,Lookup!$N$3:$N$9)</f>
        <v>Monday</v>
      </c>
    </row>
    <row r="201" spans="1:25" x14ac:dyDescent="0.3">
      <c r="A201">
        <v>200</v>
      </c>
      <c r="B201" s="1">
        <v>40743</v>
      </c>
      <c r="C201">
        <v>3</v>
      </c>
      <c r="D201">
        <v>0</v>
      </c>
      <c r="E201">
        <v>7</v>
      </c>
      <c r="F201">
        <v>0</v>
      </c>
      <c r="G201">
        <v>2</v>
      </c>
      <c r="H201">
        <v>1</v>
      </c>
      <c r="I201">
        <v>1</v>
      </c>
      <c r="J201">
        <v>0.776667</v>
      </c>
      <c r="K201">
        <v>0.747479</v>
      </c>
      <c r="L201">
        <v>0.65041700000000002</v>
      </c>
      <c r="M201">
        <v>0.13059999999999999</v>
      </c>
      <c r="N201">
        <v>752</v>
      </c>
      <c r="O201">
        <v>3789</v>
      </c>
      <c r="P201">
        <v>4541</v>
      </c>
      <c r="Q201">
        <f t="shared" si="12"/>
        <v>28.503349</v>
      </c>
      <c r="R201">
        <f t="shared" si="13"/>
        <v>33.333613999999997</v>
      </c>
      <c r="S201">
        <f t="shared" si="14"/>
        <v>65.041700000000006</v>
      </c>
      <c r="T201">
        <f t="shared" si="15"/>
        <v>8.7501999999999995</v>
      </c>
      <c r="U201" t="str">
        <f>_xlfn.XLOOKUP(C201,Lookup!$A$3:$A$6,Lookup!$B$3:$B$6)</f>
        <v>Summer</v>
      </c>
      <c r="V201">
        <f>_xlfn.XLOOKUP(D201,Lookup!$D$3:$D$4,Lookup!$E$3:$E$4)</f>
        <v>2011</v>
      </c>
      <c r="W201" t="str">
        <f>_xlfn.XLOOKUP(I201,Lookup!$G$3:$G$6,Lookup!$H$3:$H$6)</f>
        <v>Clear</v>
      </c>
      <c r="X201" t="str">
        <f>_xlfn.XLOOKUP(E201,Lookup!$J$3:$J$14,Lookup!$K$3:$K$14)</f>
        <v>July</v>
      </c>
      <c r="Y201" t="str">
        <f>_xlfn.XLOOKUP(G201,Lookup!$M$3:$M$9,Lookup!$N$3:$N$9)</f>
        <v>Tuesday</v>
      </c>
    </row>
    <row r="202" spans="1:25" x14ac:dyDescent="0.3">
      <c r="A202">
        <v>201</v>
      </c>
      <c r="B202" s="1">
        <v>40744</v>
      </c>
      <c r="C202">
        <v>3</v>
      </c>
      <c r="D202">
        <v>0</v>
      </c>
      <c r="E202">
        <v>7</v>
      </c>
      <c r="F202">
        <v>0</v>
      </c>
      <c r="G202">
        <v>3</v>
      </c>
      <c r="H202">
        <v>1</v>
      </c>
      <c r="I202">
        <v>1</v>
      </c>
      <c r="J202">
        <v>0.76833300000000004</v>
      </c>
      <c r="K202">
        <v>0.74685000000000001</v>
      </c>
      <c r="L202">
        <v>0.70708300000000002</v>
      </c>
      <c r="M202">
        <v>0.113817</v>
      </c>
      <c r="N202">
        <v>644</v>
      </c>
      <c r="O202">
        <v>3688</v>
      </c>
      <c r="P202">
        <v>4332</v>
      </c>
      <c r="Q202">
        <f t="shared" si="12"/>
        <v>28.111651000000002</v>
      </c>
      <c r="R202">
        <f t="shared" si="13"/>
        <v>33.292099999999998</v>
      </c>
      <c r="S202">
        <f t="shared" si="14"/>
        <v>70.708300000000008</v>
      </c>
      <c r="T202">
        <f t="shared" si="15"/>
        <v>7.6257390000000003</v>
      </c>
      <c r="U202" t="str">
        <f>_xlfn.XLOOKUP(C202,Lookup!$A$3:$A$6,Lookup!$B$3:$B$6)</f>
        <v>Summer</v>
      </c>
      <c r="V202">
        <f>_xlfn.XLOOKUP(D202,Lookup!$D$3:$D$4,Lookup!$E$3:$E$4)</f>
        <v>2011</v>
      </c>
      <c r="W202" t="str">
        <f>_xlfn.XLOOKUP(I202,Lookup!$G$3:$G$6,Lookup!$H$3:$H$6)</f>
        <v>Clear</v>
      </c>
      <c r="X202" t="str">
        <f>_xlfn.XLOOKUP(E202,Lookup!$J$3:$J$14,Lookup!$K$3:$K$14)</f>
        <v>July</v>
      </c>
      <c r="Y202" t="str">
        <f>_xlfn.XLOOKUP(G202,Lookup!$M$3:$M$9,Lookup!$N$3:$N$9)</f>
        <v>Wednesday</v>
      </c>
    </row>
    <row r="203" spans="1:25" x14ac:dyDescent="0.3">
      <c r="A203">
        <v>202</v>
      </c>
      <c r="B203" s="1">
        <v>40745</v>
      </c>
      <c r="C203">
        <v>3</v>
      </c>
      <c r="D203">
        <v>0</v>
      </c>
      <c r="E203">
        <v>7</v>
      </c>
      <c r="F203">
        <v>0</v>
      </c>
      <c r="G203">
        <v>4</v>
      </c>
      <c r="H203">
        <v>1</v>
      </c>
      <c r="I203">
        <v>2</v>
      </c>
      <c r="J203">
        <v>0.81499999999999995</v>
      </c>
      <c r="K203">
        <v>0.82637099999999997</v>
      </c>
      <c r="L203">
        <v>0.69125000000000003</v>
      </c>
      <c r="M203">
        <v>0.222021</v>
      </c>
      <c r="N203">
        <v>632</v>
      </c>
      <c r="O203">
        <v>3152</v>
      </c>
      <c r="P203">
        <v>3784</v>
      </c>
      <c r="Q203">
        <f t="shared" si="12"/>
        <v>30.305</v>
      </c>
      <c r="R203">
        <f t="shared" si="13"/>
        <v>38.540486000000001</v>
      </c>
      <c r="S203">
        <f t="shared" si="14"/>
        <v>69.125</v>
      </c>
      <c r="T203">
        <f t="shared" si="15"/>
        <v>14.875406999999999</v>
      </c>
      <c r="U203" t="str">
        <f>_xlfn.XLOOKUP(C203,Lookup!$A$3:$A$6,Lookup!$B$3:$B$6)</f>
        <v>Summer</v>
      </c>
      <c r="V203">
        <f>_xlfn.XLOOKUP(D203,Lookup!$D$3:$D$4,Lookup!$E$3:$E$4)</f>
        <v>2011</v>
      </c>
      <c r="W203" t="str">
        <f>_xlfn.XLOOKUP(I203,Lookup!$G$3:$G$6,Lookup!$H$3:$H$6)</f>
        <v>Misty/Cloudy</v>
      </c>
      <c r="X203" t="str">
        <f>_xlfn.XLOOKUP(E203,Lookup!$J$3:$J$14,Lookup!$K$3:$K$14)</f>
        <v>July</v>
      </c>
      <c r="Y203" t="str">
        <f>_xlfn.XLOOKUP(G203,Lookup!$M$3:$M$9,Lookup!$N$3:$N$9)</f>
        <v>Thursday</v>
      </c>
    </row>
    <row r="204" spans="1:25" x14ac:dyDescent="0.3">
      <c r="A204">
        <v>203</v>
      </c>
      <c r="B204" s="1">
        <v>40746</v>
      </c>
      <c r="C204">
        <v>3</v>
      </c>
      <c r="D204">
        <v>0</v>
      </c>
      <c r="E204">
        <v>7</v>
      </c>
      <c r="F204">
        <v>0</v>
      </c>
      <c r="G204">
        <v>5</v>
      </c>
      <c r="H204">
        <v>1</v>
      </c>
      <c r="I204">
        <v>1</v>
      </c>
      <c r="J204">
        <v>0.848333</v>
      </c>
      <c r="K204">
        <v>0.84089599999999998</v>
      </c>
      <c r="L204">
        <v>0.58041699999999996</v>
      </c>
      <c r="M204">
        <v>0.1331</v>
      </c>
      <c r="N204">
        <v>562</v>
      </c>
      <c r="O204">
        <v>2825</v>
      </c>
      <c r="P204">
        <v>3387</v>
      </c>
      <c r="Q204">
        <f t="shared" si="12"/>
        <v>31.871651</v>
      </c>
      <c r="R204">
        <f t="shared" si="13"/>
        <v>39.499136</v>
      </c>
      <c r="S204">
        <f t="shared" si="14"/>
        <v>58.041699999999999</v>
      </c>
      <c r="T204">
        <f t="shared" si="15"/>
        <v>8.9177</v>
      </c>
      <c r="U204" t="str">
        <f>_xlfn.XLOOKUP(C204,Lookup!$A$3:$A$6,Lookup!$B$3:$B$6)</f>
        <v>Summer</v>
      </c>
      <c r="V204">
        <f>_xlfn.XLOOKUP(D204,Lookup!$D$3:$D$4,Lookup!$E$3:$E$4)</f>
        <v>2011</v>
      </c>
      <c r="W204" t="str">
        <f>_xlfn.XLOOKUP(I204,Lookup!$G$3:$G$6,Lookup!$H$3:$H$6)</f>
        <v>Clear</v>
      </c>
      <c r="X204" t="str">
        <f>_xlfn.XLOOKUP(E204,Lookup!$J$3:$J$14,Lookup!$K$3:$K$14)</f>
        <v>July</v>
      </c>
      <c r="Y204" t="str">
        <f>_xlfn.XLOOKUP(G204,Lookup!$M$3:$M$9,Lookup!$N$3:$N$9)</f>
        <v>Friday</v>
      </c>
    </row>
    <row r="205" spans="1:25" x14ac:dyDescent="0.3">
      <c r="A205">
        <v>204</v>
      </c>
      <c r="B205" s="1">
        <v>40747</v>
      </c>
      <c r="C205">
        <v>3</v>
      </c>
      <c r="D205">
        <v>0</v>
      </c>
      <c r="E205">
        <v>7</v>
      </c>
      <c r="F205">
        <v>0</v>
      </c>
      <c r="G205">
        <v>6</v>
      </c>
      <c r="H205">
        <v>0</v>
      </c>
      <c r="I205">
        <v>1</v>
      </c>
      <c r="J205">
        <v>0.84916700000000001</v>
      </c>
      <c r="K205">
        <v>0.80428699999999997</v>
      </c>
      <c r="L205">
        <v>0.5</v>
      </c>
      <c r="M205">
        <v>0.131221</v>
      </c>
      <c r="N205">
        <v>987</v>
      </c>
      <c r="O205">
        <v>2298</v>
      </c>
      <c r="P205">
        <v>3285</v>
      </c>
      <c r="Q205">
        <f t="shared" si="12"/>
        <v>31.910848999999999</v>
      </c>
      <c r="R205">
        <f t="shared" si="13"/>
        <v>37.082941999999996</v>
      </c>
      <c r="S205">
        <f t="shared" si="14"/>
        <v>50</v>
      </c>
      <c r="T205">
        <f t="shared" si="15"/>
        <v>8.7918070000000004</v>
      </c>
      <c r="U205" t="str">
        <f>_xlfn.XLOOKUP(C205,Lookup!$A$3:$A$6,Lookup!$B$3:$B$6)</f>
        <v>Summer</v>
      </c>
      <c r="V205">
        <f>_xlfn.XLOOKUP(D205,Lookup!$D$3:$D$4,Lookup!$E$3:$E$4)</f>
        <v>2011</v>
      </c>
      <c r="W205" t="str">
        <f>_xlfn.XLOOKUP(I205,Lookup!$G$3:$G$6,Lookup!$H$3:$H$6)</f>
        <v>Clear</v>
      </c>
      <c r="X205" t="str">
        <f>_xlfn.XLOOKUP(E205,Lookup!$J$3:$J$14,Lookup!$K$3:$K$14)</f>
        <v>July</v>
      </c>
      <c r="Y205" t="str">
        <f>_xlfn.XLOOKUP(G205,Lookup!$M$3:$M$9,Lookup!$N$3:$N$9)</f>
        <v>Saturday</v>
      </c>
    </row>
    <row r="206" spans="1:25" x14ac:dyDescent="0.3">
      <c r="A206">
        <v>205</v>
      </c>
      <c r="B206" s="1">
        <v>40748</v>
      </c>
      <c r="C206">
        <v>3</v>
      </c>
      <c r="D206">
        <v>0</v>
      </c>
      <c r="E206">
        <v>7</v>
      </c>
      <c r="F206">
        <v>0</v>
      </c>
      <c r="G206">
        <v>0</v>
      </c>
      <c r="H206">
        <v>0</v>
      </c>
      <c r="I206">
        <v>1</v>
      </c>
      <c r="J206">
        <v>0.83</v>
      </c>
      <c r="K206">
        <v>0.79482900000000001</v>
      </c>
      <c r="L206">
        <v>0.55083300000000002</v>
      </c>
      <c r="M206">
        <v>0.16917099999999999</v>
      </c>
      <c r="N206">
        <v>1050</v>
      </c>
      <c r="O206">
        <v>2556</v>
      </c>
      <c r="P206">
        <v>3606</v>
      </c>
      <c r="Q206">
        <f t="shared" si="12"/>
        <v>31.009999999999998</v>
      </c>
      <c r="R206">
        <f t="shared" si="13"/>
        <v>36.458714000000001</v>
      </c>
      <c r="S206">
        <f t="shared" si="14"/>
        <v>55.083300000000001</v>
      </c>
      <c r="T206">
        <f t="shared" si="15"/>
        <v>11.334456999999999</v>
      </c>
      <c r="U206" t="str">
        <f>_xlfn.XLOOKUP(C206,Lookup!$A$3:$A$6,Lookup!$B$3:$B$6)</f>
        <v>Summer</v>
      </c>
      <c r="V206">
        <f>_xlfn.XLOOKUP(D206,Lookup!$D$3:$D$4,Lookup!$E$3:$E$4)</f>
        <v>2011</v>
      </c>
      <c r="W206" t="str">
        <f>_xlfn.XLOOKUP(I206,Lookup!$G$3:$G$6,Lookup!$H$3:$H$6)</f>
        <v>Clear</v>
      </c>
      <c r="X206" t="str">
        <f>_xlfn.XLOOKUP(E206,Lookup!$J$3:$J$14,Lookup!$K$3:$K$14)</f>
        <v>July</v>
      </c>
      <c r="Y206" t="str">
        <f>_xlfn.XLOOKUP(G206,Lookup!$M$3:$M$9,Lookup!$N$3:$N$9)</f>
        <v>Sunday</v>
      </c>
    </row>
    <row r="207" spans="1:25" x14ac:dyDescent="0.3">
      <c r="A207">
        <v>206</v>
      </c>
      <c r="B207" s="1">
        <v>40749</v>
      </c>
      <c r="C207">
        <v>3</v>
      </c>
      <c r="D207">
        <v>0</v>
      </c>
      <c r="E207">
        <v>7</v>
      </c>
      <c r="F207">
        <v>0</v>
      </c>
      <c r="G207">
        <v>1</v>
      </c>
      <c r="H207">
        <v>1</v>
      </c>
      <c r="I207">
        <v>1</v>
      </c>
      <c r="J207">
        <v>0.74333300000000002</v>
      </c>
      <c r="K207">
        <v>0.72095799999999999</v>
      </c>
      <c r="L207">
        <v>0.75708299999999995</v>
      </c>
      <c r="M207">
        <v>9.0808299999999995E-2</v>
      </c>
      <c r="N207">
        <v>568</v>
      </c>
      <c r="O207">
        <v>3272</v>
      </c>
      <c r="P207">
        <v>3840</v>
      </c>
      <c r="Q207">
        <f t="shared" si="12"/>
        <v>26.936650999999998</v>
      </c>
      <c r="R207">
        <f t="shared" si="13"/>
        <v>31.583227999999998</v>
      </c>
      <c r="S207">
        <f t="shared" si="14"/>
        <v>75.708299999999994</v>
      </c>
      <c r="T207">
        <f t="shared" si="15"/>
        <v>6.0841560999999995</v>
      </c>
      <c r="U207" t="str">
        <f>_xlfn.XLOOKUP(C207,Lookup!$A$3:$A$6,Lookup!$B$3:$B$6)</f>
        <v>Summer</v>
      </c>
      <c r="V207">
        <f>_xlfn.XLOOKUP(D207,Lookup!$D$3:$D$4,Lookup!$E$3:$E$4)</f>
        <v>2011</v>
      </c>
      <c r="W207" t="str">
        <f>_xlfn.XLOOKUP(I207,Lookup!$G$3:$G$6,Lookup!$H$3:$H$6)</f>
        <v>Clear</v>
      </c>
      <c r="X207" t="str">
        <f>_xlfn.XLOOKUP(E207,Lookup!$J$3:$J$14,Lookup!$K$3:$K$14)</f>
        <v>July</v>
      </c>
      <c r="Y207" t="str">
        <f>_xlfn.XLOOKUP(G207,Lookup!$M$3:$M$9,Lookup!$N$3:$N$9)</f>
        <v>Monday</v>
      </c>
    </row>
    <row r="208" spans="1:25" x14ac:dyDescent="0.3">
      <c r="A208">
        <v>207</v>
      </c>
      <c r="B208" s="1">
        <v>40750</v>
      </c>
      <c r="C208">
        <v>3</v>
      </c>
      <c r="D208">
        <v>0</v>
      </c>
      <c r="E208">
        <v>7</v>
      </c>
      <c r="F208">
        <v>0</v>
      </c>
      <c r="G208">
        <v>2</v>
      </c>
      <c r="H208">
        <v>1</v>
      </c>
      <c r="I208">
        <v>1</v>
      </c>
      <c r="J208">
        <v>0.77166699999999999</v>
      </c>
      <c r="K208">
        <v>0.69697900000000002</v>
      </c>
      <c r="L208">
        <v>0.54083300000000001</v>
      </c>
      <c r="M208">
        <v>0.20025799999999999</v>
      </c>
      <c r="N208">
        <v>750</v>
      </c>
      <c r="O208">
        <v>3840</v>
      </c>
      <c r="P208">
        <v>4590</v>
      </c>
      <c r="Q208">
        <f t="shared" si="12"/>
        <v>28.268349000000001</v>
      </c>
      <c r="R208">
        <f t="shared" si="13"/>
        <v>30.000613999999999</v>
      </c>
      <c r="S208">
        <f t="shared" si="14"/>
        <v>54.083300000000001</v>
      </c>
      <c r="T208">
        <f t="shared" si="15"/>
        <v>13.417285999999999</v>
      </c>
      <c r="U208" t="str">
        <f>_xlfn.XLOOKUP(C208,Lookup!$A$3:$A$6,Lookup!$B$3:$B$6)</f>
        <v>Summer</v>
      </c>
      <c r="V208">
        <f>_xlfn.XLOOKUP(D208,Lookup!$D$3:$D$4,Lookup!$E$3:$E$4)</f>
        <v>2011</v>
      </c>
      <c r="W208" t="str">
        <f>_xlfn.XLOOKUP(I208,Lookup!$G$3:$G$6,Lookup!$H$3:$H$6)</f>
        <v>Clear</v>
      </c>
      <c r="X208" t="str">
        <f>_xlfn.XLOOKUP(E208,Lookup!$J$3:$J$14,Lookup!$K$3:$K$14)</f>
        <v>July</v>
      </c>
      <c r="Y208" t="str">
        <f>_xlfn.XLOOKUP(G208,Lookup!$M$3:$M$9,Lookup!$N$3:$N$9)</f>
        <v>Tuesday</v>
      </c>
    </row>
    <row r="209" spans="1:25" x14ac:dyDescent="0.3">
      <c r="A209">
        <v>208</v>
      </c>
      <c r="B209" s="1">
        <v>40751</v>
      </c>
      <c r="C209">
        <v>3</v>
      </c>
      <c r="D209">
        <v>0</v>
      </c>
      <c r="E209">
        <v>7</v>
      </c>
      <c r="F209">
        <v>0</v>
      </c>
      <c r="G209">
        <v>3</v>
      </c>
      <c r="H209">
        <v>1</v>
      </c>
      <c r="I209">
        <v>1</v>
      </c>
      <c r="J209">
        <v>0.77500000000000002</v>
      </c>
      <c r="K209">
        <v>0.69066700000000003</v>
      </c>
      <c r="L209">
        <v>0.40291700000000003</v>
      </c>
      <c r="M209">
        <v>0.18346299999999999</v>
      </c>
      <c r="N209">
        <v>755</v>
      </c>
      <c r="O209">
        <v>3901</v>
      </c>
      <c r="P209">
        <v>4656</v>
      </c>
      <c r="Q209">
        <f t="shared" si="12"/>
        <v>28.425000000000004</v>
      </c>
      <c r="R209">
        <f t="shared" si="13"/>
        <v>29.584022000000004</v>
      </c>
      <c r="S209">
        <f t="shared" si="14"/>
        <v>40.291700000000006</v>
      </c>
      <c r="T209">
        <f t="shared" si="15"/>
        <v>12.292020999999998</v>
      </c>
      <c r="U209" t="str">
        <f>_xlfn.XLOOKUP(C209,Lookup!$A$3:$A$6,Lookup!$B$3:$B$6)</f>
        <v>Summer</v>
      </c>
      <c r="V209">
        <f>_xlfn.XLOOKUP(D209,Lookup!$D$3:$D$4,Lookup!$E$3:$E$4)</f>
        <v>2011</v>
      </c>
      <c r="W209" t="str">
        <f>_xlfn.XLOOKUP(I209,Lookup!$G$3:$G$6,Lookup!$H$3:$H$6)</f>
        <v>Clear</v>
      </c>
      <c r="X209" t="str">
        <f>_xlfn.XLOOKUP(E209,Lookup!$J$3:$J$14,Lookup!$K$3:$K$14)</f>
        <v>July</v>
      </c>
      <c r="Y209" t="str">
        <f>_xlfn.XLOOKUP(G209,Lookup!$M$3:$M$9,Lookup!$N$3:$N$9)</f>
        <v>Wednesday</v>
      </c>
    </row>
    <row r="210" spans="1:25" x14ac:dyDescent="0.3">
      <c r="A210">
        <v>209</v>
      </c>
      <c r="B210" s="1">
        <v>40752</v>
      </c>
      <c r="C210">
        <v>3</v>
      </c>
      <c r="D210">
        <v>0</v>
      </c>
      <c r="E210">
        <v>7</v>
      </c>
      <c r="F210">
        <v>0</v>
      </c>
      <c r="G210">
        <v>4</v>
      </c>
      <c r="H210">
        <v>1</v>
      </c>
      <c r="I210">
        <v>1</v>
      </c>
      <c r="J210">
        <v>0.77916700000000005</v>
      </c>
      <c r="K210">
        <v>0.7399</v>
      </c>
      <c r="L210">
        <v>0.58333299999999999</v>
      </c>
      <c r="M210">
        <v>0.178479</v>
      </c>
      <c r="N210">
        <v>606</v>
      </c>
      <c r="O210">
        <v>3784</v>
      </c>
      <c r="P210">
        <v>4390</v>
      </c>
      <c r="Q210">
        <f t="shared" si="12"/>
        <v>28.620849</v>
      </c>
      <c r="R210">
        <f t="shared" si="13"/>
        <v>32.833399999999997</v>
      </c>
      <c r="S210">
        <f t="shared" si="14"/>
        <v>58.333300000000001</v>
      </c>
      <c r="T210">
        <f t="shared" si="15"/>
        <v>11.958093</v>
      </c>
      <c r="U210" t="str">
        <f>_xlfn.XLOOKUP(C210,Lookup!$A$3:$A$6,Lookup!$B$3:$B$6)</f>
        <v>Summer</v>
      </c>
      <c r="V210">
        <f>_xlfn.XLOOKUP(D210,Lookup!$D$3:$D$4,Lookup!$E$3:$E$4)</f>
        <v>2011</v>
      </c>
      <c r="W210" t="str">
        <f>_xlfn.XLOOKUP(I210,Lookup!$G$3:$G$6,Lookup!$H$3:$H$6)</f>
        <v>Clear</v>
      </c>
      <c r="X210" t="str">
        <f>_xlfn.XLOOKUP(E210,Lookup!$J$3:$J$14,Lookup!$K$3:$K$14)</f>
        <v>July</v>
      </c>
      <c r="Y210" t="str">
        <f>_xlfn.XLOOKUP(G210,Lookup!$M$3:$M$9,Lookup!$N$3:$N$9)</f>
        <v>Thursday</v>
      </c>
    </row>
    <row r="211" spans="1:25" x14ac:dyDescent="0.3">
      <c r="A211">
        <v>210</v>
      </c>
      <c r="B211" s="1">
        <v>40753</v>
      </c>
      <c r="C211">
        <v>3</v>
      </c>
      <c r="D211">
        <v>0</v>
      </c>
      <c r="E211">
        <v>7</v>
      </c>
      <c r="F211">
        <v>0</v>
      </c>
      <c r="G211">
        <v>5</v>
      </c>
      <c r="H211">
        <v>1</v>
      </c>
      <c r="I211">
        <v>1</v>
      </c>
      <c r="J211">
        <v>0.83833299999999999</v>
      </c>
      <c r="K211">
        <v>0.78596699999999997</v>
      </c>
      <c r="L211">
        <v>0.54249999999999998</v>
      </c>
      <c r="M211">
        <v>0.17413799999999999</v>
      </c>
      <c r="N211">
        <v>670</v>
      </c>
      <c r="O211">
        <v>3176</v>
      </c>
      <c r="P211">
        <v>3846</v>
      </c>
      <c r="Q211">
        <f t="shared" si="12"/>
        <v>31.401651000000001</v>
      </c>
      <c r="R211">
        <f t="shared" si="13"/>
        <v>35.873821999999997</v>
      </c>
      <c r="S211">
        <f t="shared" si="14"/>
        <v>54.25</v>
      </c>
      <c r="T211">
        <f t="shared" si="15"/>
        <v>11.667245999999999</v>
      </c>
      <c r="U211" t="str">
        <f>_xlfn.XLOOKUP(C211,Lookup!$A$3:$A$6,Lookup!$B$3:$B$6)</f>
        <v>Summer</v>
      </c>
      <c r="V211">
        <f>_xlfn.XLOOKUP(D211,Lookup!$D$3:$D$4,Lookup!$E$3:$E$4)</f>
        <v>2011</v>
      </c>
      <c r="W211" t="str">
        <f>_xlfn.XLOOKUP(I211,Lookup!$G$3:$G$6,Lookup!$H$3:$H$6)</f>
        <v>Clear</v>
      </c>
      <c r="X211" t="str">
        <f>_xlfn.XLOOKUP(E211,Lookup!$J$3:$J$14,Lookup!$K$3:$K$14)</f>
        <v>July</v>
      </c>
      <c r="Y211" t="str">
        <f>_xlfn.XLOOKUP(G211,Lookup!$M$3:$M$9,Lookup!$N$3:$N$9)</f>
        <v>Friday</v>
      </c>
    </row>
    <row r="212" spans="1:25" x14ac:dyDescent="0.3">
      <c r="A212">
        <v>211</v>
      </c>
      <c r="B212" s="1">
        <v>40754</v>
      </c>
      <c r="C212">
        <v>3</v>
      </c>
      <c r="D212">
        <v>0</v>
      </c>
      <c r="E212">
        <v>7</v>
      </c>
      <c r="F212">
        <v>0</v>
      </c>
      <c r="G212">
        <v>6</v>
      </c>
      <c r="H212">
        <v>0</v>
      </c>
      <c r="I212">
        <v>1</v>
      </c>
      <c r="J212">
        <v>0.80416699999999997</v>
      </c>
      <c r="K212">
        <v>0.72853699999999999</v>
      </c>
      <c r="L212">
        <v>0.465833</v>
      </c>
      <c r="M212">
        <v>0.16853699999999999</v>
      </c>
      <c r="N212">
        <v>1559</v>
      </c>
      <c r="O212">
        <v>2916</v>
      </c>
      <c r="P212">
        <v>4475</v>
      </c>
      <c r="Q212">
        <f t="shared" si="12"/>
        <v>29.795848999999997</v>
      </c>
      <c r="R212">
        <f t="shared" si="13"/>
        <v>32.083441999999998</v>
      </c>
      <c r="S212">
        <f t="shared" si="14"/>
        <v>46.583300000000001</v>
      </c>
      <c r="T212">
        <f t="shared" si="15"/>
        <v>11.291979</v>
      </c>
      <c r="U212" t="str">
        <f>_xlfn.XLOOKUP(C212,Lookup!$A$3:$A$6,Lookup!$B$3:$B$6)</f>
        <v>Summer</v>
      </c>
      <c r="V212">
        <f>_xlfn.XLOOKUP(D212,Lookup!$D$3:$D$4,Lookup!$E$3:$E$4)</f>
        <v>2011</v>
      </c>
      <c r="W212" t="str">
        <f>_xlfn.XLOOKUP(I212,Lookup!$G$3:$G$6,Lookup!$H$3:$H$6)</f>
        <v>Clear</v>
      </c>
      <c r="X212" t="str">
        <f>_xlfn.XLOOKUP(E212,Lookup!$J$3:$J$14,Lookup!$K$3:$K$14)</f>
        <v>July</v>
      </c>
      <c r="Y212" t="str">
        <f>_xlfn.XLOOKUP(G212,Lookup!$M$3:$M$9,Lookup!$N$3:$N$9)</f>
        <v>Saturday</v>
      </c>
    </row>
    <row r="213" spans="1:25" x14ac:dyDescent="0.3">
      <c r="A213">
        <v>212</v>
      </c>
      <c r="B213" s="1">
        <v>40755</v>
      </c>
      <c r="C213">
        <v>3</v>
      </c>
      <c r="D213">
        <v>0</v>
      </c>
      <c r="E213">
        <v>7</v>
      </c>
      <c r="F213">
        <v>0</v>
      </c>
      <c r="G213">
        <v>0</v>
      </c>
      <c r="H213">
        <v>0</v>
      </c>
      <c r="I213">
        <v>1</v>
      </c>
      <c r="J213">
        <v>0.80583300000000002</v>
      </c>
      <c r="K213">
        <v>0.729796</v>
      </c>
      <c r="L213">
        <v>0.48083300000000001</v>
      </c>
      <c r="M213">
        <v>0.16481299999999999</v>
      </c>
      <c r="N213">
        <v>1524</v>
      </c>
      <c r="O213">
        <v>2778</v>
      </c>
      <c r="P213">
        <v>4302</v>
      </c>
      <c r="Q213">
        <f t="shared" si="12"/>
        <v>29.874150999999998</v>
      </c>
      <c r="R213">
        <f t="shared" si="13"/>
        <v>32.166536000000001</v>
      </c>
      <c r="S213">
        <f t="shared" si="14"/>
        <v>48.083300000000001</v>
      </c>
      <c r="T213">
        <f t="shared" si="15"/>
        <v>11.042470999999999</v>
      </c>
      <c r="U213" t="str">
        <f>_xlfn.XLOOKUP(C213,Lookup!$A$3:$A$6,Lookup!$B$3:$B$6)</f>
        <v>Summer</v>
      </c>
      <c r="V213">
        <f>_xlfn.XLOOKUP(D213,Lookup!$D$3:$D$4,Lookup!$E$3:$E$4)</f>
        <v>2011</v>
      </c>
      <c r="W213" t="str">
        <f>_xlfn.XLOOKUP(I213,Lookup!$G$3:$G$6,Lookup!$H$3:$H$6)</f>
        <v>Clear</v>
      </c>
      <c r="X213" t="str">
        <f>_xlfn.XLOOKUP(E213,Lookup!$J$3:$J$14,Lookup!$K$3:$K$14)</f>
        <v>July</v>
      </c>
      <c r="Y213" t="str">
        <f>_xlfn.XLOOKUP(G213,Lookup!$M$3:$M$9,Lookup!$N$3:$N$9)</f>
        <v>Sunday</v>
      </c>
    </row>
    <row r="214" spans="1:25" x14ac:dyDescent="0.3">
      <c r="A214">
        <v>213</v>
      </c>
      <c r="B214" s="1">
        <v>40756</v>
      </c>
      <c r="C214">
        <v>3</v>
      </c>
      <c r="D214">
        <v>0</v>
      </c>
      <c r="E214">
        <v>8</v>
      </c>
      <c r="F214">
        <v>0</v>
      </c>
      <c r="G214">
        <v>1</v>
      </c>
      <c r="H214">
        <v>1</v>
      </c>
      <c r="I214">
        <v>1</v>
      </c>
      <c r="J214">
        <v>0.77166699999999999</v>
      </c>
      <c r="K214">
        <v>0.70329200000000003</v>
      </c>
      <c r="L214">
        <v>0.55083300000000002</v>
      </c>
      <c r="M214">
        <v>0.156717</v>
      </c>
      <c r="N214">
        <v>729</v>
      </c>
      <c r="O214">
        <v>3537</v>
      </c>
      <c r="P214">
        <v>4266</v>
      </c>
      <c r="Q214">
        <f t="shared" si="12"/>
        <v>28.268349000000001</v>
      </c>
      <c r="R214">
        <f t="shared" si="13"/>
        <v>30.417272000000004</v>
      </c>
      <c r="S214">
        <f t="shared" si="14"/>
        <v>55.083300000000001</v>
      </c>
      <c r="T214">
        <f t="shared" si="15"/>
        <v>10.500038999999999</v>
      </c>
      <c r="U214" t="str">
        <f>_xlfn.XLOOKUP(C214,Lookup!$A$3:$A$6,Lookup!$B$3:$B$6)</f>
        <v>Summer</v>
      </c>
      <c r="V214">
        <f>_xlfn.XLOOKUP(D214,Lookup!$D$3:$D$4,Lookup!$E$3:$E$4)</f>
        <v>2011</v>
      </c>
      <c r="W214" t="str">
        <f>_xlfn.XLOOKUP(I214,Lookup!$G$3:$G$6,Lookup!$H$3:$H$6)</f>
        <v>Clear</v>
      </c>
      <c r="X214" t="str">
        <f>_xlfn.XLOOKUP(E214,Lookup!$J$3:$J$14,Lookup!$K$3:$K$14)</f>
        <v>August</v>
      </c>
      <c r="Y214" t="str">
        <f>_xlfn.XLOOKUP(G214,Lookup!$M$3:$M$9,Lookup!$N$3:$N$9)</f>
        <v>Monday</v>
      </c>
    </row>
    <row r="215" spans="1:25" x14ac:dyDescent="0.3">
      <c r="A215">
        <v>214</v>
      </c>
      <c r="B215" s="1">
        <v>40757</v>
      </c>
      <c r="C215">
        <v>3</v>
      </c>
      <c r="D215">
        <v>0</v>
      </c>
      <c r="E215">
        <v>8</v>
      </c>
      <c r="F215">
        <v>0</v>
      </c>
      <c r="G215">
        <v>2</v>
      </c>
      <c r="H215">
        <v>1</v>
      </c>
      <c r="I215">
        <v>1</v>
      </c>
      <c r="J215">
        <v>0.78333299999999995</v>
      </c>
      <c r="K215">
        <v>0.70707100000000001</v>
      </c>
      <c r="L215">
        <v>0.49125000000000002</v>
      </c>
      <c r="M215">
        <v>0.20585000000000001</v>
      </c>
      <c r="N215">
        <v>801</v>
      </c>
      <c r="O215">
        <v>4044</v>
      </c>
      <c r="P215">
        <v>4845</v>
      </c>
      <c r="Q215">
        <f t="shared" si="12"/>
        <v>28.816651</v>
      </c>
      <c r="R215">
        <f t="shared" si="13"/>
        <v>30.666685999999999</v>
      </c>
      <c r="S215">
        <f t="shared" si="14"/>
        <v>49.125</v>
      </c>
      <c r="T215">
        <f t="shared" si="15"/>
        <v>13.79195</v>
      </c>
      <c r="U215" t="str">
        <f>_xlfn.XLOOKUP(C215,Lookup!$A$3:$A$6,Lookup!$B$3:$B$6)</f>
        <v>Summer</v>
      </c>
      <c r="V215">
        <f>_xlfn.XLOOKUP(D215,Lookup!$D$3:$D$4,Lookup!$E$3:$E$4)</f>
        <v>2011</v>
      </c>
      <c r="W215" t="str">
        <f>_xlfn.XLOOKUP(I215,Lookup!$G$3:$G$6,Lookup!$H$3:$H$6)</f>
        <v>Clear</v>
      </c>
      <c r="X215" t="str">
        <f>_xlfn.XLOOKUP(E215,Lookup!$J$3:$J$14,Lookup!$K$3:$K$14)</f>
        <v>August</v>
      </c>
      <c r="Y215" t="str">
        <f>_xlfn.XLOOKUP(G215,Lookup!$M$3:$M$9,Lookup!$N$3:$N$9)</f>
        <v>Tuesday</v>
      </c>
    </row>
    <row r="216" spans="1:25" x14ac:dyDescent="0.3">
      <c r="A216">
        <v>215</v>
      </c>
      <c r="B216" s="1">
        <v>40758</v>
      </c>
      <c r="C216">
        <v>3</v>
      </c>
      <c r="D216">
        <v>0</v>
      </c>
      <c r="E216">
        <v>8</v>
      </c>
      <c r="F216">
        <v>0</v>
      </c>
      <c r="G216">
        <v>3</v>
      </c>
      <c r="H216">
        <v>1</v>
      </c>
      <c r="I216">
        <v>2</v>
      </c>
      <c r="J216">
        <v>0.73166699999999996</v>
      </c>
      <c r="K216">
        <v>0.67993700000000001</v>
      </c>
      <c r="L216">
        <v>0.65749999999999997</v>
      </c>
      <c r="M216">
        <v>0.13558300000000001</v>
      </c>
      <c r="N216">
        <v>467</v>
      </c>
      <c r="O216">
        <v>3107</v>
      </c>
      <c r="P216">
        <v>3574</v>
      </c>
      <c r="Q216">
        <f t="shared" si="12"/>
        <v>26.388348999999998</v>
      </c>
      <c r="R216">
        <f t="shared" si="13"/>
        <v>28.875841999999999</v>
      </c>
      <c r="S216">
        <f t="shared" si="14"/>
        <v>65.75</v>
      </c>
      <c r="T216">
        <f t="shared" si="15"/>
        <v>9.0840610000000002</v>
      </c>
      <c r="U216" t="str">
        <f>_xlfn.XLOOKUP(C216,Lookup!$A$3:$A$6,Lookup!$B$3:$B$6)</f>
        <v>Summer</v>
      </c>
      <c r="V216">
        <f>_xlfn.XLOOKUP(D216,Lookup!$D$3:$D$4,Lookup!$E$3:$E$4)</f>
        <v>2011</v>
      </c>
      <c r="W216" t="str">
        <f>_xlfn.XLOOKUP(I216,Lookup!$G$3:$G$6,Lookup!$H$3:$H$6)</f>
        <v>Misty/Cloudy</v>
      </c>
      <c r="X216" t="str">
        <f>_xlfn.XLOOKUP(E216,Lookup!$J$3:$J$14,Lookup!$K$3:$K$14)</f>
        <v>August</v>
      </c>
      <c r="Y216" t="str">
        <f>_xlfn.XLOOKUP(G216,Lookup!$M$3:$M$9,Lookup!$N$3:$N$9)</f>
        <v>Wednesday</v>
      </c>
    </row>
    <row r="217" spans="1:25" x14ac:dyDescent="0.3">
      <c r="A217">
        <v>216</v>
      </c>
      <c r="B217" s="1">
        <v>40759</v>
      </c>
      <c r="C217">
        <v>3</v>
      </c>
      <c r="D217">
        <v>0</v>
      </c>
      <c r="E217">
        <v>8</v>
      </c>
      <c r="F217">
        <v>0</v>
      </c>
      <c r="G217">
        <v>4</v>
      </c>
      <c r="H217">
        <v>1</v>
      </c>
      <c r="I217">
        <v>2</v>
      </c>
      <c r="J217">
        <v>0.71</v>
      </c>
      <c r="K217">
        <v>0.66478800000000005</v>
      </c>
      <c r="L217">
        <v>0.75749999999999995</v>
      </c>
      <c r="M217">
        <v>0.19714999999999999</v>
      </c>
      <c r="N217">
        <v>799</v>
      </c>
      <c r="O217">
        <v>3777</v>
      </c>
      <c r="P217">
        <v>4576</v>
      </c>
      <c r="Q217">
        <f t="shared" si="12"/>
        <v>25.369999999999997</v>
      </c>
      <c r="R217">
        <f t="shared" si="13"/>
        <v>27.876008000000006</v>
      </c>
      <c r="S217">
        <f t="shared" si="14"/>
        <v>75.75</v>
      </c>
      <c r="T217">
        <f t="shared" si="15"/>
        <v>13.20905</v>
      </c>
      <c r="U217" t="str">
        <f>_xlfn.XLOOKUP(C217,Lookup!$A$3:$A$6,Lookup!$B$3:$B$6)</f>
        <v>Summer</v>
      </c>
      <c r="V217">
        <f>_xlfn.XLOOKUP(D217,Lookup!$D$3:$D$4,Lookup!$E$3:$E$4)</f>
        <v>2011</v>
      </c>
      <c r="W217" t="str">
        <f>_xlfn.XLOOKUP(I217,Lookup!$G$3:$G$6,Lookup!$H$3:$H$6)</f>
        <v>Misty/Cloudy</v>
      </c>
      <c r="X217" t="str">
        <f>_xlfn.XLOOKUP(E217,Lookup!$J$3:$J$14,Lookup!$K$3:$K$14)</f>
        <v>August</v>
      </c>
      <c r="Y217" t="str">
        <f>_xlfn.XLOOKUP(G217,Lookup!$M$3:$M$9,Lookup!$N$3:$N$9)</f>
        <v>Thursday</v>
      </c>
    </row>
    <row r="218" spans="1:25" x14ac:dyDescent="0.3">
      <c r="A218">
        <v>217</v>
      </c>
      <c r="B218" s="1">
        <v>40760</v>
      </c>
      <c r="C218">
        <v>3</v>
      </c>
      <c r="D218">
        <v>0</v>
      </c>
      <c r="E218">
        <v>8</v>
      </c>
      <c r="F218">
        <v>0</v>
      </c>
      <c r="G218">
        <v>5</v>
      </c>
      <c r="H218">
        <v>1</v>
      </c>
      <c r="I218">
        <v>1</v>
      </c>
      <c r="J218">
        <v>0.71083300000000005</v>
      </c>
      <c r="K218">
        <v>0.65656700000000001</v>
      </c>
      <c r="L218">
        <v>0.63083299999999998</v>
      </c>
      <c r="M218">
        <v>0.184696</v>
      </c>
      <c r="N218">
        <v>1023</v>
      </c>
      <c r="O218">
        <v>3843</v>
      </c>
      <c r="P218">
        <v>4866</v>
      </c>
      <c r="Q218">
        <f t="shared" si="12"/>
        <v>25.409151000000001</v>
      </c>
      <c r="R218">
        <f t="shared" si="13"/>
        <v>27.333421999999999</v>
      </c>
      <c r="S218">
        <f t="shared" si="14"/>
        <v>63.083299999999994</v>
      </c>
      <c r="T218">
        <f t="shared" si="15"/>
        <v>12.374632</v>
      </c>
      <c r="U218" t="str">
        <f>_xlfn.XLOOKUP(C218,Lookup!$A$3:$A$6,Lookup!$B$3:$B$6)</f>
        <v>Summer</v>
      </c>
      <c r="V218">
        <f>_xlfn.XLOOKUP(D218,Lookup!$D$3:$D$4,Lookup!$E$3:$E$4)</f>
        <v>2011</v>
      </c>
      <c r="W218" t="str">
        <f>_xlfn.XLOOKUP(I218,Lookup!$G$3:$G$6,Lookup!$H$3:$H$6)</f>
        <v>Clear</v>
      </c>
      <c r="X218" t="str">
        <f>_xlfn.XLOOKUP(E218,Lookup!$J$3:$J$14,Lookup!$K$3:$K$14)</f>
        <v>August</v>
      </c>
      <c r="Y218" t="str">
        <f>_xlfn.XLOOKUP(G218,Lookup!$M$3:$M$9,Lookup!$N$3:$N$9)</f>
        <v>Friday</v>
      </c>
    </row>
    <row r="219" spans="1:25" x14ac:dyDescent="0.3">
      <c r="A219">
        <v>218</v>
      </c>
      <c r="B219" s="1">
        <v>40761</v>
      </c>
      <c r="C219">
        <v>3</v>
      </c>
      <c r="D219">
        <v>0</v>
      </c>
      <c r="E219">
        <v>8</v>
      </c>
      <c r="F219">
        <v>0</v>
      </c>
      <c r="G219">
        <v>6</v>
      </c>
      <c r="H219">
        <v>0</v>
      </c>
      <c r="I219">
        <v>2</v>
      </c>
      <c r="J219">
        <v>0.71666700000000005</v>
      </c>
      <c r="K219">
        <v>0.67615400000000003</v>
      </c>
      <c r="L219">
        <v>0.755</v>
      </c>
      <c r="M219">
        <v>0.22825000000000001</v>
      </c>
      <c r="N219">
        <v>1521</v>
      </c>
      <c r="O219">
        <v>2773</v>
      </c>
      <c r="P219">
        <v>4294</v>
      </c>
      <c r="Q219">
        <f t="shared" si="12"/>
        <v>25.683349</v>
      </c>
      <c r="R219">
        <f t="shared" si="13"/>
        <v>28.626164000000003</v>
      </c>
      <c r="S219">
        <f t="shared" si="14"/>
        <v>75.5</v>
      </c>
      <c r="T219">
        <f t="shared" si="15"/>
        <v>15.29275</v>
      </c>
      <c r="U219" t="str">
        <f>_xlfn.XLOOKUP(C219,Lookup!$A$3:$A$6,Lookup!$B$3:$B$6)</f>
        <v>Summer</v>
      </c>
      <c r="V219">
        <f>_xlfn.XLOOKUP(D219,Lookup!$D$3:$D$4,Lookup!$E$3:$E$4)</f>
        <v>2011</v>
      </c>
      <c r="W219" t="str">
        <f>_xlfn.XLOOKUP(I219,Lookup!$G$3:$G$6,Lookup!$H$3:$H$6)</f>
        <v>Misty/Cloudy</v>
      </c>
      <c r="X219" t="str">
        <f>_xlfn.XLOOKUP(E219,Lookup!$J$3:$J$14,Lookup!$K$3:$K$14)</f>
        <v>August</v>
      </c>
      <c r="Y219" t="str">
        <f>_xlfn.XLOOKUP(G219,Lookup!$M$3:$M$9,Lookup!$N$3:$N$9)</f>
        <v>Saturday</v>
      </c>
    </row>
    <row r="220" spans="1:25" x14ac:dyDescent="0.3">
      <c r="A220">
        <v>219</v>
      </c>
      <c r="B220" s="1">
        <v>40762</v>
      </c>
      <c r="C220">
        <v>3</v>
      </c>
      <c r="D220">
        <v>0</v>
      </c>
      <c r="E220">
        <v>8</v>
      </c>
      <c r="F220">
        <v>0</v>
      </c>
      <c r="G220">
        <v>0</v>
      </c>
      <c r="H220">
        <v>0</v>
      </c>
      <c r="I220">
        <v>1</v>
      </c>
      <c r="J220">
        <v>0.74250000000000005</v>
      </c>
      <c r="K220">
        <v>0.71529200000000004</v>
      </c>
      <c r="L220">
        <v>0.75291699999999995</v>
      </c>
      <c r="M220">
        <v>0.201487</v>
      </c>
      <c r="N220">
        <v>1298</v>
      </c>
      <c r="O220">
        <v>2487</v>
      </c>
      <c r="P220">
        <v>3785</v>
      </c>
      <c r="Q220">
        <f t="shared" si="12"/>
        <v>26.897500000000001</v>
      </c>
      <c r="R220">
        <f t="shared" si="13"/>
        <v>31.209272000000006</v>
      </c>
      <c r="S220">
        <f t="shared" si="14"/>
        <v>75.291699999999992</v>
      </c>
      <c r="T220">
        <f t="shared" si="15"/>
        <v>13.499629000000001</v>
      </c>
      <c r="U220" t="str">
        <f>_xlfn.XLOOKUP(C220,Lookup!$A$3:$A$6,Lookup!$B$3:$B$6)</f>
        <v>Summer</v>
      </c>
      <c r="V220">
        <f>_xlfn.XLOOKUP(D220,Lookup!$D$3:$D$4,Lookup!$E$3:$E$4)</f>
        <v>2011</v>
      </c>
      <c r="W220" t="str">
        <f>_xlfn.XLOOKUP(I220,Lookup!$G$3:$G$6,Lookup!$H$3:$H$6)</f>
        <v>Clear</v>
      </c>
      <c r="X220" t="str">
        <f>_xlfn.XLOOKUP(E220,Lookup!$J$3:$J$14,Lookup!$K$3:$K$14)</f>
        <v>August</v>
      </c>
      <c r="Y220" t="str">
        <f>_xlfn.XLOOKUP(G220,Lookup!$M$3:$M$9,Lookup!$N$3:$N$9)</f>
        <v>Sunday</v>
      </c>
    </row>
    <row r="221" spans="1:25" x14ac:dyDescent="0.3">
      <c r="A221">
        <v>220</v>
      </c>
      <c r="B221" s="1">
        <v>40763</v>
      </c>
      <c r="C221">
        <v>3</v>
      </c>
      <c r="D221">
        <v>0</v>
      </c>
      <c r="E221">
        <v>8</v>
      </c>
      <c r="F221">
        <v>0</v>
      </c>
      <c r="G221">
        <v>1</v>
      </c>
      <c r="H221">
        <v>1</v>
      </c>
      <c r="I221">
        <v>1</v>
      </c>
      <c r="J221">
        <v>0.76500000000000001</v>
      </c>
      <c r="K221">
        <v>0.70328299999999999</v>
      </c>
      <c r="L221">
        <v>0.59208300000000003</v>
      </c>
      <c r="M221">
        <v>0.19217500000000001</v>
      </c>
      <c r="N221">
        <v>846</v>
      </c>
      <c r="O221">
        <v>3480</v>
      </c>
      <c r="P221">
        <v>4326</v>
      </c>
      <c r="Q221">
        <f t="shared" si="12"/>
        <v>27.954999999999998</v>
      </c>
      <c r="R221">
        <f t="shared" si="13"/>
        <v>30.416677999999997</v>
      </c>
      <c r="S221">
        <f t="shared" si="14"/>
        <v>59.208300000000001</v>
      </c>
      <c r="T221">
        <f t="shared" si="15"/>
        <v>12.875725000000001</v>
      </c>
      <c r="U221" t="str">
        <f>_xlfn.XLOOKUP(C221,Lookup!$A$3:$A$6,Lookup!$B$3:$B$6)</f>
        <v>Summer</v>
      </c>
      <c r="V221">
        <f>_xlfn.XLOOKUP(D221,Lookup!$D$3:$D$4,Lookup!$E$3:$E$4)</f>
        <v>2011</v>
      </c>
      <c r="W221" t="str">
        <f>_xlfn.XLOOKUP(I221,Lookup!$G$3:$G$6,Lookup!$H$3:$H$6)</f>
        <v>Clear</v>
      </c>
      <c r="X221" t="str">
        <f>_xlfn.XLOOKUP(E221,Lookup!$J$3:$J$14,Lookup!$K$3:$K$14)</f>
        <v>August</v>
      </c>
      <c r="Y221" t="str">
        <f>_xlfn.XLOOKUP(G221,Lookup!$M$3:$M$9,Lookup!$N$3:$N$9)</f>
        <v>Monday</v>
      </c>
    </row>
    <row r="222" spans="1:25" x14ac:dyDescent="0.3">
      <c r="A222">
        <v>221</v>
      </c>
      <c r="B222" s="1">
        <v>40764</v>
      </c>
      <c r="C222">
        <v>3</v>
      </c>
      <c r="D222">
        <v>0</v>
      </c>
      <c r="E222">
        <v>8</v>
      </c>
      <c r="F222">
        <v>0</v>
      </c>
      <c r="G222">
        <v>2</v>
      </c>
      <c r="H222">
        <v>1</v>
      </c>
      <c r="I222">
        <v>1</v>
      </c>
      <c r="J222">
        <v>0.77500000000000002</v>
      </c>
      <c r="K222">
        <v>0.72412100000000001</v>
      </c>
      <c r="L222">
        <v>0.57041699999999995</v>
      </c>
      <c r="M222">
        <v>0.15112100000000001</v>
      </c>
      <c r="N222">
        <v>907</v>
      </c>
      <c r="O222">
        <v>3695</v>
      </c>
      <c r="P222">
        <v>4602</v>
      </c>
      <c r="Q222">
        <f t="shared" si="12"/>
        <v>28.425000000000004</v>
      </c>
      <c r="R222">
        <f t="shared" si="13"/>
        <v>31.791986000000001</v>
      </c>
      <c r="S222">
        <f t="shared" si="14"/>
        <v>57.041699999999992</v>
      </c>
      <c r="T222">
        <f t="shared" si="15"/>
        <v>10.125107</v>
      </c>
      <c r="U222" t="str">
        <f>_xlfn.XLOOKUP(C222,Lookup!$A$3:$A$6,Lookup!$B$3:$B$6)</f>
        <v>Summer</v>
      </c>
      <c r="V222">
        <f>_xlfn.XLOOKUP(D222,Lookup!$D$3:$D$4,Lookup!$E$3:$E$4)</f>
        <v>2011</v>
      </c>
      <c r="W222" t="str">
        <f>_xlfn.XLOOKUP(I222,Lookup!$G$3:$G$6,Lookup!$H$3:$H$6)</f>
        <v>Clear</v>
      </c>
      <c r="X222" t="str">
        <f>_xlfn.XLOOKUP(E222,Lookup!$J$3:$J$14,Lookup!$K$3:$K$14)</f>
        <v>August</v>
      </c>
      <c r="Y222" t="str">
        <f>_xlfn.XLOOKUP(G222,Lookup!$M$3:$M$9,Lookup!$N$3:$N$9)</f>
        <v>Tuesday</v>
      </c>
    </row>
    <row r="223" spans="1:25" x14ac:dyDescent="0.3">
      <c r="A223">
        <v>222</v>
      </c>
      <c r="B223" s="1">
        <v>40765</v>
      </c>
      <c r="C223">
        <v>3</v>
      </c>
      <c r="D223">
        <v>0</v>
      </c>
      <c r="E223">
        <v>8</v>
      </c>
      <c r="F223">
        <v>0</v>
      </c>
      <c r="G223">
        <v>3</v>
      </c>
      <c r="H223">
        <v>1</v>
      </c>
      <c r="I223">
        <v>1</v>
      </c>
      <c r="J223">
        <v>0.76666699999999999</v>
      </c>
      <c r="K223">
        <v>0.68498300000000001</v>
      </c>
      <c r="L223">
        <v>0.42416700000000002</v>
      </c>
      <c r="M223">
        <v>0.20025799999999999</v>
      </c>
      <c r="N223">
        <v>884</v>
      </c>
      <c r="O223">
        <v>3896</v>
      </c>
      <c r="P223">
        <v>4780</v>
      </c>
      <c r="Q223">
        <f t="shared" si="12"/>
        <v>28.033349000000001</v>
      </c>
      <c r="R223">
        <f t="shared" si="13"/>
        <v>29.208877999999999</v>
      </c>
      <c r="S223">
        <f t="shared" si="14"/>
        <v>42.416699999999999</v>
      </c>
      <c r="T223">
        <f t="shared" si="15"/>
        <v>13.417285999999999</v>
      </c>
      <c r="U223" t="str">
        <f>_xlfn.XLOOKUP(C223,Lookup!$A$3:$A$6,Lookup!$B$3:$B$6)</f>
        <v>Summer</v>
      </c>
      <c r="V223">
        <f>_xlfn.XLOOKUP(D223,Lookup!$D$3:$D$4,Lookup!$E$3:$E$4)</f>
        <v>2011</v>
      </c>
      <c r="W223" t="str">
        <f>_xlfn.XLOOKUP(I223,Lookup!$G$3:$G$6,Lookup!$H$3:$H$6)</f>
        <v>Clear</v>
      </c>
      <c r="X223" t="str">
        <f>_xlfn.XLOOKUP(E223,Lookup!$J$3:$J$14,Lookup!$K$3:$K$14)</f>
        <v>August</v>
      </c>
      <c r="Y223" t="str">
        <f>_xlfn.XLOOKUP(G223,Lookup!$M$3:$M$9,Lookup!$N$3:$N$9)</f>
        <v>Wednesday</v>
      </c>
    </row>
    <row r="224" spans="1:25" x14ac:dyDescent="0.3">
      <c r="A224">
        <v>223</v>
      </c>
      <c r="B224" s="1">
        <v>40766</v>
      </c>
      <c r="C224">
        <v>3</v>
      </c>
      <c r="D224">
        <v>0</v>
      </c>
      <c r="E224">
        <v>8</v>
      </c>
      <c r="F224">
        <v>0</v>
      </c>
      <c r="G224">
        <v>4</v>
      </c>
      <c r="H224">
        <v>1</v>
      </c>
      <c r="I224">
        <v>1</v>
      </c>
      <c r="J224">
        <v>0.71750000000000003</v>
      </c>
      <c r="K224">
        <v>0.65152100000000002</v>
      </c>
      <c r="L224">
        <v>0.42375000000000002</v>
      </c>
      <c r="M224">
        <v>0.164796</v>
      </c>
      <c r="N224">
        <v>812</v>
      </c>
      <c r="O224">
        <v>3980</v>
      </c>
      <c r="P224">
        <v>4792</v>
      </c>
      <c r="Q224">
        <f t="shared" si="12"/>
        <v>25.722500000000004</v>
      </c>
      <c r="R224">
        <f t="shared" si="13"/>
        <v>27.000385999999999</v>
      </c>
      <c r="S224">
        <f t="shared" si="14"/>
        <v>42.375</v>
      </c>
      <c r="T224">
        <f t="shared" si="15"/>
        <v>11.041332000000001</v>
      </c>
      <c r="U224" t="str">
        <f>_xlfn.XLOOKUP(C224,Lookup!$A$3:$A$6,Lookup!$B$3:$B$6)</f>
        <v>Summer</v>
      </c>
      <c r="V224">
        <f>_xlfn.XLOOKUP(D224,Lookup!$D$3:$D$4,Lookup!$E$3:$E$4)</f>
        <v>2011</v>
      </c>
      <c r="W224" t="str">
        <f>_xlfn.XLOOKUP(I224,Lookup!$G$3:$G$6,Lookup!$H$3:$H$6)</f>
        <v>Clear</v>
      </c>
      <c r="X224" t="str">
        <f>_xlfn.XLOOKUP(E224,Lookup!$J$3:$J$14,Lookup!$K$3:$K$14)</f>
        <v>August</v>
      </c>
      <c r="Y224" t="str">
        <f>_xlfn.XLOOKUP(G224,Lookup!$M$3:$M$9,Lookup!$N$3:$N$9)</f>
        <v>Thursday</v>
      </c>
    </row>
    <row r="225" spans="1:25" x14ac:dyDescent="0.3">
      <c r="A225">
        <v>224</v>
      </c>
      <c r="B225" s="1">
        <v>40767</v>
      </c>
      <c r="C225">
        <v>3</v>
      </c>
      <c r="D225">
        <v>0</v>
      </c>
      <c r="E225">
        <v>8</v>
      </c>
      <c r="F225">
        <v>0</v>
      </c>
      <c r="G225">
        <v>5</v>
      </c>
      <c r="H225">
        <v>1</v>
      </c>
      <c r="I225">
        <v>1</v>
      </c>
      <c r="J225">
        <v>0.70833299999999999</v>
      </c>
      <c r="K225">
        <v>0.65404200000000001</v>
      </c>
      <c r="L225">
        <v>0.41499999999999998</v>
      </c>
      <c r="M225">
        <v>0.12562100000000001</v>
      </c>
      <c r="N225">
        <v>1051</v>
      </c>
      <c r="O225">
        <v>3854</v>
      </c>
      <c r="P225">
        <v>4905</v>
      </c>
      <c r="Q225">
        <f t="shared" si="12"/>
        <v>25.291651000000002</v>
      </c>
      <c r="R225">
        <f t="shared" si="13"/>
        <v>27.166772000000002</v>
      </c>
      <c r="S225">
        <f t="shared" si="14"/>
        <v>41.5</v>
      </c>
      <c r="T225">
        <f t="shared" si="15"/>
        <v>8.4166070000000008</v>
      </c>
      <c r="U225" t="str">
        <f>_xlfn.XLOOKUP(C225,Lookup!$A$3:$A$6,Lookup!$B$3:$B$6)</f>
        <v>Summer</v>
      </c>
      <c r="V225">
        <f>_xlfn.XLOOKUP(D225,Lookup!$D$3:$D$4,Lookup!$E$3:$E$4)</f>
        <v>2011</v>
      </c>
      <c r="W225" t="str">
        <f>_xlfn.XLOOKUP(I225,Lookup!$G$3:$G$6,Lookup!$H$3:$H$6)</f>
        <v>Clear</v>
      </c>
      <c r="X225" t="str">
        <f>_xlfn.XLOOKUP(E225,Lookup!$J$3:$J$14,Lookup!$K$3:$K$14)</f>
        <v>August</v>
      </c>
      <c r="Y225" t="str">
        <f>_xlfn.XLOOKUP(G225,Lookup!$M$3:$M$9,Lookup!$N$3:$N$9)</f>
        <v>Friday</v>
      </c>
    </row>
    <row r="226" spans="1:25" x14ac:dyDescent="0.3">
      <c r="A226">
        <v>225</v>
      </c>
      <c r="B226" s="1">
        <v>40768</v>
      </c>
      <c r="C226">
        <v>3</v>
      </c>
      <c r="D226">
        <v>0</v>
      </c>
      <c r="E226">
        <v>8</v>
      </c>
      <c r="F226">
        <v>0</v>
      </c>
      <c r="G226">
        <v>6</v>
      </c>
      <c r="H226">
        <v>0</v>
      </c>
      <c r="I226">
        <v>2</v>
      </c>
      <c r="J226">
        <v>0.68583300000000003</v>
      </c>
      <c r="K226">
        <v>0.64585800000000004</v>
      </c>
      <c r="L226">
        <v>0.72958299999999998</v>
      </c>
      <c r="M226">
        <v>0.211454</v>
      </c>
      <c r="N226">
        <v>1504</v>
      </c>
      <c r="O226">
        <v>2646</v>
      </c>
      <c r="P226">
        <v>4150</v>
      </c>
      <c r="Q226">
        <f t="shared" si="12"/>
        <v>24.234151000000004</v>
      </c>
      <c r="R226">
        <f t="shared" si="13"/>
        <v>26.626628000000004</v>
      </c>
      <c r="S226">
        <f t="shared" si="14"/>
        <v>72.958299999999994</v>
      </c>
      <c r="T226">
        <f t="shared" si="15"/>
        <v>14.167418</v>
      </c>
      <c r="U226" t="str">
        <f>_xlfn.XLOOKUP(C226,Lookup!$A$3:$A$6,Lookup!$B$3:$B$6)</f>
        <v>Summer</v>
      </c>
      <c r="V226">
        <f>_xlfn.XLOOKUP(D226,Lookup!$D$3:$D$4,Lookup!$E$3:$E$4)</f>
        <v>2011</v>
      </c>
      <c r="W226" t="str">
        <f>_xlfn.XLOOKUP(I226,Lookup!$G$3:$G$6,Lookup!$H$3:$H$6)</f>
        <v>Misty/Cloudy</v>
      </c>
      <c r="X226" t="str">
        <f>_xlfn.XLOOKUP(E226,Lookup!$J$3:$J$14,Lookup!$K$3:$K$14)</f>
        <v>August</v>
      </c>
      <c r="Y226" t="str">
        <f>_xlfn.XLOOKUP(G226,Lookup!$M$3:$M$9,Lookup!$N$3:$N$9)</f>
        <v>Saturday</v>
      </c>
    </row>
    <row r="227" spans="1:25" x14ac:dyDescent="0.3">
      <c r="A227">
        <v>226</v>
      </c>
      <c r="B227" s="1">
        <v>40769</v>
      </c>
      <c r="C227">
        <v>3</v>
      </c>
      <c r="D227">
        <v>0</v>
      </c>
      <c r="E227">
        <v>8</v>
      </c>
      <c r="F227">
        <v>0</v>
      </c>
      <c r="G227">
        <v>0</v>
      </c>
      <c r="H227">
        <v>0</v>
      </c>
      <c r="I227">
        <v>2</v>
      </c>
      <c r="J227">
        <v>0.67666700000000002</v>
      </c>
      <c r="K227">
        <v>0.62438800000000005</v>
      </c>
      <c r="L227">
        <v>0.8175</v>
      </c>
      <c r="M227">
        <v>0.222633</v>
      </c>
      <c r="N227">
        <v>1338</v>
      </c>
      <c r="O227">
        <v>2482</v>
      </c>
      <c r="P227">
        <v>3820</v>
      </c>
      <c r="Q227">
        <f t="shared" si="12"/>
        <v>23.803349000000001</v>
      </c>
      <c r="R227">
        <f t="shared" si="13"/>
        <v>25.209608000000003</v>
      </c>
      <c r="S227">
        <f t="shared" si="14"/>
        <v>81.75</v>
      </c>
      <c r="T227">
        <f t="shared" si="15"/>
        <v>14.916411</v>
      </c>
      <c r="U227" t="str">
        <f>_xlfn.XLOOKUP(C227,Lookup!$A$3:$A$6,Lookup!$B$3:$B$6)</f>
        <v>Summer</v>
      </c>
      <c r="V227">
        <f>_xlfn.XLOOKUP(D227,Lookup!$D$3:$D$4,Lookup!$E$3:$E$4)</f>
        <v>2011</v>
      </c>
      <c r="W227" t="str">
        <f>_xlfn.XLOOKUP(I227,Lookup!$G$3:$G$6,Lookup!$H$3:$H$6)</f>
        <v>Misty/Cloudy</v>
      </c>
      <c r="X227" t="str">
        <f>_xlfn.XLOOKUP(E227,Lookup!$J$3:$J$14,Lookup!$K$3:$K$14)</f>
        <v>August</v>
      </c>
      <c r="Y227" t="str">
        <f>_xlfn.XLOOKUP(G227,Lookup!$M$3:$M$9,Lookup!$N$3:$N$9)</f>
        <v>Sunday</v>
      </c>
    </row>
    <row r="228" spans="1:25" x14ac:dyDescent="0.3">
      <c r="A228">
        <v>227</v>
      </c>
      <c r="B228" s="1">
        <v>40770</v>
      </c>
      <c r="C228">
        <v>3</v>
      </c>
      <c r="D228">
        <v>0</v>
      </c>
      <c r="E228">
        <v>8</v>
      </c>
      <c r="F228">
        <v>0</v>
      </c>
      <c r="G228">
        <v>1</v>
      </c>
      <c r="H228">
        <v>1</v>
      </c>
      <c r="I228">
        <v>1</v>
      </c>
      <c r="J228">
        <v>0.66583300000000001</v>
      </c>
      <c r="K228">
        <v>0.61616700000000002</v>
      </c>
      <c r="L228">
        <v>0.71208300000000002</v>
      </c>
      <c r="M228">
        <v>0.208954</v>
      </c>
      <c r="N228">
        <v>775</v>
      </c>
      <c r="O228">
        <v>3563</v>
      </c>
      <c r="P228">
        <v>4338</v>
      </c>
      <c r="Q228">
        <f t="shared" si="12"/>
        <v>23.294150999999999</v>
      </c>
      <c r="R228">
        <f t="shared" si="13"/>
        <v>24.667022000000003</v>
      </c>
      <c r="S228">
        <f t="shared" si="14"/>
        <v>71.208300000000008</v>
      </c>
      <c r="T228">
        <f t="shared" si="15"/>
        <v>13.999917999999999</v>
      </c>
      <c r="U228" t="str">
        <f>_xlfn.XLOOKUP(C228,Lookup!$A$3:$A$6,Lookup!$B$3:$B$6)</f>
        <v>Summer</v>
      </c>
      <c r="V228">
        <f>_xlfn.XLOOKUP(D228,Lookup!$D$3:$D$4,Lookup!$E$3:$E$4)</f>
        <v>2011</v>
      </c>
      <c r="W228" t="str">
        <f>_xlfn.XLOOKUP(I228,Lookup!$G$3:$G$6,Lookup!$H$3:$H$6)</f>
        <v>Clear</v>
      </c>
      <c r="X228" t="str">
        <f>_xlfn.XLOOKUP(E228,Lookup!$J$3:$J$14,Lookup!$K$3:$K$14)</f>
        <v>August</v>
      </c>
      <c r="Y228" t="str">
        <f>_xlfn.XLOOKUP(G228,Lookup!$M$3:$M$9,Lookup!$N$3:$N$9)</f>
        <v>Monday</v>
      </c>
    </row>
    <row r="229" spans="1:25" x14ac:dyDescent="0.3">
      <c r="A229">
        <v>228</v>
      </c>
      <c r="B229" s="1">
        <v>40771</v>
      </c>
      <c r="C229">
        <v>3</v>
      </c>
      <c r="D229">
        <v>0</v>
      </c>
      <c r="E229">
        <v>8</v>
      </c>
      <c r="F229">
        <v>0</v>
      </c>
      <c r="G229">
        <v>2</v>
      </c>
      <c r="H229">
        <v>1</v>
      </c>
      <c r="I229">
        <v>1</v>
      </c>
      <c r="J229">
        <v>0.70083300000000004</v>
      </c>
      <c r="K229">
        <v>0.64583699999999999</v>
      </c>
      <c r="L229">
        <v>0.57833299999999999</v>
      </c>
      <c r="M229">
        <v>0.23632900000000001</v>
      </c>
      <c r="N229">
        <v>721</v>
      </c>
      <c r="O229">
        <v>4004</v>
      </c>
      <c r="P229">
        <v>4725</v>
      </c>
      <c r="Q229">
        <f t="shared" si="12"/>
        <v>24.939151000000003</v>
      </c>
      <c r="R229">
        <f t="shared" si="13"/>
        <v>26.625242</v>
      </c>
      <c r="S229">
        <f t="shared" si="14"/>
        <v>57.833300000000001</v>
      </c>
      <c r="T229">
        <f t="shared" si="15"/>
        <v>15.834043000000001</v>
      </c>
      <c r="U229" t="str">
        <f>_xlfn.XLOOKUP(C229,Lookup!$A$3:$A$6,Lookup!$B$3:$B$6)</f>
        <v>Summer</v>
      </c>
      <c r="V229">
        <f>_xlfn.XLOOKUP(D229,Lookup!$D$3:$D$4,Lookup!$E$3:$E$4)</f>
        <v>2011</v>
      </c>
      <c r="W229" t="str">
        <f>_xlfn.XLOOKUP(I229,Lookup!$G$3:$G$6,Lookup!$H$3:$H$6)</f>
        <v>Clear</v>
      </c>
      <c r="X229" t="str">
        <f>_xlfn.XLOOKUP(E229,Lookup!$J$3:$J$14,Lookup!$K$3:$K$14)</f>
        <v>August</v>
      </c>
      <c r="Y229" t="str">
        <f>_xlfn.XLOOKUP(G229,Lookup!$M$3:$M$9,Lookup!$N$3:$N$9)</f>
        <v>Tuesday</v>
      </c>
    </row>
    <row r="230" spans="1:25" x14ac:dyDescent="0.3">
      <c r="A230">
        <v>229</v>
      </c>
      <c r="B230" s="1">
        <v>40772</v>
      </c>
      <c r="C230">
        <v>3</v>
      </c>
      <c r="D230">
        <v>0</v>
      </c>
      <c r="E230">
        <v>8</v>
      </c>
      <c r="F230">
        <v>0</v>
      </c>
      <c r="G230">
        <v>3</v>
      </c>
      <c r="H230">
        <v>1</v>
      </c>
      <c r="I230">
        <v>1</v>
      </c>
      <c r="J230">
        <v>0.723333</v>
      </c>
      <c r="K230">
        <v>0.66667100000000001</v>
      </c>
      <c r="L230">
        <v>0.57541699999999996</v>
      </c>
      <c r="M230">
        <v>0.14366699999999999</v>
      </c>
      <c r="N230">
        <v>668</v>
      </c>
      <c r="O230">
        <v>4026</v>
      </c>
      <c r="P230">
        <v>4694</v>
      </c>
      <c r="Q230">
        <f t="shared" si="12"/>
        <v>25.996651</v>
      </c>
      <c r="R230">
        <f t="shared" si="13"/>
        <v>28.000286000000003</v>
      </c>
      <c r="S230">
        <f t="shared" si="14"/>
        <v>57.541699999999999</v>
      </c>
      <c r="T230">
        <f t="shared" si="15"/>
        <v>9.6256889999999995</v>
      </c>
      <c r="U230" t="str">
        <f>_xlfn.XLOOKUP(C230,Lookup!$A$3:$A$6,Lookup!$B$3:$B$6)</f>
        <v>Summer</v>
      </c>
      <c r="V230">
        <f>_xlfn.XLOOKUP(D230,Lookup!$D$3:$D$4,Lookup!$E$3:$E$4)</f>
        <v>2011</v>
      </c>
      <c r="W230" t="str">
        <f>_xlfn.XLOOKUP(I230,Lookup!$G$3:$G$6,Lookup!$H$3:$H$6)</f>
        <v>Clear</v>
      </c>
      <c r="X230" t="str">
        <f>_xlfn.XLOOKUP(E230,Lookup!$J$3:$J$14,Lookup!$K$3:$K$14)</f>
        <v>August</v>
      </c>
      <c r="Y230" t="str">
        <f>_xlfn.XLOOKUP(G230,Lookup!$M$3:$M$9,Lookup!$N$3:$N$9)</f>
        <v>Wednesday</v>
      </c>
    </row>
    <row r="231" spans="1:25" x14ac:dyDescent="0.3">
      <c r="A231">
        <v>230</v>
      </c>
      <c r="B231" s="1">
        <v>40773</v>
      </c>
      <c r="C231">
        <v>3</v>
      </c>
      <c r="D231">
        <v>0</v>
      </c>
      <c r="E231">
        <v>8</v>
      </c>
      <c r="F231">
        <v>0</v>
      </c>
      <c r="G231">
        <v>4</v>
      </c>
      <c r="H231">
        <v>1</v>
      </c>
      <c r="I231">
        <v>1</v>
      </c>
      <c r="J231">
        <v>0.71166700000000005</v>
      </c>
      <c r="K231">
        <v>0.66225800000000001</v>
      </c>
      <c r="L231">
        <v>0.65458300000000003</v>
      </c>
      <c r="M231">
        <v>0.233208</v>
      </c>
      <c r="N231">
        <v>639</v>
      </c>
      <c r="O231">
        <v>3166</v>
      </c>
      <c r="P231">
        <v>3805</v>
      </c>
      <c r="Q231">
        <f t="shared" si="12"/>
        <v>25.448349</v>
      </c>
      <c r="R231">
        <f t="shared" si="13"/>
        <v>27.709028000000004</v>
      </c>
      <c r="S231">
        <f t="shared" si="14"/>
        <v>65.458300000000008</v>
      </c>
      <c r="T231">
        <f t="shared" si="15"/>
        <v>15.624936</v>
      </c>
      <c r="U231" t="str">
        <f>_xlfn.XLOOKUP(C231,Lookup!$A$3:$A$6,Lookup!$B$3:$B$6)</f>
        <v>Summer</v>
      </c>
      <c r="V231">
        <f>_xlfn.XLOOKUP(D231,Lookup!$D$3:$D$4,Lookup!$E$3:$E$4)</f>
        <v>2011</v>
      </c>
      <c r="W231" t="str">
        <f>_xlfn.XLOOKUP(I231,Lookup!$G$3:$G$6,Lookup!$H$3:$H$6)</f>
        <v>Clear</v>
      </c>
      <c r="X231" t="str">
        <f>_xlfn.XLOOKUP(E231,Lookup!$J$3:$J$14,Lookup!$K$3:$K$14)</f>
        <v>August</v>
      </c>
      <c r="Y231" t="str">
        <f>_xlfn.XLOOKUP(G231,Lookup!$M$3:$M$9,Lookup!$N$3:$N$9)</f>
        <v>Thursday</v>
      </c>
    </row>
    <row r="232" spans="1:25" x14ac:dyDescent="0.3">
      <c r="A232">
        <v>231</v>
      </c>
      <c r="B232" s="1">
        <v>40774</v>
      </c>
      <c r="C232">
        <v>3</v>
      </c>
      <c r="D232">
        <v>0</v>
      </c>
      <c r="E232">
        <v>8</v>
      </c>
      <c r="F232">
        <v>0</v>
      </c>
      <c r="G232">
        <v>5</v>
      </c>
      <c r="H232">
        <v>1</v>
      </c>
      <c r="I232">
        <v>2</v>
      </c>
      <c r="J232">
        <v>0.68500000000000005</v>
      </c>
      <c r="K232">
        <v>0.63322100000000003</v>
      </c>
      <c r="L232">
        <v>0.72291700000000003</v>
      </c>
      <c r="M232">
        <v>0.13930799999999999</v>
      </c>
      <c r="N232">
        <v>797</v>
      </c>
      <c r="O232">
        <v>3356</v>
      </c>
      <c r="P232">
        <v>4153</v>
      </c>
      <c r="Q232">
        <f t="shared" si="12"/>
        <v>24.195</v>
      </c>
      <c r="R232">
        <f t="shared" si="13"/>
        <v>25.792586</v>
      </c>
      <c r="S232">
        <f t="shared" si="14"/>
        <v>72.291700000000006</v>
      </c>
      <c r="T232">
        <f t="shared" si="15"/>
        <v>9.3336359999999985</v>
      </c>
      <c r="U232" t="str">
        <f>_xlfn.XLOOKUP(C232,Lookup!$A$3:$A$6,Lookup!$B$3:$B$6)</f>
        <v>Summer</v>
      </c>
      <c r="V232">
        <f>_xlfn.XLOOKUP(D232,Lookup!$D$3:$D$4,Lookup!$E$3:$E$4)</f>
        <v>2011</v>
      </c>
      <c r="W232" t="str">
        <f>_xlfn.XLOOKUP(I232,Lookup!$G$3:$G$6,Lookup!$H$3:$H$6)</f>
        <v>Misty/Cloudy</v>
      </c>
      <c r="X232" t="str">
        <f>_xlfn.XLOOKUP(E232,Lookup!$J$3:$J$14,Lookup!$K$3:$K$14)</f>
        <v>August</v>
      </c>
      <c r="Y232" t="str">
        <f>_xlfn.XLOOKUP(G232,Lookup!$M$3:$M$9,Lookup!$N$3:$N$9)</f>
        <v>Friday</v>
      </c>
    </row>
    <row r="233" spans="1:25" x14ac:dyDescent="0.3">
      <c r="A233">
        <v>232</v>
      </c>
      <c r="B233" s="1">
        <v>40775</v>
      </c>
      <c r="C233">
        <v>3</v>
      </c>
      <c r="D233">
        <v>0</v>
      </c>
      <c r="E233">
        <v>8</v>
      </c>
      <c r="F233">
        <v>0</v>
      </c>
      <c r="G233">
        <v>6</v>
      </c>
      <c r="H233">
        <v>0</v>
      </c>
      <c r="I233">
        <v>1</v>
      </c>
      <c r="J233">
        <v>0.69750000000000001</v>
      </c>
      <c r="K233">
        <v>0.64899600000000002</v>
      </c>
      <c r="L233">
        <v>0.67416699999999996</v>
      </c>
      <c r="M233">
        <v>0.104467</v>
      </c>
      <c r="N233">
        <v>1914</v>
      </c>
      <c r="O233">
        <v>3277</v>
      </c>
      <c r="P233">
        <v>5191</v>
      </c>
      <c r="Q233">
        <f t="shared" si="12"/>
        <v>24.782499999999999</v>
      </c>
      <c r="R233">
        <f t="shared" si="13"/>
        <v>26.833736000000002</v>
      </c>
      <c r="S233">
        <f t="shared" si="14"/>
        <v>67.416699999999992</v>
      </c>
      <c r="T233">
        <f t="shared" si="15"/>
        <v>6.9992890000000001</v>
      </c>
      <c r="U233" t="str">
        <f>_xlfn.XLOOKUP(C233,Lookup!$A$3:$A$6,Lookup!$B$3:$B$6)</f>
        <v>Summer</v>
      </c>
      <c r="V233">
        <f>_xlfn.XLOOKUP(D233,Lookup!$D$3:$D$4,Lookup!$E$3:$E$4)</f>
        <v>2011</v>
      </c>
      <c r="W233" t="str">
        <f>_xlfn.XLOOKUP(I233,Lookup!$G$3:$G$6,Lookup!$H$3:$H$6)</f>
        <v>Clear</v>
      </c>
      <c r="X233" t="str">
        <f>_xlfn.XLOOKUP(E233,Lookup!$J$3:$J$14,Lookup!$K$3:$K$14)</f>
        <v>August</v>
      </c>
      <c r="Y233" t="str">
        <f>_xlfn.XLOOKUP(G233,Lookup!$M$3:$M$9,Lookup!$N$3:$N$9)</f>
        <v>Saturday</v>
      </c>
    </row>
    <row r="234" spans="1:25" x14ac:dyDescent="0.3">
      <c r="A234">
        <v>233</v>
      </c>
      <c r="B234" s="1">
        <v>40776</v>
      </c>
      <c r="C234">
        <v>3</v>
      </c>
      <c r="D234">
        <v>0</v>
      </c>
      <c r="E234">
        <v>8</v>
      </c>
      <c r="F234">
        <v>0</v>
      </c>
      <c r="G234">
        <v>0</v>
      </c>
      <c r="H234">
        <v>0</v>
      </c>
      <c r="I234">
        <v>1</v>
      </c>
      <c r="J234">
        <v>0.71083300000000005</v>
      </c>
      <c r="K234">
        <v>0.67552500000000004</v>
      </c>
      <c r="L234">
        <v>0.77</v>
      </c>
      <c r="M234">
        <v>0.248754</v>
      </c>
      <c r="N234">
        <v>1249</v>
      </c>
      <c r="O234">
        <v>2624</v>
      </c>
      <c r="P234">
        <v>3873</v>
      </c>
      <c r="Q234">
        <f t="shared" si="12"/>
        <v>25.409151000000001</v>
      </c>
      <c r="R234">
        <f t="shared" si="13"/>
        <v>28.584650000000003</v>
      </c>
      <c r="S234">
        <f t="shared" si="14"/>
        <v>77</v>
      </c>
      <c r="T234">
        <f t="shared" si="15"/>
        <v>16.666518</v>
      </c>
      <c r="U234" t="str">
        <f>_xlfn.XLOOKUP(C234,Lookup!$A$3:$A$6,Lookup!$B$3:$B$6)</f>
        <v>Summer</v>
      </c>
      <c r="V234">
        <f>_xlfn.XLOOKUP(D234,Lookup!$D$3:$D$4,Lookup!$E$3:$E$4)</f>
        <v>2011</v>
      </c>
      <c r="W234" t="str">
        <f>_xlfn.XLOOKUP(I234,Lookup!$G$3:$G$6,Lookup!$H$3:$H$6)</f>
        <v>Clear</v>
      </c>
      <c r="X234" t="str">
        <f>_xlfn.XLOOKUP(E234,Lookup!$J$3:$J$14,Lookup!$K$3:$K$14)</f>
        <v>August</v>
      </c>
      <c r="Y234" t="str">
        <f>_xlfn.XLOOKUP(G234,Lookup!$M$3:$M$9,Lookup!$N$3:$N$9)</f>
        <v>Sunday</v>
      </c>
    </row>
    <row r="235" spans="1:25" x14ac:dyDescent="0.3">
      <c r="A235">
        <v>234</v>
      </c>
      <c r="B235" s="1">
        <v>40777</v>
      </c>
      <c r="C235">
        <v>3</v>
      </c>
      <c r="D235">
        <v>0</v>
      </c>
      <c r="E235">
        <v>8</v>
      </c>
      <c r="F235">
        <v>0</v>
      </c>
      <c r="G235">
        <v>1</v>
      </c>
      <c r="H235">
        <v>1</v>
      </c>
      <c r="I235">
        <v>1</v>
      </c>
      <c r="J235">
        <v>0.69166700000000003</v>
      </c>
      <c r="K235">
        <v>0.63825399999999999</v>
      </c>
      <c r="L235">
        <v>0.47</v>
      </c>
      <c r="M235">
        <v>0.27675</v>
      </c>
      <c r="N235">
        <v>833</v>
      </c>
      <c r="O235">
        <v>3925</v>
      </c>
      <c r="P235">
        <v>4758</v>
      </c>
      <c r="Q235">
        <f t="shared" si="12"/>
        <v>24.508349000000003</v>
      </c>
      <c r="R235">
        <f t="shared" si="13"/>
        <v>26.124763999999999</v>
      </c>
      <c r="S235">
        <f t="shared" si="14"/>
        <v>47</v>
      </c>
      <c r="T235">
        <f t="shared" si="15"/>
        <v>18.542249999999999</v>
      </c>
      <c r="U235" t="str">
        <f>_xlfn.XLOOKUP(C235,Lookup!$A$3:$A$6,Lookup!$B$3:$B$6)</f>
        <v>Summer</v>
      </c>
      <c r="V235">
        <f>_xlfn.XLOOKUP(D235,Lookup!$D$3:$D$4,Lookup!$E$3:$E$4)</f>
        <v>2011</v>
      </c>
      <c r="W235" t="str">
        <f>_xlfn.XLOOKUP(I235,Lookup!$G$3:$G$6,Lookup!$H$3:$H$6)</f>
        <v>Clear</v>
      </c>
      <c r="X235" t="str">
        <f>_xlfn.XLOOKUP(E235,Lookup!$J$3:$J$14,Lookup!$K$3:$K$14)</f>
        <v>August</v>
      </c>
      <c r="Y235" t="str">
        <f>_xlfn.XLOOKUP(G235,Lookup!$M$3:$M$9,Lookup!$N$3:$N$9)</f>
        <v>Monday</v>
      </c>
    </row>
    <row r="236" spans="1:25" x14ac:dyDescent="0.3">
      <c r="A236">
        <v>235</v>
      </c>
      <c r="B236" s="1">
        <v>40778</v>
      </c>
      <c r="C236">
        <v>3</v>
      </c>
      <c r="D236">
        <v>0</v>
      </c>
      <c r="E236">
        <v>8</v>
      </c>
      <c r="F236">
        <v>0</v>
      </c>
      <c r="G236">
        <v>2</v>
      </c>
      <c r="H236">
        <v>1</v>
      </c>
      <c r="I236">
        <v>1</v>
      </c>
      <c r="J236">
        <v>0.64083299999999999</v>
      </c>
      <c r="K236">
        <v>0.60606700000000002</v>
      </c>
      <c r="L236">
        <v>0.45541700000000002</v>
      </c>
      <c r="M236">
        <v>0.146763</v>
      </c>
      <c r="N236">
        <v>1281</v>
      </c>
      <c r="O236">
        <v>4614</v>
      </c>
      <c r="P236">
        <v>5895</v>
      </c>
      <c r="Q236">
        <f t="shared" si="12"/>
        <v>22.119150999999999</v>
      </c>
      <c r="R236">
        <f t="shared" si="13"/>
        <v>24.000422</v>
      </c>
      <c r="S236">
        <f t="shared" si="14"/>
        <v>45.541699999999999</v>
      </c>
      <c r="T236">
        <f t="shared" si="15"/>
        <v>9.8331210000000002</v>
      </c>
      <c r="U236" t="str">
        <f>_xlfn.XLOOKUP(C236,Lookup!$A$3:$A$6,Lookup!$B$3:$B$6)</f>
        <v>Summer</v>
      </c>
      <c r="V236">
        <f>_xlfn.XLOOKUP(D236,Lookup!$D$3:$D$4,Lookup!$E$3:$E$4)</f>
        <v>2011</v>
      </c>
      <c r="W236" t="str">
        <f>_xlfn.XLOOKUP(I236,Lookup!$G$3:$G$6,Lookup!$H$3:$H$6)</f>
        <v>Clear</v>
      </c>
      <c r="X236" t="str">
        <f>_xlfn.XLOOKUP(E236,Lookup!$J$3:$J$14,Lookup!$K$3:$K$14)</f>
        <v>August</v>
      </c>
      <c r="Y236" t="str">
        <f>_xlfn.XLOOKUP(G236,Lookup!$M$3:$M$9,Lookup!$N$3:$N$9)</f>
        <v>Tuesday</v>
      </c>
    </row>
    <row r="237" spans="1:25" x14ac:dyDescent="0.3">
      <c r="A237">
        <v>236</v>
      </c>
      <c r="B237" s="1">
        <v>40779</v>
      </c>
      <c r="C237">
        <v>3</v>
      </c>
      <c r="D237">
        <v>0</v>
      </c>
      <c r="E237">
        <v>8</v>
      </c>
      <c r="F237">
        <v>0</v>
      </c>
      <c r="G237">
        <v>3</v>
      </c>
      <c r="H237">
        <v>1</v>
      </c>
      <c r="I237">
        <v>1</v>
      </c>
      <c r="J237">
        <v>0.67333299999999996</v>
      </c>
      <c r="K237">
        <v>0.63069200000000003</v>
      </c>
      <c r="L237">
        <v>0.60499999999999998</v>
      </c>
      <c r="M237">
        <v>0.253108</v>
      </c>
      <c r="N237">
        <v>949</v>
      </c>
      <c r="O237">
        <v>4181</v>
      </c>
      <c r="P237">
        <v>5130</v>
      </c>
      <c r="Q237">
        <f t="shared" si="12"/>
        <v>23.646650999999999</v>
      </c>
      <c r="R237">
        <f t="shared" si="13"/>
        <v>25.625672000000002</v>
      </c>
      <c r="S237">
        <f t="shared" si="14"/>
        <v>60.5</v>
      </c>
      <c r="T237">
        <f t="shared" si="15"/>
        <v>16.958235999999999</v>
      </c>
      <c r="U237" t="str">
        <f>_xlfn.XLOOKUP(C237,Lookup!$A$3:$A$6,Lookup!$B$3:$B$6)</f>
        <v>Summer</v>
      </c>
      <c r="V237">
        <f>_xlfn.XLOOKUP(D237,Lookup!$D$3:$D$4,Lookup!$E$3:$E$4)</f>
        <v>2011</v>
      </c>
      <c r="W237" t="str">
        <f>_xlfn.XLOOKUP(I237,Lookup!$G$3:$G$6,Lookup!$H$3:$H$6)</f>
        <v>Clear</v>
      </c>
      <c r="X237" t="str">
        <f>_xlfn.XLOOKUP(E237,Lookup!$J$3:$J$14,Lookup!$K$3:$K$14)</f>
        <v>August</v>
      </c>
      <c r="Y237" t="str">
        <f>_xlfn.XLOOKUP(G237,Lookup!$M$3:$M$9,Lookup!$N$3:$N$9)</f>
        <v>Wednesday</v>
      </c>
    </row>
    <row r="238" spans="1:25" x14ac:dyDescent="0.3">
      <c r="A238">
        <v>237</v>
      </c>
      <c r="B238" s="1">
        <v>40780</v>
      </c>
      <c r="C238">
        <v>3</v>
      </c>
      <c r="D238">
        <v>0</v>
      </c>
      <c r="E238">
        <v>8</v>
      </c>
      <c r="F238">
        <v>0</v>
      </c>
      <c r="G238">
        <v>4</v>
      </c>
      <c r="H238">
        <v>1</v>
      </c>
      <c r="I238">
        <v>2</v>
      </c>
      <c r="J238">
        <v>0.68416699999999997</v>
      </c>
      <c r="K238">
        <v>0.64585400000000004</v>
      </c>
      <c r="L238">
        <v>0.77166699999999999</v>
      </c>
      <c r="M238">
        <v>0.21083299999999999</v>
      </c>
      <c r="N238">
        <v>435</v>
      </c>
      <c r="O238">
        <v>3107</v>
      </c>
      <c r="P238">
        <v>3542</v>
      </c>
      <c r="Q238">
        <f t="shared" si="12"/>
        <v>24.155848999999996</v>
      </c>
      <c r="R238">
        <f t="shared" si="13"/>
        <v>26.626364000000002</v>
      </c>
      <c r="S238">
        <f t="shared" si="14"/>
        <v>77.166700000000006</v>
      </c>
      <c r="T238">
        <f t="shared" si="15"/>
        <v>14.125810999999999</v>
      </c>
      <c r="U238" t="str">
        <f>_xlfn.XLOOKUP(C238,Lookup!$A$3:$A$6,Lookup!$B$3:$B$6)</f>
        <v>Summer</v>
      </c>
      <c r="V238">
        <f>_xlfn.XLOOKUP(D238,Lookup!$D$3:$D$4,Lookup!$E$3:$E$4)</f>
        <v>2011</v>
      </c>
      <c r="W238" t="str">
        <f>_xlfn.XLOOKUP(I238,Lookup!$G$3:$G$6,Lookup!$H$3:$H$6)</f>
        <v>Misty/Cloudy</v>
      </c>
      <c r="X238" t="str">
        <f>_xlfn.XLOOKUP(E238,Lookup!$J$3:$J$14,Lookup!$K$3:$K$14)</f>
        <v>August</v>
      </c>
      <c r="Y238" t="str">
        <f>_xlfn.XLOOKUP(G238,Lookup!$M$3:$M$9,Lookup!$N$3:$N$9)</f>
        <v>Thursday</v>
      </c>
    </row>
    <row r="239" spans="1:25" x14ac:dyDescent="0.3">
      <c r="A239">
        <v>238</v>
      </c>
      <c r="B239" s="1">
        <v>40781</v>
      </c>
      <c r="C239">
        <v>3</v>
      </c>
      <c r="D239">
        <v>0</v>
      </c>
      <c r="E239">
        <v>8</v>
      </c>
      <c r="F239">
        <v>0</v>
      </c>
      <c r="G239">
        <v>5</v>
      </c>
      <c r="H239">
        <v>1</v>
      </c>
      <c r="I239">
        <v>1</v>
      </c>
      <c r="J239">
        <v>0.7</v>
      </c>
      <c r="K239">
        <v>0.65973300000000001</v>
      </c>
      <c r="L239">
        <v>0.76124999999999998</v>
      </c>
      <c r="M239">
        <v>8.3962499999999995E-2</v>
      </c>
      <c r="N239">
        <v>768</v>
      </c>
      <c r="O239">
        <v>3893</v>
      </c>
      <c r="P239">
        <v>4661</v>
      </c>
      <c r="Q239">
        <f t="shared" si="12"/>
        <v>24.9</v>
      </c>
      <c r="R239">
        <f t="shared" si="13"/>
        <v>27.542377999999999</v>
      </c>
      <c r="S239">
        <f t="shared" si="14"/>
        <v>76.125</v>
      </c>
      <c r="T239">
        <f t="shared" si="15"/>
        <v>5.6254874999999993</v>
      </c>
      <c r="U239" t="str">
        <f>_xlfn.XLOOKUP(C239,Lookup!$A$3:$A$6,Lookup!$B$3:$B$6)</f>
        <v>Summer</v>
      </c>
      <c r="V239">
        <f>_xlfn.XLOOKUP(D239,Lookup!$D$3:$D$4,Lookup!$E$3:$E$4)</f>
        <v>2011</v>
      </c>
      <c r="W239" t="str">
        <f>_xlfn.XLOOKUP(I239,Lookup!$G$3:$G$6,Lookup!$H$3:$H$6)</f>
        <v>Clear</v>
      </c>
      <c r="X239" t="str">
        <f>_xlfn.XLOOKUP(E239,Lookup!$J$3:$J$14,Lookup!$K$3:$K$14)</f>
        <v>August</v>
      </c>
      <c r="Y239" t="str">
        <f>_xlfn.XLOOKUP(G239,Lookup!$M$3:$M$9,Lookup!$N$3:$N$9)</f>
        <v>Friday</v>
      </c>
    </row>
    <row r="240" spans="1:25" x14ac:dyDescent="0.3">
      <c r="A240">
        <v>239</v>
      </c>
      <c r="B240" s="1">
        <v>40782</v>
      </c>
      <c r="C240">
        <v>3</v>
      </c>
      <c r="D240">
        <v>0</v>
      </c>
      <c r="E240">
        <v>8</v>
      </c>
      <c r="F240">
        <v>0</v>
      </c>
      <c r="G240">
        <v>6</v>
      </c>
      <c r="H240">
        <v>0</v>
      </c>
      <c r="I240">
        <v>2</v>
      </c>
      <c r="J240">
        <v>0.68</v>
      </c>
      <c r="K240">
        <v>0.63555600000000001</v>
      </c>
      <c r="L240">
        <v>0.85</v>
      </c>
      <c r="M240">
        <v>0.37561699999999998</v>
      </c>
      <c r="N240">
        <v>226</v>
      </c>
      <c r="O240">
        <v>889</v>
      </c>
      <c r="P240">
        <v>1115</v>
      </c>
      <c r="Q240">
        <f t="shared" si="12"/>
        <v>23.96</v>
      </c>
      <c r="R240">
        <f t="shared" si="13"/>
        <v>25.946696000000003</v>
      </c>
      <c r="S240">
        <f t="shared" si="14"/>
        <v>85</v>
      </c>
      <c r="T240">
        <f t="shared" si="15"/>
        <v>25.166338999999997</v>
      </c>
      <c r="U240" t="str">
        <f>_xlfn.XLOOKUP(C240,Lookup!$A$3:$A$6,Lookup!$B$3:$B$6)</f>
        <v>Summer</v>
      </c>
      <c r="V240">
        <f>_xlfn.XLOOKUP(D240,Lookup!$D$3:$D$4,Lookup!$E$3:$E$4)</f>
        <v>2011</v>
      </c>
      <c r="W240" t="str">
        <f>_xlfn.XLOOKUP(I240,Lookup!$G$3:$G$6,Lookup!$H$3:$H$6)</f>
        <v>Misty/Cloudy</v>
      </c>
      <c r="X240" t="str">
        <f>_xlfn.XLOOKUP(E240,Lookup!$J$3:$J$14,Lookup!$K$3:$K$14)</f>
        <v>August</v>
      </c>
      <c r="Y240" t="str">
        <f>_xlfn.XLOOKUP(G240,Lookup!$M$3:$M$9,Lookup!$N$3:$N$9)</f>
        <v>Saturday</v>
      </c>
    </row>
    <row r="241" spans="1:25" x14ac:dyDescent="0.3">
      <c r="A241">
        <v>240</v>
      </c>
      <c r="B241" s="1">
        <v>40783</v>
      </c>
      <c r="C241">
        <v>3</v>
      </c>
      <c r="D241">
        <v>0</v>
      </c>
      <c r="E241">
        <v>8</v>
      </c>
      <c r="F241">
        <v>0</v>
      </c>
      <c r="G241">
        <v>0</v>
      </c>
      <c r="H241">
        <v>0</v>
      </c>
      <c r="I241">
        <v>1</v>
      </c>
      <c r="J241">
        <v>0.70705899999999999</v>
      </c>
      <c r="K241">
        <v>0.64795899999999995</v>
      </c>
      <c r="L241">
        <v>0.56176499999999996</v>
      </c>
      <c r="M241">
        <v>0.30465900000000001</v>
      </c>
      <c r="N241">
        <v>1415</v>
      </c>
      <c r="O241">
        <v>2919</v>
      </c>
      <c r="P241">
        <v>4334</v>
      </c>
      <c r="Q241">
        <f t="shared" si="12"/>
        <v>25.231772999999997</v>
      </c>
      <c r="R241">
        <f t="shared" si="13"/>
        <v>26.765293999999997</v>
      </c>
      <c r="S241">
        <f t="shared" si="14"/>
        <v>56.176499999999997</v>
      </c>
      <c r="T241">
        <f t="shared" si="15"/>
        <v>20.412153</v>
      </c>
      <c r="U241" t="str">
        <f>_xlfn.XLOOKUP(C241,Lookup!$A$3:$A$6,Lookup!$B$3:$B$6)</f>
        <v>Summer</v>
      </c>
      <c r="V241">
        <f>_xlfn.XLOOKUP(D241,Lookup!$D$3:$D$4,Lookup!$E$3:$E$4)</f>
        <v>2011</v>
      </c>
      <c r="W241" t="str">
        <f>_xlfn.XLOOKUP(I241,Lookup!$G$3:$G$6,Lookup!$H$3:$H$6)</f>
        <v>Clear</v>
      </c>
      <c r="X241" t="str">
        <f>_xlfn.XLOOKUP(E241,Lookup!$J$3:$J$14,Lookup!$K$3:$K$14)</f>
        <v>August</v>
      </c>
      <c r="Y241" t="str">
        <f>_xlfn.XLOOKUP(G241,Lookup!$M$3:$M$9,Lookup!$N$3:$N$9)</f>
        <v>Sunday</v>
      </c>
    </row>
    <row r="242" spans="1:25" x14ac:dyDescent="0.3">
      <c r="A242">
        <v>241</v>
      </c>
      <c r="B242" s="1">
        <v>40784</v>
      </c>
      <c r="C242">
        <v>3</v>
      </c>
      <c r="D242">
        <v>0</v>
      </c>
      <c r="E242">
        <v>8</v>
      </c>
      <c r="F242">
        <v>0</v>
      </c>
      <c r="G242">
        <v>1</v>
      </c>
      <c r="H242">
        <v>1</v>
      </c>
      <c r="I242">
        <v>1</v>
      </c>
      <c r="J242">
        <v>0.63666699999999998</v>
      </c>
      <c r="K242">
        <v>0.607958</v>
      </c>
      <c r="L242">
        <v>0.55458300000000005</v>
      </c>
      <c r="M242">
        <v>0.15982499999999999</v>
      </c>
      <c r="N242">
        <v>729</v>
      </c>
      <c r="O242">
        <v>3905</v>
      </c>
      <c r="P242">
        <v>4634</v>
      </c>
      <c r="Q242">
        <f t="shared" si="12"/>
        <v>21.923348999999998</v>
      </c>
      <c r="R242">
        <f t="shared" si="13"/>
        <v>24.125228</v>
      </c>
      <c r="S242">
        <f t="shared" si="14"/>
        <v>55.458300000000008</v>
      </c>
      <c r="T242">
        <f t="shared" si="15"/>
        <v>10.708275</v>
      </c>
      <c r="U242" t="str">
        <f>_xlfn.XLOOKUP(C242,Lookup!$A$3:$A$6,Lookup!$B$3:$B$6)</f>
        <v>Summer</v>
      </c>
      <c r="V242">
        <f>_xlfn.XLOOKUP(D242,Lookup!$D$3:$D$4,Lookup!$E$3:$E$4)</f>
        <v>2011</v>
      </c>
      <c r="W242" t="str">
        <f>_xlfn.XLOOKUP(I242,Lookup!$G$3:$G$6,Lookup!$H$3:$H$6)</f>
        <v>Clear</v>
      </c>
      <c r="X242" t="str">
        <f>_xlfn.XLOOKUP(E242,Lookup!$J$3:$J$14,Lookup!$K$3:$K$14)</f>
        <v>August</v>
      </c>
      <c r="Y242" t="str">
        <f>_xlfn.XLOOKUP(G242,Lookup!$M$3:$M$9,Lookup!$N$3:$N$9)</f>
        <v>Monday</v>
      </c>
    </row>
    <row r="243" spans="1:25" x14ac:dyDescent="0.3">
      <c r="A243">
        <v>242</v>
      </c>
      <c r="B243" s="1">
        <v>40785</v>
      </c>
      <c r="C243">
        <v>3</v>
      </c>
      <c r="D243">
        <v>0</v>
      </c>
      <c r="E243">
        <v>8</v>
      </c>
      <c r="F243">
        <v>0</v>
      </c>
      <c r="G243">
        <v>2</v>
      </c>
      <c r="H243">
        <v>1</v>
      </c>
      <c r="I243">
        <v>1</v>
      </c>
      <c r="J243">
        <v>0.63916700000000004</v>
      </c>
      <c r="K243">
        <v>0.59470400000000001</v>
      </c>
      <c r="L243">
        <v>0.54833299999999996</v>
      </c>
      <c r="M243">
        <v>0.12500800000000001</v>
      </c>
      <c r="N243">
        <v>775</v>
      </c>
      <c r="O243">
        <v>4429</v>
      </c>
      <c r="P243">
        <v>5204</v>
      </c>
      <c r="Q243">
        <f t="shared" si="12"/>
        <v>22.040849000000001</v>
      </c>
      <c r="R243">
        <f t="shared" si="13"/>
        <v>23.250464000000001</v>
      </c>
      <c r="S243">
        <f t="shared" si="14"/>
        <v>54.833299999999994</v>
      </c>
      <c r="T243">
        <f t="shared" si="15"/>
        <v>8.3755360000000003</v>
      </c>
      <c r="U243" t="str">
        <f>_xlfn.XLOOKUP(C243,Lookup!$A$3:$A$6,Lookup!$B$3:$B$6)</f>
        <v>Summer</v>
      </c>
      <c r="V243">
        <f>_xlfn.XLOOKUP(D243,Lookup!$D$3:$D$4,Lookup!$E$3:$E$4)</f>
        <v>2011</v>
      </c>
      <c r="W243" t="str">
        <f>_xlfn.XLOOKUP(I243,Lookup!$G$3:$G$6,Lookup!$H$3:$H$6)</f>
        <v>Clear</v>
      </c>
      <c r="X243" t="str">
        <f>_xlfn.XLOOKUP(E243,Lookup!$J$3:$J$14,Lookup!$K$3:$K$14)</f>
        <v>August</v>
      </c>
      <c r="Y243" t="str">
        <f>_xlfn.XLOOKUP(G243,Lookup!$M$3:$M$9,Lookup!$N$3:$N$9)</f>
        <v>Tuesday</v>
      </c>
    </row>
    <row r="244" spans="1:25" x14ac:dyDescent="0.3">
      <c r="A244">
        <v>243</v>
      </c>
      <c r="B244" s="1">
        <v>40786</v>
      </c>
      <c r="C244">
        <v>3</v>
      </c>
      <c r="D244">
        <v>0</v>
      </c>
      <c r="E244">
        <v>8</v>
      </c>
      <c r="F244">
        <v>0</v>
      </c>
      <c r="G244">
        <v>3</v>
      </c>
      <c r="H244">
        <v>1</v>
      </c>
      <c r="I244">
        <v>1</v>
      </c>
      <c r="J244">
        <v>0.656667</v>
      </c>
      <c r="K244">
        <v>0.61112100000000003</v>
      </c>
      <c r="L244">
        <v>0.59791700000000003</v>
      </c>
      <c r="M244">
        <v>8.3333299999999999E-2</v>
      </c>
      <c r="N244">
        <v>688</v>
      </c>
      <c r="O244">
        <v>4370</v>
      </c>
      <c r="P244">
        <v>5058</v>
      </c>
      <c r="Q244">
        <f t="shared" si="12"/>
        <v>22.863348999999999</v>
      </c>
      <c r="R244">
        <f t="shared" si="13"/>
        <v>24.333986000000003</v>
      </c>
      <c r="S244">
        <f t="shared" si="14"/>
        <v>59.791700000000006</v>
      </c>
      <c r="T244">
        <f t="shared" si="15"/>
        <v>5.5833310999999997</v>
      </c>
      <c r="U244" t="str">
        <f>_xlfn.XLOOKUP(C244,Lookup!$A$3:$A$6,Lookup!$B$3:$B$6)</f>
        <v>Summer</v>
      </c>
      <c r="V244">
        <f>_xlfn.XLOOKUP(D244,Lookup!$D$3:$D$4,Lookup!$E$3:$E$4)</f>
        <v>2011</v>
      </c>
      <c r="W244" t="str">
        <f>_xlfn.XLOOKUP(I244,Lookup!$G$3:$G$6,Lookup!$H$3:$H$6)</f>
        <v>Clear</v>
      </c>
      <c r="X244" t="str">
        <f>_xlfn.XLOOKUP(E244,Lookup!$J$3:$J$14,Lookup!$K$3:$K$14)</f>
        <v>August</v>
      </c>
      <c r="Y244" t="str">
        <f>_xlfn.XLOOKUP(G244,Lookup!$M$3:$M$9,Lookup!$N$3:$N$9)</f>
        <v>Wednesday</v>
      </c>
    </row>
    <row r="245" spans="1:25" x14ac:dyDescent="0.3">
      <c r="A245">
        <v>244</v>
      </c>
      <c r="B245" s="1">
        <v>40787</v>
      </c>
      <c r="C245">
        <v>3</v>
      </c>
      <c r="D245">
        <v>0</v>
      </c>
      <c r="E245">
        <v>9</v>
      </c>
      <c r="F245">
        <v>0</v>
      </c>
      <c r="G245">
        <v>4</v>
      </c>
      <c r="H245">
        <v>1</v>
      </c>
      <c r="I245">
        <v>1</v>
      </c>
      <c r="J245">
        <v>0.65500000000000003</v>
      </c>
      <c r="K245">
        <v>0.61492100000000005</v>
      </c>
      <c r="L245">
        <v>0.63916700000000004</v>
      </c>
      <c r="M245">
        <v>0.14179600000000001</v>
      </c>
      <c r="N245">
        <v>783</v>
      </c>
      <c r="O245">
        <v>4332</v>
      </c>
      <c r="P245">
        <v>5115</v>
      </c>
      <c r="Q245">
        <f t="shared" si="12"/>
        <v>22.785</v>
      </c>
      <c r="R245">
        <f t="shared" si="13"/>
        <v>24.584786000000001</v>
      </c>
      <c r="S245">
        <f t="shared" si="14"/>
        <v>63.916700000000006</v>
      </c>
      <c r="T245">
        <f t="shared" si="15"/>
        <v>9.5003320000000002</v>
      </c>
      <c r="U245" t="str">
        <f>_xlfn.XLOOKUP(C245,Lookup!$A$3:$A$6,Lookup!$B$3:$B$6)</f>
        <v>Summer</v>
      </c>
      <c r="V245">
        <f>_xlfn.XLOOKUP(D245,Lookup!$D$3:$D$4,Lookup!$E$3:$E$4)</f>
        <v>2011</v>
      </c>
      <c r="W245" t="str">
        <f>_xlfn.XLOOKUP(I245,Lookup!$G$3:$G$6,Lookup!$H$3:$H$6)</f>
        <v>Clear</v>
      </c>
      <c r="X245" t="str">
        <f>_xlfn.XLOOKUP(E245,Lookup!$J$3:$J$14,Lookup!$K$3:$K$14)</f>
        <v>September</v>
      </c>
      <c r="Y245" t="str">
        <f>_xlfn.XLOOKUP(G245,Lookup!$M$3:$M$9,Lookup!$N$3:$N$9)</f>
        <v>Thursday</v>
      </c>
    </row>
    <row r="246" spans="1:25" x14ac:dyDescent="0.3">
      <c r="A246">
        <v>245</v>
      </c>
      <c r="B246" s="1">
        <v>40788</v>
      </c>
      <c r="C246">
        <v>3</v>
      </c>
      <c r="D246">
        <v>0</v>
      </c>
      <c r="E246">
        <v>9</v>
      </c>
      <c r="F246">
        <v>0</v>
      </c>
      <c r="G246">
        <v>5</v>
      </c>
      <c r="H246">
        <v>1</v>
      </c>
      <c r="I246">
        <v>2</v>
      </c>
      <c r="J246">
        <v>0.64333300000000004</v>
      </c>
      <c r="K246">
        <v>0.60480800000000001</v>
      </c>
      <c r="L246">
        <v>0.72708300000000003</v>
      </c>
      <c r="M246">
        <v>0.139929</v>
      </c>
      <c r="N246">
        <v>875</v>
      </c>
      <c r="O246">
        <v>3852</v>
      </c>
      <c r="P246">
        <v>4727</v>
      </c>
      <c r="Q246">
        <f t="shared" si="12"/>
        <v>22.236651000000002</v>
      </c>
      <c r="R246">
        <f t="shared" si="13"/>
        <v>23.917327999999998</v>
      </c>
      <c r="S246">
        <f t="shared" si="14"/>
        <v>72.708300000000008</v>
      </c>
      <c r="T246">
        <f t="shared" si="15"/>
        <v>9.3752429999999993</v>
      </c>
      <c r="U246" t="str">
        <f>_xlfn.XLOOKUP(C246,Lookup!$A$3:$A$6,Lookup!$B$3:$B$6)</f>
        <v>Summer</v>
      </c>
      <c r="V246">
        <f>_xlfn.XLOOKUP(D246,Lookup!$D$3:$D$4,Lookup!$E$3:$E$4)</f>
        <v>2011</v>
      </c>
      <c r="W246" t="str">
        <f>_xlfn.XLOOKUP(I246,Lookup!$G$3:$G$6,Lookup!$H$3:$H$6)</f>
        <v>Misty/Cloudy</v>
      </c>
      <c r="X246" t="str">
        <f>_xlfn.XLOOKUP(E246,Lookup!$J$3:$J$14,Lookup!$K$3:$K$14)</f>
        <v>September</v>
      </c>
      <c r="Y246" t="str">
        <f>_xlfn.XLOOKUP(G246,Lookup!$M$3:$M$9,Lookup!$N$3:$N$9)</f>
        <v>Friday</v>
      </c>
    </row>
    <row r="247" spans="1:25" x14ac:dyDescent="0.3">
      <c r="A247">
        <v>246</v>
      </c>
      <c r="B247" s="1">
        <v>40789</v>
      </c>
      <c r="C247">
        <v>3</v>
      </c>
      <c r="D247">
        <v>0</v>
      </c>
      <c r="E247">
        <v>9</v>
      </c>
      <c r="F247">
        <v>0</v>
      </c>
      <c r="G247">
        <v>6</v>
      </c>
      <c r="H247">
        <v>0</v>
      </c>
      <c r="I247">
        <v>1</v>
      </c>
      <c r="J247">
        <v>0.66916699999999996</v>
      </c>
      <c r="K247">
        <v>0.63321300000000003</v>
      </c>
      <c r="L247">
        <v>0.71666700000000005</v>
      </c>
      <c r="M247">
        <v>0.18532499999999999</v>
      </c>
      <c r="N247">
        <v>1935</v>
      </c>
      <c r="O247">
        <v>2549</v>
      </c>
      <c r="P247">
        <v>4484</v>
      </c>
      <c r="Q247">
        <f t="shared" si="12"/>
        <v>23.450848999999998</v>
      </c>
      <c r="R247">
        <f t="shared" si="13"/>
        <v>25.792058000000004</v>
      </c>
      <c r="S247">
        <f t="shared" si="14"/>
        <v>71.666700000000006</v>
      </c>
      <c r="T247">
        <f t="shared" si="15"/>
        <v>12.416774999999999</v>
      </c>
      <c r="U247" t="str">
        <f>_xlfn.XLOOKUP(C247,Lookup!$A$3:$A$6,Lookup!$B$3:$B$6)</f>
        <v>Summer</v>
      </c>
      <c r="V247">
        <f>_xlfn.XLOOKUP(D247,Lookup!$D$3:$D$4,Lookup!$E$3:$E$4)</f>
        <v>2011</v>
      </c>
      <c r="W247" t="str">
        <f>_xlfn.XLOOKUP(I247,Lookup!$G$3:$G$6,Lookup!$H$3:$H$6)</f>
        <v>Clear</v>
      </c>
      <c r="X247" t="str">
        <f>_xlfn.XLOOKUP(E247,Lookup!$J$3:$J$14,Lookup!$K$3:$K$14)</f>
        <v>September</v>
      </c>
      <c r="Y247" t="str">
        <f>_xlfn.XLOOKUP(G247,Lookup!$M$3:$M$9,Lookup!$N$3:$N$9)</f>
        <v>Saturday</v>
      </c>
    </row>
    <row r="248" spans="1:25" x14ac:dyDescent="0.3">
      <c r="A248">
        <v>247</v>
      </c>
      <c r="B248" s="1">
        <v>40790</v>
      </c>
      <c r="C248">
        <v>3</v>
      </c>
      <c r="D248">
        <v>0</v>
      </c>
      <c r="E248">
        <v>9</v>
      </c>
      <c r="F248">
        <v>0</v>
      </c>
      <c r="G248">
        <v>0</v>
      </c>
      <c r="H248">
        <v>0</v>
      </c>
      <c r="I248">
        <v>1</v>
      </c>
      <c r="J248">
        <v>0.70916699999999999</v>
      </c>
      <c r="K248">
        <v>0.66542900000000005</v>
      </c>
      <c r="L248">
        <v>0.74208300000000005</v>
      </c>
      <c r="M248">
        <v>0.20646700000000001</v>
      </c>
      <c r="N248">
        <v>2521</v>
      </c>
      <c r="O248">
        <v>2419</v>
      </c>
      <c r="P248">
        <v>4940</v>
      </c>
      <c r="Q248">
        <f t="shared" si="12"/>
        <v>25.330849000000001</v>
      </c>
      <c r="R248">
        <f t="shared" si="13"/>
        <v>27.918314000000002</v>
      </c>
      <c r="S248">
        <f t="shared" si="14"/>
        <v>74.208300000000008</v>
      </c>
      <c r="T248">
        <f t="shared" si="15"/>
        <v>13.833289000000001</v>
      </c>
      <c r="U248" t="str">
        <f>_xlfn.XLOOKUP(C248,Lookup!$A$3:$A$6,Lookup!$B$3:$B$6)</f>
        <v>Summer</v>
      </c>
      <c r="V248">
        <f>_xlfn.XLOOKUP(D248,Lookup!$D$3:$D$4,Lookup!$E$3:$E$4)</f>
        <v>2011</v>
      </c>
      <c r="W248" t="str">
        <f>_xlfn.XLOOKUP(I248,Lookup!$G$3:$G$6,Lookup!$H$3:$H$6)</f>
        <v>Clear</v>
      </c>
      <c r="X248" t="str">
        <f>_xlfn.XLOOKUP(E248,Lookup!$J$3:$J$14,Lookup!$K$3:$K$14)</f>
        <v>September</v>
      </c>
      <c r="Y248" t="str">
        <f>_xlfn.XLOOKUP(G248,Lookup!$M$3:$M$9,Lookup!$N$3:$N$9)</f>
        <v>Sunday</v>
      </c>
    </row>
    <row r="249" spans="1:25" x14ac:dyDescent="0.3">
      <c r="A249">
        <v>248</v>
      </c>
      <c r="B249" s="1">
        <v>40791</v>
      </c>
      <c r="C249">
        <v>3</v>
      </c>
      <c r="D249">
        <v>0</v>
      </c>
      <c r="E249">
        <v>9</v>
      </c>
      <c r="F249">
        <v>1</v>
      </c>
      <c r="G249">
        <v>1</v>
      </c>
      <c r="H249">
        <v>0</v>
      </c>
      <c r="I249">
        <v>2</v>
      </c>
      <c r="J249">
        <v>0.67333299999999996</v>
      </c>
      <c r="K249">
        <v>0.62564600000000004</v>
      </c>
      <c r="L249">
        <v>0.79041700000000004</v>
      </c>
      <c r="M249">
        <v>0.212696</v>
      </c>
      <c r="N249">
        <v>1236</v>
      </c>
      <c r="O249">
        <v>2115</v>
      </c>
      <c r="P249">
        <v>3351</v>
      </c>
      <c r="Q249">
        <f t="shared" si="12"/>
        <v>23.646650999999999</v>
      </c>
      <c r="R249">
        <f t="shared" si="13"/>
        <v>25.292636000000002</v>
      </c>
      <c r="S249">
        <f t="shared" si="14"/>
        <v>79.041700000000006</v>
      </c>
      <c r="T249">
        <f t="shared" si="15"/>
        <v>14.250632</v>
      </c>
      <c r="U249" t="str">
        <f>_xlfn.XLOOKUP(C249,Lookup!$A$3:$A$6,Lookup!$B$3:$B$6)</f>
        <v>Summer</v>
      </c>
      <c r="V249">
        <f>_xlfn.XLOOKUP(D249,Lookup!$D$3:$D$4,Lookup!$E$3:$E$4)</f>
        <v>2011</v>
      </c>
      <c r="W249" t="str">
        <f>_xlfn.XLOOKUP(I249,Lookup!$G$3:$G$6,Lookup!$H$3:$H$6)</f>
        <v>Misty/Cloudy</v>
      </c>
      <c r="X249" t="str">
        <f>_xlfn.XLOOKUP(E249,Lookup!$J$3:$J$14,Lookup!$K$3:$K$14)</f>
        <v>September</v>
      </c>
      <c r="Y249" t="str">
        <f>_xlfn.XLOOKUP(G249,Lookup!$M$3:$M$9,Lookup!$N$3:$N$9)</f>
        <v>Monday</v>
      </c>
    </row>
    <row r="250" spans="1:25" x14ac:dyDescent="0.3">
      <c r="A250">
        <v>249</v>
      </c>
      <c r="B250" s="1">
        <v>40792</v>
      </c>
      <c r="C250">
        <v>3</v>
      </c>
      <c r="D250">
        <v>0</v>
      </c>
      <c r="E250">
        <v>9</v>
      </c>
      <c r="F250">
        <v>0</v>
      </c>
      <c r="G250">
        <v>2</v>
      </c>
      <c r="H250">
        <v>1</v>
      </c>
      <c r="I250">
        <v>3</v>
      </c>
      <c r="J250">
        <v>0.54</v>
      </c>
      <c r="K250">
        <v>0.51519999999999999</v>
      </c>
      <c r="L250">
        <v>0.886957</v>
      </c>
      <c r="M250">
        <v>0.343943</v>
      </c>
      <c r="N250">
        <v>204</v>
      </c>
      <c r="O250">
        <v>2506</v>
      </c>
      <c r="P250">
        <v>2710</v>
      </c>
      <c r="Q250">
        <f t="shared" si="12"/>
        <v>17.380000000000003</v>
      </c>
      <c r="R250">
        <f t="shared" si="13"/>
        <v>18.0032</v>
      </c>
      <c r="S250">
        <f t="shared" si="14"/>
        <v>88.695700000000002</v>
      </c>
      <c r="T250">
        <f t="shared" si="15"/>
        <v>23.044180999999998</v>
      </c>
      <c r="U250" t="str">
        <f>_xlfn.XLOOKUP(C250,Lookup!$A$3:$A$6,Lookup!$B$3:$B$6)</f>
        <v>Summer</v>
      </c>
      <c r="V250">
        <f>_xlfn.XLOOKUP(D250,Lookup!$D$3:$D$4,Lookup!$E$3:$E$4)</f>
        <v>2011</v>
      </c>
      <c r="W250" t="str">
        <f>_xlfn.XLOOKUP(I250,Lookup!$G$3:$G$6,Lookup!$H$3:$H$6)</f>
        <v>Light Snow/Rain</v>
      </c>
      <c r="X250" t="str">
        <f>_xlfn.XLOOKUP(E250,Lookup!$J$3:$J$14,Lookup!$K$3:$K$14)</f>
        <v>September</v>
      </c>
      <c r="Y250" t="str">
        <f>_xlfn.XLOOKUP(G250,Lookup!$M$3:$M$9,Lookup!$N$3:$N$9)</f>
        <v>Tuesday</v>
      </c>
    </row>
    <row r="251" spans="1:25" x14ac:dyDescent="0.3">
      <c r="A251">
        <v>250</v>
      </c>
      <c r="B251" s="1">
        <v>40793</v>
      </c>
      <c r="C251">
        <v>3</v>
      </c>
      <c r="D251">
        <v>0</v>
      </c>
      <c r="E251">
        <v>9</v>
      </c>
      <c r="F251">
        <v>0</v>
      </c>
      <c r="G251">
        <v>3</v>
      </c>
      <c r="H251">
        <v>1</v>
      </c>
      <c r="I251">
        <v>3</v>
      </c>
      <c r="J251">
        <v>0.59916700000000001</v>
      </c>
      <c r="K251">
        <v>0.54422899999999996</v>
      </c>
      <c r="L251">
        <v>0.91708299999999998</v>
      </c>
      <c r="M251">
        <v>9.7020800000000004E-2</v>
      </c>
      <c r="N251">
        <v>118</v>
      </c>
      <c r="O251">
        <v>1878</v>
      </c>
      <c r="P251">
        <v>1996</v>
      </c>
      <c r="Q251">
        <f t="shared" si="12"/>
        <v>20.160848999999999</v>
      </c>
      <c r="R251">
        <f t="shared" si="13"/>
        <v>19.919114</v>
      </c>
      <c r="S251">
        <f t="shared" si="14"/>
        <v>91.708299999999994</v>
      </c>
      <c r="T251">
        <f t="shared" si="15"/>
        <v>6.5003936000000007</v>
      </c>
      <c r="U251" t="str">
        <f>_xlfn.XLOOKUP(C251,Lookup!$A$3:$A$6,Lookup!$B$3:$B$6)</f>
        <v>Summer</v>
      </c>
      <c r="V251">
        <f>_xlfn.XLOOKUP(D251,Lookup!$D$3:$D$4,Lookup!$E$3:$E$4)</f>
        <v>2011</v>
      </c>
      <c r="W251" t="str">
        <f>_xlfn.XLOOKUP(I251,Lookup!$G$3:$G$6,Lookup!$H$3:$H$6)</f>
        <v>Light Snow/Rain</v>
      </c>
      <c r="X251" t="str">
        <f>_xlfn.XLOOKUP(E251,Lookup!$J$3:$J$14,Lookup!$K$3:$K$14)</f>
        <v>September</v>
      </c>
      <c r="Y251" t="str">
        <f>_xlfn.XLOOKUP(G251,Lookup!$M$3:$M$9,Lookup!$N$3:$N$9)</f>
        <v>Wednesday</v>
      </c>
    </row>
    <row r="252" spans="1:25" x14ac:dyDescent="0.3">
      <c r="A252">
        <v>251</v>
      </c>
      <c r="B252" s="1">
        <v>40794</v>
      </c>
      <c r="C252">
        <v>3</v>
      </c>
      <c r="D252">
        <v>0</v>
      </c>
      <c r="E252">
        <v>9</v>
      </c>
      <c r="F252">
        <v>0</v>
      </c>
      <c r="G252">
        <v>4</v>
      </c>
      <c r="H252">
        <v>1</v>
      </c>
      <c r="I252">
        <v>3</v>
      </c>
      <c r="J252">
        <v>0.63391299999999995</v>
      </c>
      <c r="K252">
        <v>0.55536099999999999</v>
      </c>
      <c r="L252">
        <v>0.93956499999999998</v>
      </c>
      <c r="M252">
        <v>0.192748</v>
      </c>
      <c r="N252">
        <v>153</v>
      </c>
      <c r="O252">
        <v>1689</v>
      </c>
      <c r="P252">
        <v>1842</v>
      </c>
      <c r="Q252">
        <f t="shared" si="12"/>
        <v>21.793910999999998</v>
      </c>
      <c r="R252">
        <f t="shared" si="13"/>
        <v>20.653826000000002</v>
      </c>
      <c r="S252">
        <f t="shared" si="14"/>
        <v>93.956500000000005</v>
      </c>
      <c r="T252">
        <f t="shared" si="15"/>
        <v>12.914116</v>
      </c>
      <c r="U252" t="str">
        <f>_xlfn.XLOOKUP(C252,Lookup!$A$3:$A$6,Lookup!$B$3:$B$6)</f>
        <v>Summer</v>
      </c>
      <c r="V252">
        <f>_xlfn.XLOOKUP(D252,Lookup!$D$3:$D$4,Lookup!$E$3:$E$4)</f>
        <v>2011</v>
      </c>
      <c r="W252" t="str">
        <f>_xlfn.XLOOKUP(I252,Lookup!$G$3:$G$6,Lookup!$H$3:$H$6)</f>
        <v>Light Snow/Rain</v>
      </c>
      <c r="X252" t="str">
        <f>_xlfn.XLOOKUP(E252,Lookup!$J$3:$J$14,Lookup!$K$3:$K$14)</f>
        <v>September</v>
      </c>
      <c r="Y252" t="str">
        <f>_xlfn.XLOOKUP(G252,Lookup!$M$3:$M$9,Lookup!$N$3:$N$9)</f>
        <v>Thursday</v>
      </c>
    </row>
    <row r="253" spans="1:25" x14ac:dyDescent="0.3">
      <c r="A253">
        <v>252</v>
      </c>
      <c r="B253" s="1">
        <v>40795</v>
      </c>
      <c r="C253">
        <v>3</v>
      </c>
      <c r="D253">
        <v>0</v>
      </c>
      <c r="E253">
        <v>9</v>
      </c>
      <c r="F253">
        <v>0</v>
      </c>
      <c r="G253">
        <v>5</v>
      </c>
      <c r="H253">
        <v>1</v>
      </c>
      <c r="I253">
        <v>2</v>
      </c>
      <c r="J253">
        <v>0.65</v>
      </c>
      <c r="K253">
        <v>0.57894599999999996</v>
      </c>
      <c r="L253">
        <v>0.89791699999999997</v>
      </c>
      <c r="M253">
        <v>0.124379</v>
      </c>
      <c r="N253">
        <v>417</v>
      </c>
      <c r="O253">
        <v>3127</v>
      </c>
      <c r="P253">
        <v>3544</v>
      </c>
      <c r="Q253">
        <f t="shared" si="12"/>
        <v>22.55</v>
      </c>
      <c r="R253">
        <f t="shared" si="13"/>
        <v>22.210435999999994</v>
      </c>
      <c r="S253">
        <f t="shared" si="14"/>
        <v>89.791699999999992</v>
      </c>
      <c r="T253">
        <f t="shared" si="15"/>
        <v>8.3333930000000009</v>
      </c>
      <c r="U253" t="str">
        <f>_xlfn.XLOOKUP(C253,Lookup!$A$3:$A$6,Lookup!$B$3:$B$6)</f>
        <v>Summer</v>
      </c>
      <c r="V253">
        <f>_xlfn.XLOOKUP(D253,Lookup!$D$3:$D$4,Lookup!$E$3:$E$4)</f>
        <v>2011</v>
      </c>
      <c r="W253" t="str">
        <f>_xlfn.XLOOKUP(I253,Lookup!$G$3:$G$6,Lookup!$H$3:$H$6)</f>
        <v>Misty/Cloudy</v>
      </c>
      <c r="X253" t="str">
        <f>_xlfn.XLOOKUP(E253,Lookup!$J$3:$J$14,Lookup!$K$3:$K$14)</f>
        <v>September</v>
      </c>
      <c r="Y253" t="str">
        <f>_xlfn.XLOOKUP(G253,Lookup!$M$3:$M$9,Lookup!$N$3:$N$9)</f>
        <v>Friday</v>
      </c>
    </row>
    <row r="254" spans="1:25" x14ac:dyDescent="0.3">
      <c r="A254">
        <v>253</v>
      </c>
      <c r="B254" s="1">
        <v>40796</v>
      </c>
      <c r="C254">
        <v>3</v>
      </c>
      <c r="D254">
        <v>0</v>
      </c>
      <c r="E254">
        <v>9</v>
      </c>
      <c r="F254">
        <v>0</v>
      </c>
      <c r="G254">
        <v>6</v>
      </c>
      <c r="H254">
        <v>0</v>
      </c>
      <c r="I254">
        <v>1</v>
      </c>
      <c r="J254">
        <v>0.66</v>
      </c>
      <c r="K254">
        <v>0.607962</v>
      </c>
      <c r="L254">
        <v>0.75375000000000003</v>
      </c>
      <c r="M254">
        <v>0.15360799999999999</v>
      </c>
      <c r="N254">
        <v>1750</v>
      </c>
      <c r="O254">
        <v>3595</v>
      </c>
      <c r="P254">
        <v>5345</v>
      </c>
      <c r="Q254">
        <f t="shared" si="12"/>
        <v>23.020000000000003</v>
      </c>
      <c r="R254">
        <f t="shared" si="13"/>
        <v>24.125492000000001</v>
      </c>
      <c r="S254">
        <f t="shared" si="14"/>
        <v>75.375</v>
      </c>
      <c r="T254">
        <f t="shared" si="15"/>
        <v>10.291736</v>
      </c>
      <c r="U254" t="str">
        <f>_xlfn.XLOOKUP(C254,Lookup!$A$3:$A$6,Lookup!$B$3:$B$6)</f>
        <v>Summer</v>
      </c>
      <c r="V254">
        <f>_xlfn.XLOOKUP(D254,Lookup!$D$3:$D$4,Lookup!$E$3:$E$4)</f>
        <v>2011</v>
      </c>
      <c r="W254" t="str">
        <f>_xlfn.XLOOKUP(I254,Lookup!$G$3:$G$6,Lookup!$H$3:$H$6)</f>
        <v>Clear</v>
      </c>
      <c r="X254" t="str">
        <f>_xlfn.XLOOKUP(E254,Lookup!$J$3:$J$14,Lookup!$K$3:$K$14)</f>
        <v>September</v>
      </c>
      <c r="Y254" t="str">
        <f>_xlfn.XLOOKUP(G254,Lookup!$M$3:$M$9,Lookup!$N$3:$N$9)</f>
        <v>Saturday</v>
      </c>
    </row>
    <row r="255" spans="1:25" x14ac:dyDescent="0.3">
      <c r="A255">
        <v>254</v>
      </c>
      <c r="B255" s="1">
        <v>40797</v>
      </c>
      <c r="C255">
        <v>3</v>
      </c>
      <c r="D255">
        <v>0</v>
      </c>
      <c r="E255">
        <v>9</v>
      </c>
      <c r="F255">
        <v>0</v>
      </c>
      <c r="G255">
        <v>0</v>
      </c>
      <c r="H255">
        <v>0</v>
      </c>
      <c r="I255">
        <v>1</v>
      </c>
      <c r="J255">
        <v>0.65333300000000005</v>
      </c>
      <c r="K255">
        <v>0.60922900000000002</v>
      </c>
      <c r="L255">
        <v>0.71375</v>
      </c>
      <c r="M255">
        <v>0.115054</v>
      </c>
      <c r="N255">
        <v>1633</v>
      </c>
      <c r="O255">
        <v>3413</v>
      </c>
      <c r="P255">
        <v>5046</v>
      </c>
      <c r="Q255">
        <f t="shared" si="12"/>
        <v>22.706651000000001</v>
      </c>
      <c r="R255">
        <f t="shared" si="13"/>
        <v>24.209114</v>
      </c>
      <c r="S255">
        <f t="shared" si="14"/>
        <v>71.375</v>
      </c>
      <c r="T255">
        <f t="shared" si="15"/>
        <v>7.7086180000000004</v>
      </c>
      <c r="U255" t="str">
        <f>_xlfn.XLOOKUP(C255,Lookup!$A$3:$A$6,Lookup!$B$3:$B$6)</f>
        <v>Summer</v>
      </c>
      <c r="V255">
        <f>_xlfn.XLOOKUP(D255,Lookup!$D$3:$D$4,Lookup!$E$3:$E$4)</f>
        <v>2011</v>
      </c>
      <c r="W255" t="str">
        <f>_xlfn.XLOOKUP(I255,Lookup!$G$3:$G$6,Lookup!$H$3:$H$6)</f>
        <v>Clear</v>
      </c>
      <c r="X255" t="str">
        <f>_xlfn.XLOOKUP(E255,Lookup!$J$3:$J$14,Lookup!$K$3:$K$14)</f>
        <v>September</v>
      </c>
      <c r="Y255" t="str">
        <f>_xlfn.XLOOKUP(G255,Lookup!$M$3:$M$9,Lookup!$N$3:$N$9)</f>
        <v>Sunday</v>
      </c>
    </row>
    <row r="256" spans="1:25" x14ac:dyDescent="0.3">
      <c r="A256">
        <v>255</v>
      </c>
      <c r="B256" s="1">
        <v>40798</v>
      </c>
      <c r="C256">
        <v>3</v>
      </c>
      <c r="D256">
        <v>0</v>
      </c>
      <c r="E256">
        <v>9</v>
      </c>
      <c r="F256">
        <v>0</v>
      </c>
      <c r="G256">
        <v>1</v>
      </c>
      <c r="H256">
        <v>1</v>
      </c>
      <c r="I256">
        <v>1</v>
      </c>
      <c r="J256">
        <v>0.64434800000000003</v>
      </c>
      <c r="K256">
        <v>0.60213000000000005</v>
      </c>
      <c r="L256">
        <v>0.69217399999999996</v>
      </c>
      <c r="M256">
        <v>8.8913000000000006E-2</v>
      </c>
      <c r="N256">
        <v>690</v>
      </c>
      <c r="O256">
        <v>4023</v>
      </c>
      <c r="P256">
        <v>4713</v>
      </c>
      <c r="Q256">
        <f t="shared" si="12"/>
        <v>22.284356000000002</v>
      </c>
      <c r="R256">
        <f t="shared" si="13"/>
        <v>23.740580000000001</v>
      </c>
      <c r="S256">
        <f t="shared" si="14"/>
        <v>69.217399999999998</v>
      </c>
      <c r="T256">
        <f t="shared" si="15"/>
        <v>5.9571710000000007</v>
      </c>
      <c r="U256" t="str">
        <f>_xlfn.XLOOKUP(C256,Lookup!$A$3:$A$6,Lookup!$B$3:$B$6)</f>
        <v>Summer</v>
      </c>
      <c r="V256">
        <f>_xlfn.XLOOKUP(D256,Lookup!$D$3:$D$4,Lookup!$E$3:$E$4)</f>
        <v>2011</v>
      </c>
      <c r="W256" t="str">
        <f>_xlfn.XLOOKUP(I256,Lookup!$G$3:$G$6,Lookup!$H$3:$H$6)</f>
        <v>Clear</v>
      </c>
      <c r="X256" t="str">
        <f>_xlfn.XLOOKUP(E256,Lookup!$J$3:$J$14,Lookup!$K$3:$K$14)</f>
        <v>September</v>
      </c>
      <c r="Y256" t="str">
        <f>_xlfn.XLOOKUP(G256,Lookup!$M$3:$M$9,Lookup!$N$3:$N$9)</f>
        <v>Monday</v>
      </c>
    </row>
    <row r="257" spans="1:25" x14ac:dyDescent="0.3">
      <c r="A257">
        <v>256</v>
      </c>
      <c r="B257" s="1">
        <v>40799</v>
      </c>
      <c r="C257">
        <v>3</v>
      </c>
      <c r="D257">
        <v>0</v>
      </c>
      <c r="E257">
        <v>9</v>
      </c>
      <c r="F257">
        <v>0</v>
      </c>
      <c r="G257">
        <v>2</v>
      </c>
      <c r="H257">
        <v>1</v>
      </c>
      <c r="I257">
        <v>1</v>
      </c>
      <c r="J257">
        <v>0.65083299999999999</v>
      </c>
      <c r="K257">
        <v>0.60355400000000003</v>
      </c>
      <c r="L257">
        <v>0.71250000000000002</v>
      </c>
      <c r="M257">
        <v>0.14180400000000001</v>
      </c>
      <c r="N257">
        <v>701</v>
      </c>
      <c r="O257">
        <v>4062</v>
      </c>
      <c r="P257">
        <v>4763</v>
      </c>
      <c r="Q257">
        <f t="shared" si="12"/>
        <v>22.589151000000001</v>
      </c>
      <c r="R257">
        <f t="shared" si="13"/>
        <v>23.834564</v>
      </c>
      <c r="S257">
        <f t="shared" si="14"/>
        <v>71.25</v>
      </c>
      <c r="T257">
        <f t="shared" si="15"/>
        <v>9.5008680000000005</v>
      </c>
      <c r="U257" t="str">
        <f>_xlfn.XLOOKUP(C257,Lookup!$A$3:$A$6,Lookup!$B$3:$B$6)</f>
        <v>Summer</v>
      </c>
      <c r="V257">
        <f>_xlfn.XLOOKUP(D257,Lookup!$D$3:$D$4,Lookup!$E$3:$E$4)</f>
        <v>2011</v>
      </c>
      <c r="W257" t="str">
        <f>_xlfn.XLOOKUP(I257,Lookup!$G$3:$G$6,Lookup!$H$3:$H$6)</f>
        <v>Clear</v>
      </c>
      <c r="X257" t="str">
        <f>_xlfn.XLOOKUP(E257,Lookup!$J$3:$J$14,Lookup!$K$3:$K$14)</f>
        <v>September</v>
      </c>
      <c r="Y257" t="str">
        <f>_xlfn.XLOOKUP(G257,Lookup!$M$3:$M$9,Lookup!$N$3:$N$9)</f>
        <v>Tuesday</v>
      </c>
    </row>
    <row r="258" spans="1:25" x14ac:dyDescent="0.3">
      <c r="A258">
        <v>257</v>
      </c>
      <c r="B258" s="1">
        <v>40800</v>
      </c>
      <c r="C258">
        <v>3</v>
      </c>
      <c r="D258">
        <v>0</v>
      </c>
      <c r="E258">
        <v>9</v>
      </c>
      <c r="F258">
        <v>0</v>
      </c>
      <c r="G258">
        <v>3</v>
      </c>
      <c r="H258">
        <v>1</v>
      </c>
      <c r="I258">
        <v>1</v>
      </c>
      <c r="J258">
        <v>0.67333299999999996</v>
      </c>
      <c r="K258">
        <v>0.62690000000000001</v>
      </c>
      <c r="L258">
        <v>0.69708300000000001</v>
      </c>
      <c r="M258">
        <v>0.1673</v>
      </c>
      <c r="N258">
        <v>647</v>
      </c>
      <c r="O258">
        <v>4138</v>
      </c>
      <c r="P258">
        <v>4785</v>
      </c>
      <c r="Q258">
        <f t="shared" si="12"/>
        <v>23.646650999999999</v>
      </c>
      <c r="R258">
        <f t="shared" si="13"/>
        <v>25.375399999999999</v>
      </c>
      <c r="S258">
        <f t="shared" si="14"/>
        <v>69.708299999999994</v>
      </c>
      <c r="T258">
        <f t="shared" si="15"/>
        <v>11.209099999999999</v>
      </c>
      <c r="U258" t="str">
        <f>_xlfn.XLOOKUP(C258,Lookup!$A$3:$A$6,Lookup!$B$3:$B$6)</f>
        <v>Summer</v>
      </c>
      <c r="V258">
        <f>_xlfn.XLOOKUP(D258,Lookup!$D$3:$D$4,Lookup!$E$3:$E$4)</f>
        <v>2011</v>
      </c>
      <c r="W258" t="str">
        <f>_xlfn.XLOOKUP(I258,Lookup!$G$3:$G$6,Lookup!$H$3:$H$6)</f>
        <v>Clear</v>
      </c>
      <c r="X258" t="str">
        <f>_xlfn.XLOOKUP(E258,Lookup!$J$3:$J$14,Lookup!$K$3:$K$14)</f>
        <v>September</v>
      </c>
      <c r="Y258" t="str">
        <f>_xlfn.XLOOKUP(G258,Lookup!$M$3:$M$9,Lookup!$N$3:$N$9)</f>
        <v>Wednesday</v>
      </c>
    </row>
    <row r="259" spans="1:25" x14ac:dyDescent="0.3">
      <c r="A259">
        <v>258</v>
      </c>
      <c r="B259" s="1">
        <v>40801</v>
      </c>
      <c r="C259">
        <v>3</v>
      </c>
      <c r="D259">
        <v>0</v>
      </c>
      <c r="E259">
        <v>9</v>
      </c>
      <c r="F259">
        <v>0</v>
      </c>
      <c r="G259">
        <v>4</v>
      </c>
      <c r="H259">
        <v>1</v>
      </c>
      <c r="I259">
        <v>2</v>
      </c>
      <c r="J259">
        <v>0.57750000000000001</v>
      </c>
      <c r="K259">
        <v>0.55367100000000002</v>
      </c>
      <c r="L259">
        <v>0.70916699999999999</v>
      </c>
      <c r="M259">
        <v>0.271146</v>
      </c>
      <c r="N259">
        <v>428</v>
      </c>
      <c r="O259">
        <v>3231</v>
      </c>
      <c r="P259">
        <v>3659</v>
      </c>
      <c r="Q259">
        <f t="shared" ref="Q259:Q322" si="16">J259*47-8</f>
        <v>19.142500000000002</v>
      </c>
      <c r="R259">
        <f t="shared" ref="R259:R322" si="17">K259*66-16</f>
        <v>20.542286000000004</v>
      </c>
      <c r="S259">
        <f t="shared" ref="S259:S322" si="18">L259*100</f>
        <v>70.916700000000006</v>
      </c>
      <c r="T259">
        <f t="shared" ref="T259:T322" si="19">M259*67</f>
        <v>18.166782000000001</v>
      </c>
      <c r="U259" t="str">
        <f>_xlfn.XLOOKUP(C259,Lookup!$A$3:$A$6,Lookup!$B$3:$B$6)</f>
        <v>Summer</v>
      </c>
      <c r="V259">
        <f>_xlfn.XLOOKUP(D259,Lookup!$D$3:$D$4,Lookup!$E$3:$E$4)</f>
        <v>2011</v>
      </c>
      <c r="W259" t="str">
        <f>_xlfn.XLOOKUP(I259,Lookup!$G$3:$G$6,Lookup!$H$3:$H$6)</f>
        <v>Misty/Cloudy</v>
      </c>
      <c r="X259" t="str">
        <f>_xlfn.XLOOKUP(E259,Lookup!$J$3:$J$14,Lookup!$K$3:$K$14)</f>
        <v>September</v>
      </c>
      <c r="Y259" t="str">
        <f>_xlfn.XLOOKUP(G259,Lookup!$M$3:$M$9,Lookup!$N$3:$N$9)</f>
        <v>Thursday</v>
      </c>
    </row>
    <row r="260" spans="1:25" x14ac:dyDescent="0.3">
      <c r="A260">
        <v>259</v>
      </c>
      <c r="B260" s="1">
        <v>40802</v>
      </c>
      <c r="C260">
        <v>3</v>
      </c>
      <c r="D260">
        <v>0</v>
      </c>
      <c r="E260">
        <v>9</v>
      </c>
      <c r="F260">
        <v>0</v>
      </c>
      <c r="G260">
        <v>5</v>
      </c>
      <c r="H260">
        <v>1</v>
      </c>
      <c r="I260">
        <v>2</v>
      </c>
      <c r="J260">
        <v>0.469167</v>
      </c>
      <c r="K260">
        <v>0.46147500000000002</v>
      </c>
      <c r="L260">
        <v>0.59041699999999997</v>
      </c>
      <c r="M260">
        <v>0.164183</v>
      </c>
      <c r="N260">
        <v>742</v>
      </c>
      <c r="O260">
        <v>4018</v>
      </c>
      <c r="P260">
        <v>4760</v>
      </c>
      <c r="Q260">
        <f t="shared" si="16"/>
        <v>14.050848999999999</v>
      </c>
      <c r="R260">
        <f t="shared" si="17"/>
        <v>14.457350000000002</v>
      </c>
      <c r="S260">
        <f t="shared" si="18"/>
        <v>59.041699999999999</v>
      </c>
      <c r="T260">
        <f t="shared" si="19"/>
        <v>11.000261</v>
      </c>
      <c r="U260" t="str">
        <f>_xlfn.XLOOKUP(C260,Lookup!$A$3:$A$6,Lookup!$B$3:$B$6)</f>
        <v>Summer</v>
      </c>
      <c r="V260">
        <f>_xlfn.XLOOKUP(D260,Lookup!$D$3:$D$4,Lookup!$E$3:$E$4)</f>
        <v>2011</v>
      </c>
      <c r="W260" t="str">
        <f>_xlfn.XLOOKUP(I260,Lookup!$G$3:$G$6,Lookup!$H$3:$H$6)</f>
        <v>Misty/Cloudy</v>
      </c>
      <c r="X260" t="str">
        <f>_xlfn.XLOOKUP(E260,Lookup!$J$3:$J$14,Lookup!$K$3:$K$14)</f>
        <v>September</v>
      </c>
      <c r="Y260" t="str">
        <f>_xlfn.XLOOKUP(G260,Lookup!$M$3:$M$9,Lookup!$N$3:$N$9)</f>
        <v>Friday</v>
      </c>
    </row>
    <row r="261" spans="1:25" x14ac:dyDescent="0.3">
      <c r="A261">
        <v>260</v>
      </c>
      <c r="B261" s="1">
        <v>40803</v>
      </c>
      <c r="C261">
        <v>3</v>
      </c>
      <c r="D261">
        <v>0</v>
      </c>
      <c r="E261">
        <v>9</v>
      </c>
      <c r="F261">
        <v>0</v>
      </c>
      <c r="G261">
        <v>6</v>
      </c>
      <c r="H261">
        <v>0</v>
      </c>
      <c r="I261">
        <v>2</v>
      </c>
      <c r="J261">
        <v>0.49166700000000002</v>
      </c>
      <c r="K261">
        <v>0.47851199999999999</v>
      </c>
      <c r="L261">
        <v>0.718333</v>
      </c>
      <c r="M261">
        <v>0.18967500000000001</v>
      </c>
      <c r="N261">
        <v>1434</v>
      </c>
      <c r="O261">
        <v>3077</v>
      </c>
      <c r="P261">
        <v>4511</v>
      </c>
      <c r="Q261">
        <f t="shared" si="16"/>
        <v>15.108349</v>
      </c>
      <c r="R261">
        <f t="shared" si="17"/>
        <v>15.581792</v>
      </c>
      <c r="S261">
        <f t="shared" si="18"/>
        <v>71.833299999999994</v>
      </c>
      <c r="T261">
        <f t="shared" si="19"/>
        <v>12.708225000000001</v>
      </c>
      <c r="U261" t="str">
        <f>_xlfn.XLOOKUP(C261,Lookup!$A$3:$A$6,Lookup!$B$3:$B$6)</f>
        <v>Summer</v>
      </c>
      <c r="V261">
        <f>_xlfn.XLOOKUP(D261,Lookup!$D$3:$D$4,Lookup!$E$3:$E$4)</f>
        <v>2011</v>
      </c>
      <c r="W261" t="str">
        <f>_xlfn.XLOOKUP(I261,Lookup!$G$3:$G$6,Lookup!$H$3:$H$6)</f>
        <v>Misty/Cloudy</v>
      </c>
      <c r="X261" t="str">
        <f>_xlfn.XLOOKUP(E261,Lookup!$J$3:$J$14,Lookup!$K$3:$K$14)</f>
        <v>September</v>
      </c>
      <c r="Y261" t="str">
        <f>_xlfn.XLOOKUP(G261,Lookup!$M$3:$M$9,Lookup!$N$3:$N$9)</f>
        <v>Saturday</v>
      </c>
    </row>
    <row r="262" spans="1:25" x14ac:dyDescent="0.3">
      <c r="A262">
        <v>261</v>
      </c>
      <c r="B262" s="1">
        <v>40804</v>
      </c>
      <c r="C262">
        <v>3</v>
      </c>
      <c r="D262">
        <v>0</v>
      </c>
      <c r="E262">
        <v>9</v>
      </c>
      <c r="F262">
        <v>0</v>
      </c>
      <c r="G262">
        <v>0</v>
      </c>
      <c r="H262">
        <v>0</v>
      </c>
      <c r="I262">
        <v>1</v>
      </c>
      <c r="J262">
        <v>0.50749999999999995</v>
      </c>
      <c r="K262">
        <v>0.490537</v>
      </c>
      <c r="L262">
        <v>0.69499999999999995</v>
      </c>
      <c r="M262">
        <v>0.178483</v>
      </c>
      <c r="N262">
        <v>1353</v>
      </c>
      <c r="O262">
        <v>2921</v>
      </c>
      <c r="P262">
        <v>4274</v>
      </c>
      <c r="Q262">
        <f t="shared" si="16"/>
        <v>15.852499999999999</v>
      </c>
      <c r="R262">
        <f t="shared" si="17"/>
        <v>16.375442</v>
      </c>
      <c r="S262">
        <f t="shared" si="18"/>
        <v>69.5</v>
      </c>
      <c r="T262">
        <f t="shared" si="19"/>
        <v>11.958361</v>
      </c>
      <c r="U262" t="str">
        <f>_xlfn.XLOOKUP(C262,Lookup!$A$3:$A$6,Lookup!$B$3:$B$6)</f>
        <v>Summer</v>
      </c>
      <c r="V262">
        <f>_xlfn.XLOOKUP(D262,Lookup!$D$3:$D$4,Lookup!$E$3:$E$4)</f>
        <v>2011</v>
      </c>
      <c r="W262" t="str">
        <f>_xlfn.XLOOKUP(I262,Lookup!$G$3:$G$6,Lookup!$H$3:$H$6)</f>
        <v>Clear</v>
      </c>
      <c r="X262" t="str">
        <f>_xlfn.XLOOKUP(E262,Lookup!$J$3:$J$14,Lookup!$K$3:$K$14)</f>
        <v>September</v>
      </c>
      <c r="Y262" t="str">
        <f>_xlfn.XLOOKUP(G262,Lookup!$M$3:$M$9,Lookup!$N$3:$N$9)</f>
        <v>Sunday</v>
      </c>
    </row>
    <row r="263" spans="1:25" x14ac:dyDescent="0.3">
      <c r="A263">
        <v>262</v>
      </c>
      <c r="B263" s="1">
        <v>40805</v>
      </c>
      <c r="C263">
        <v>3</v>
      </c>
      <c r="D263">
        <v>0</v>
      </c>
      <c r="E263">
        <v>9</v>
      </c>
      <c r="F263">
        <v>0</v>
      </c>
      <c r="G263">
        <v>1</v>
      </c>
      <c r="H263">
        <v>1</v>
      </c>
      <c r="I263">
        <v>2</v>
      </c>
      <c r="J263">
        <v>0.54916699999999996</v>
      </c>
      <c r="K263">
        <v>0.52967500000000001</v>
      </c>
      <c r="L263">
        <v>0.69</v>
      </c>
      <c r="M263">
        <v>0.15174199999999999</v>
      </c>
      <c r="N263">
        <v>691</v>
      </c>
      <c r="O263">
        <v>3848</v>
      </c>
      <c r="P263">
        <v>4539</v>
      </c>
      <c r="Q263">
        <f t="shared" si="16"/>
        <v>17.810848999999997</v>
      </c>
      <c r="R263">
        <f t="shared" si="17"/>
        <v>18.958550000000002</v>
      </c>
      <c r="S263">
        <f t="shared" si="18"/>
        <v>69</v>
      </c>
      <c r="T263">
        <f t="shared" si="19"/>
        <v>10.166713999999999</v>
      </c>
      <c r="U263" t="str">
        <f>_xlfn.XLOOKUP(C263,Lookup!$A$3:$A$6,Lookup!$B$3:$B$6)</f>
        <v>Summer</v>
      </c>
      <c r="V263">
        <f>_xlfn.XLOOKUP(D263,Lookup!$D$3:$D$4,Lookup!$E$3:$E$4)</f>
        <v>2011</v>
      </c>
      <c r="W263" t="str">
        <f>_xlfn.XLOOKUP(I263,Lookup!$G$3:$G$6,Lookup!$H$3:$H$6)</f>
        <v>Misty/Cloudy</v>
      </c>
      <c r="X263" t="str">
        <f>_xlfn.XLOOKUP(E263,Lookup!$J$3:$J$14,Lookup!$K$3:$K$14)</f>
        <v>September</v>
      </c>
      <c r="Y263" t="str">
        <f>_xlfn.XLOOKUP(G263,Lookup!$M$3:$M$9,Lookup!$N$3:$N$9)</f>
        <v>Monday</v>
      </c>
    </row>
    <row r="264" spans="1:25" x14ac:dyDescent="0.3">
      <c r="A264">
        <v>263</v>
      </c>
      <c r="B264" s="1">
        <v>40806</v>
      </c>
      <c r="C264">
        <v>3</v>
      </c>
      <c r="D264">
        <v>0</v>
      </c>
      <c r="E264">
        <v>9</v>
      </c>
      <c r="F264">
        <v>0</v>
      </c>
      <c r="G264">
        <v>2</v>
      </c>
      <c r="H264">
        <v>1</v>
      </c>
      <c r="I264">
        <v>2</v>
      </c>
      <c r="J264">
        <v>0.56166700000000003</v>
      </c>
      <c r="K264">
        <v>0.53221700000000005</v>
      </c>
      <c r="L264">
        <v>0.88124999999999998</v>
      </c>
      <c r="M264">
        <v>0.13495399999999999</v>
      </c>
      <c r="N264">
        <v>438</v>
      </c>
      <c r="O264">
        <v>3203</v>
      </c>
      <c r="P264">
        <v>3641</v>
      </c>
      <c r="Q264">
        <f t="shared" si="16"/>
        <v>18.398349</v>
      </c>
      <c r="R264">
        <f t="shared" si="17"/>
        <v>19.126322000000002</v>
      </c>
      <c r="S264">
        <f t="shared" si="18"/>
        <v>88.125</v>
      </c>
      <c r="T264">
        <f t="shared" si="19"/>
        <v>9.041917999999999</v>
      </c>
      <c r="U264" t="str">
        <f>_xlfn.XLOOKUP(C264,Lookup!$A$3:$A$6,Lookup!$B$3:$B$6)</f>
        <v>Summer</v>
      </c>
      <c r="V264">
        <f>_xlfn.XLOOKUP(D264,Lookup!$D$3:$D$4,Lookup!$E$3:$E$4)</f>
        <v>2011</v>
      </c>
      <c r="W264" t="str">
        <f>_xlfn.XLOOKUP(I264,Lookup!$G$3:$G$6,Lookup!$H$3:$H$6)</f>
        <v>Misty/Cloudy</v>
      </c>
      <c r="X264" t="str">
        <f>_xlfn.XLOOKUP(E264,Lookup!$J$3:$J$14,Lookup!$K$3:$K$14)</f>
        <v>September</v>
      </c>
      <c r="Y264" t="str">
        <f>_xlfn.XLOOKUP(G264,Lookup!$M$3:$M$9,Lookup!$N$3:$N$9)</f>
        <v>Tuesday</v>
      </c>
    </row>
    <row r="265" spans="1:25" x14ac:dyDescent="0.3">
      <c r="A265">
        <v>264</v>
      </c>
      <c r="B265" s="1">
        <v>40807</v>
      </c>
      <c r="C265">
        <v>3</v>
      </c>
      <c r="D265">
        <v>0</v>
      </c>
      <c r="E265">
        <v>9</v>
      </c>
      <c r="F265">
        <v>0</v>
      </c>
      <c r="G265">
        <v>3</v>
      </c>
      <c r="H265">
        <v>1</v>
      </c>
      <c r="I265">
        <v>2</v>
      </c>
      <c r="J265">
        <v>0.59499999999999997</v>
      </c>
      <c r="K265">
        <v>0.55053300000000005</v>
      </c>
      <c r="L265">
        <v>0.9</v>
      </c>
      <c r="M265">
        <v>9.6404199999999995E-2</v>
      </c>
      <c r="N265">
        <v>539</v>
      </c>
      <c r="O265">
        <v>3813</v>
      </c>
      <c r="P265">
        <v>4352</v>
      </c>
      <c r="Q265">
        <f t="shared" si="16"/>
        <v>19.965</v>
      </c>
      <c r="R265">
        <f t="shared" si="17"/>
        <v>20.335178000000006</v>
      </c>
      <c r="S265">
        <f t="shared" si="18"/>
        <v>90</v>
      </c>
      <c r="T265">
        <f t="shared" si="19"/>
        <v>6.4590813999999996</v>
      </c>
      <c r="U265" t="str">
        <f>_xlfn.XLOOKUP(C265,Lookup!$A$3:$A$6,Lookup!$B$3:$B$6)</f>
        <v>Summer</v>
      </c>
      <c r="V265">
        <f>_xlfn.XLOOKUP(D265,Lookup!$D$3:$D$4,Lookup!$E$3:$E$4)</f>
        <v>2011</v>
      </c>
      <c r="W265" t="str">
        <f>_xlfn.XLOOKUP(I265,Lookup!$G$3:$G$6,Lookup!$H$3:$H$6)</f>
        <v>Misty/Cloudy</v>
      </c>
      <c r="X265" t="str">
        <f>_xlfn.XLOOKUP(E265,Lookup!$J$3:$J$14,Lookup!$K$3:$K$14)</f>
        <v>September</v>
      </c>
      <c r="Y265" t="str">
        <f>_xlfn.XLOOKUP(G265,Lookup!$M$3:$M$9,Lookup!$N$3:$N$9)</f>
        <v>Wednesday</v>
      </c>
    </row>
    <row r="266" spans="1:25" x14ac:dyDescent="0.3">
      <c r="A266">
        <v>265</v>
      </c>
      <c r="B266" s="1">
        <v>40808</v>
      </c>
      <c r="C266">
        <v>3</v>
      </c>
      <c r="D266">
        <v>0</v>
      </c>
      <c r="E266">
        <v>9</v>
      </c>
      <c r="F266">
        <v>0</v>
      </c>
      <c r="G266">
        <v>4</v>
      </c>
      <c r="H266">
        <v>1</v>
      </c>
      <c r="I266">
        <v>2</v>
      </c>
      <c r="J266">
        <v>0.62833300000000003</v>
      </c>
      <c r="K266">
        <v>0.55496299999999998</v>
      </c>
      <c r="L266">
        <v>0.90208299999999997</v>
      </c>
      <c r="M266">
        <v>0.12812499999999999</v>
      </c>
      <c r="N266">
        <v>555</v>
      </c>
      <c r="O266">
        <v>4240</v>
      </c>
      <c r="P266">
        <v>4795</v>
      </c>
      <c r="Q266">
        <f t="shared" si="16"/>
        <v>21.531651</v>
      </c>
      <c r="R266">
        <f t="shared" si="17"/>
        <v>20.627558000000001</v>
      </c>
      <c r="S266">
        <f t="shared" si="18"/>
        <v>90.208299999999994</v>
      </c>
      <c r="T266">
        <f t="shared" si="19"/>
        <v>8.5843749999999996</v>
      </c>
      <c r="U266" t="str">
        <f>_xlfn.XLOOKUP(C266,Lookup!$A$3:$A$6,Lookup!$B$3:$B$6)</f>
        <v>Summer</v>
      </c>
      <c r="V266">
        <f>_xlfn.XLOOKUP(D266,Lookup!$D$3:$D$4,Lookup!$E$3:$E$4)</f>
        <v>2011</v>
      </c>
      <c r="W266" t="str">
        <f>_xlfn.XLOOKUP(I266,Lookup!$G$3:$G$6,Lookup!$H$3:$H$6)</f>
        <v>Misty/Cloudy</v>
      </c>
      <c r="X266" t="str">
        <f>_xlfn.XLOOKUP(E266,Lookup!$J$3:$J$14,Lookup!$K$3:$K$14)</f>
        <v>September</v>
      </c>
      <c r="Y266" t="str">
        <f>_xlfn.XLOOKUP(G266,Lookup!$M$3:$M$9,Lookup!$N$3:$N$9)</f>
        <v>Thursday</v>
      </c>
    </row>
    <row r="267" spans="1:25" x14ac:dyDescent="0.3">
      <c r="A267">
        <v>266</v>
      </c>
      <c r="B267" s="1">
        <v>40809</v>
      </c>
      <c r="C267">
        <v>4</v>
      </c>
      <c r="D267">
        <v>0</v>
      </c>
      <c r="E267">
        <v>9</v>
      </c>
      <c r="F267">
        <v>0</v>
      </c>
      <c r="G267">
        <v>5</v>
      </c>
      <c r="H267">
        <v>1</v>
      </c>
      <c r="I267">
        <v>2</v>
      </c>
      <c r="J267">
        <v>0.60916700000000001</v>
      </c>
      <c r="K267">
        <v>0.52212499999999995</v>
      </c>
      <c r="L267">
        <v>0.97250000000000003</v>
      </c>
      <c r="M267">
        <v>7.8366699999999997E-2</v>
      </c>
      <c r="N267">
        <v>258</v>
      </c>
      <c r="O267">
        <v>2137</v>
      </c>
      <c r="P267">
        <v>2395</v>
      </c>
      <c r="Q267">
        <f t="shared" si="16"/>
        <v>20.630849000000001</v>
      </c>
      <c r="R267">
        <f t="shared" si="17"/>
        <v>18.460249999999995</v>
      </c>
      <c r="S267">
        <f t="shared" si="18"/>
        <v>97.25</v>
      </c>
      <c r="T267">
        <f t="shared" si="19"/>
        <v>5.2505689000000002</v>
      </c>
      <c r="U267" t="str">
        <f>_xlfn.XLOOKUP(C267,Lookup!$A$3:$A$6,Lookup!$B$3:$B$6)</f>
        <v>Fall</v>
      </c>
      <c r="V267">
        <f>_xlfn.XLOOKUP(D267,Lookup!$D$3:$D$4,Lookup!$E$3:$E$4)</f>
        <v>2011</v>
      </c>
      <c r="W267" t="str">
        <f>_xlfn.XLOOKUP(I267,Lookup!$G$3:$G$6,Lookup!$H$3:$H$6)</f>
        <v>Misty/Cloudy</v>
      </c>
      <c r="X267" t="str">
        <f>_xlfn.XLOOKUP(E267,Lookup!$J$3:$J$14,Lookup!$K$3:$K$14)</f>
        <v>September</v>
      </c>
      <c r="Y267" t="str">
        <f>_xlfn.XLOOKUP(G267,Lookup!$M$3:$M$9,Lookup!$N$3:$N$9)</f>
        <v>Friday</v>
      </c>
    </row>
    <row r="268" spans="1:25" x14ac:dyDescent="0.3">
      <c r="A268">
        <v>267</v>
      </c>
      <c r="B268" s="1">
        <v>40810</v>
      </c>
      <c r="C268">
        <v>4</v>
      </c>
      <c r="D268">
        <v>0</v>
      </c>
      <c r="E268">
        <v>9</v>
      </c>
      <c r="F268">
        <v>0</v>
      </c>
      <c r="G268">
        <v>6</v>
      </c>
      <c r="H268">
        <v>0</v>
      </c>
      <c r="I268">
        <v>2</v>
      </c>
      <c r="J268">
        <v>0.60666699999999996</v>
      </c>
      <c r="K268">
        <v>0.56441200000000002</v>
      </c>
      <c r="L268">
        <v>0.86250000000000004</v>
      </c>
      <c r="M268">
        <v>7.8383300000000003E-2</v>
      </c>
      <c r="N268">
        <v>1776</v>
      </c>
      <c r="O268">
        <v>3647</v>
      </c>
      <c r="P268">
        <v>5423</v>
      </c>
      <c r="Q268">
        <f t="shared" si="16"/>
        <v>20.513348999999998</v>
      </c>
      <c r="R268">
        <f t="shared" si="17"/>
        <v>21.251192000000003</v>
      </c>
      <c r="S268">
        <f t="shared" si="18"/>
        <v>86.25</v>
      </c>
      <c r="T268">
        <f t="shared" si="19"/>
        <v>5.2516810999999999</v>
      </c>
      <c r="U268" t="str">
        <f>_xlfn.XLOOKUP(C268,Lookup!$A$3:$A$6,Lookup!$B$3:$B$6)</f>
        <v>Fall</v>
      </c>
      <c r="V268">
        <f>_xlfn.XLOOKUP(D268,Lookup!$D$3:$D$4,Lookup!$E$3:$E$4)</f>
        <v>2011</v>
      </c>
      <c r="W268" t="str">
        <f>_xlfn.XLOOKUP(I268,Lookup!$G$3:$G$6,Lookup!$H$3:$H$6)</f>
        <v>Misty/Cloudy</v>
      </c>
      <c r="X268" t="str">
        <f>_xlfn.XLOOKUP(E268,Lookup!$J$3:$J$14,Lookup!$K$3:$K$14)</f>
        <v>September</v>
      </c>
      <c r="Y268" t="str">
        <f>_xlfn.XLOOKUP(G268,Lookup!$M$3:$M$9,Lookup!$N$3:$N$9)</f>
        <v>Saturday</v>
      </c>
    </row>
    <row r="269" spans="1:25" x14ac:dyDescent="0.3">
      <c r="A269">
        <v>268</v>
      </c>
      <c r="B269" s="1">
        <v>40811</v>
      </c>
      <c r="C269">
        <v>4</v>
      </c>
      <c r="D269">
        <v>0</v>
      </c>
      <c r="E269">
        <v>9</v>
      </c>
      <c r="F269">
        <v>0</v>
      </c>
      <c r="G269">
        <v>0</v>
      </c>
      <c r="H269">
        <v>0</v>
      </c>
      <c r="I269">
        <v>2</v>
      </c>
      <c r="J269">
        <v>0.63416700000000004</v>
      </c>
      <c r="K269">
        <v>0.57263699999999995</v>
      </c>
      <c r="L269">
        <v>0.84499999999999997</v>
      </c>
      <c r="M269">
        <v>5.0379199999999999E-2</v>
      </c>
      <c r="N269">
        <v>1544</v>
      </c>
      <c r="O269">
        <v>3466</v>
      </c>
      <c r="P269">
        <v>5010</v>
      </c>
      <c r="Q269">
        <f t="shared" si="16"/>
        <v>21.805849000000002</v>
      </c>
      <c r="R269">
        <f t="shared" si="17"/>
        <v>21.794041999999997</v>
      </c>
      <c r="S269">
        <f t="shared" si="18"/>
        <v>84.5</v>
      </c>
      <c r="T269">
        <f t="shared" si="19"/>
        <v>3.3754064000000001</v>
      </c>
      <c r="U269" t="str">
        <f>_xlfn.XLOOKUP(C269,Lookup!$A$3:$A$6,Lookup!$B$3:$B$6)</f>
        <v>Fall</v>
      </c>
      <c r="V269">
        <f>_xlfn.XLOOKUP(D269,Lookup!$D$3:$D$4,Lookup!$E$3:$E$4)</f>
        <v>2011</v>
      </c>
      <c r="W269" t="str">
        <f>_xlfn.XLOOKUP(I269,Lookup!$G$3:$G$6,Lookup!$H$3:$H$6)</f>
        <v>Misty/Cloudy</v>
      </c>
      <c r="X269" t="str">
        <f>_xlfn.XLOOKUP(E269,Lookup!$J$3:$J$14,Lookup!$K$3:$K$14)</f>
        <v>September</v>
      </c>
      <c r="Y269" t="str">
        <f>_xlfn.XLOOKUP(G269,Lookup!$M$3:$M$9,Lookup!$N$3:$N$9)</f>
        <v>Sunday</v>
      </c>
    </row>
    <row r="270" spans="1:25" x14ac:dyDescent="0.3">
      <c r="A270">
        <v>269</v>
      </c>
      <c r="B270" s="1">
        <v>40812</v>
      </c>
      <c r="C270">
        <v>4</v>
      </c>
      <c r="D270">
        <v>0</v>
      </c>
      <c r="E270">
        <v>9</v>
      </c>
      <c r="F270">
        <v>0</v>
      </c>
      <c r="G270">
        <v>1</v>
      </c>
      <c r="H270">
        <v>1</v>
      </c>
      <c r="I270">
        <v>2</v>
      </c>
      <c r="J270">
        <v>0.64916700000000005</v>
      </c>
      <c r="K270">
        <v>0.58904199999999995</v>
      </c>
      <c r="L270">
        <v>0.848333</v>
      </c>
      <c r="M270">
        <v>0.11070000000000001</v>
      </c>
      <c r="N270">
        <v>684</v>
      </c>
      <c r="O270">
        <v>3946</v>
      </c>
      <c r="P270">
        <v>4630</v>
      </c>
      <c r="Q270">
        <f t="shared" si="16"/>
        <v>22.510849000000004</v>
      </c>
      <c r="R270">
        <f t="shared" si="17"/>
        <v>22.876771999999995</v>
      </c>
      <c r="S270">
        <f t="shared" si="18"/>
        <v>84.833299999999994</v>
      </c>
      <c r="T270">
        <f t="shared" si="19"/>
        <v>7.4169</v>
      </c>
      <c r="U270" t="str">
        <f>_xlfn.XLOOKUP(C270,Lookup!$A$3:$A$6,Lookup!$B$3:$B$6)</f>
        <v>Fall</v>
      </c>
      <c r="V270">
        <f>_xlfn.XLOOKUP(D270,Lookup!$D$3:$D$4,Lookup!$E$3:$E$4)</f>
        <v>2011</v>
      </c>
      <c r="W270" t="str">
        <f>_xlfn.XLOOKUP(I270,Lookup!$G$3:$G$6,Lookup!$H$3:$H$6)</f>
        <v>Misty/Cloudy</v>
      </c>
      <c r="X270" t="str">
        <f>_xlfn.XLOOKUP(E270,Lookup!$J$3:$J$14,Lookup!$K$3:$K$14)</f>
        <v>September</v>
      </c>
      <c r="Y270" t="str">
        <f>_xlfn.XLOOKUP(G270,Lookup!$M$3:$M$9,Lookup!$N$3:$N$9)</f>
        <v>Monday</v>
      </c>
    </row>
    <row r="271" spans="1:25" x14ac:dyDescent="0.3">
      <c r="A271">
        <v>270</v>
      </c>
      <c r="B271" s="1">
        <v>40813</v>
      </c>
      <c r="C271">
        <v>4</v>
      </c>
      <c r="D271">
        <v>0</v>
      </c>
      <c r="E271">
        <v>9</v>
      </c>
      <c r="F271">
        <v>0</v>
      </c>
      <c r="G271">
        <v>2</v>
      </c>
      <c r="H271">
        <v>1</v>
      </c>
      <c r="I271">
        <v>2</v>
      </c>
      <c r="J271">
        <v>0.63666699999999998</v>
      </c>
      <c r="K271">
        <v>0.57452499999999995</v>
      </c>
      <c r="L271">
        <v>0.88541700000000001</v>
      </c>
      <c r="M271">
        <v>0.118171</v>
      </c>
      <c r="N271">
        <v>477</v>
      </c>
      <c r="O271">
        <v>3643</v>
      </c>
      <c r="P271">
        <v>4120</v>
      </c>
      <c r="Q271">
        <f t="shared" si="16"/>
        <v>21.923348999999998</v>
      </c>
      <c r="R271">
        <f t="shared" si="17"/>
        <v>21.91865</v>
      </c>
      <c r="S271">
        <f t="shared" si="18"/>
        <v>88.541700000000006</v>
      </c>
      <c r="T271">
        <f t="shared" si="19"/>
        <v>7.9174569999999997</v>
      </c>
      <c r="U271" t="str">
        <f>_xlfn.XLOOKUP(C271,Lookup!$A$3:$A$6,Lookup!$B$3:$B$6)</f>
        <v>Fall</v>
      </c>
      <c r="V271">
        <f>_xlfn.XLOOKUP(D271,Lookup!$D$3:$D$4,Lookup!$E$3:$E$4)</f>
        <v>2011</v>
      </c>
      <c r="W271" t="str">
        <f>_xlfn.XLOOKUP(I271,Lookup!$G$3:$G$6,Lookup!$H$3:$H$6)</f>
        <v>Misty/Cloudy</v>
      </c>
      <c r="X271" t="str">
        <f>_xlfn.XLOOKUP(E271,Lookup!$J$3:$J$14,Lookup!$K$3:$K$14)</f>
        <v>September</v>
      </c>
      <c r="Y271" t="str">
        <f>_xlfn.XLOOKUP(G271,Lookup!$M$3:$M$9,Lookup!$N$3:$N$9)</f>
        <v>Tuesday</v>
      </c>
    </row>
    <row r="272" spans="1:25" x14ac:dyDescent="0.3">
      <c r="A272">
        <v>271</v>
      </c>
      <c r="B272" s="1">
        <v>40814</v>
      </c>
      <c r="C272">
        <v>4</v>
      </c>
      <c r="D272">
        <v>0</v>
      </c>
      <c r="E272">
        <v>9</v>
      </c>
      <c r="F272">
        <v>0</v>
      </c>
      <c r="G272">
        <v>3</v>
      </c>
      <c r="H272">
        <v>1</v>
      </c>
      <c r="I272">
        <v>2</v>
      </c>
      <c r="J272">
        <v>0.63500000000000001</v>
      </c>
      <c r="K272">
        <v>0.57515799999999995</v>
      </c>
      <c r="L272">
        <v>0.84875</v>
      </c>
      <c r="M272">
        <v>0.14862900000000001</v>
      </c>
      <c r="N272">
        <v>480</v>
      </c>
      <c r="O272">
        <v>3427</v>
      </c>
      <c r="P272">
        <v>3907</v>
      </c>
      <c r="Q272">
        <f t="shared" si="16"/>
        <v>21.844999999999999</v>
      </c>
      <c r="R272">
        <f t="shared" si="17"/>
        <v>21.960427999999993</v>
      </c>
      <c r="S272">
        <f t="shared" si="18"/>
        <v>84.875</v>
      </c>
      <c r="T272">
        <f t="shared" si="19"/>
        <v>9.9581430000000015</v>
      </c>
      <c r="U272" t="str">
        <f>_xlfn.XLOOKUP(C272,Lookup!$A$3:$A$6,Lookup!$B$3:$B$6)</f>
        <v>Fall</v>
      </c>
      <c r="V272">
        <f>_xlfn.XLOOKUP(D272,Lookup!$D$3:$D$4,Lookup!$E$3:$E$4)</f>
        <v>2011</v>
      </c>
      <c r="W272" t="str">
        <f>_xlfn.XLOOKUP(I272,Lookup!$G$3:$G$6,Lookup!$H$3:$H$6)</f>
        <v>Misty/Cloudy</v>
      </c>
      <c r="X272" t="str">
        <f>_xlfn.XLOOKUP(E272,Lookup!$J$3:$J$14,Lookup!$K$3:$K$14)</f>
        <v>September</v>
      </c>
      <c r="Y272" t="str">
        <f>_xlfn.XLOOKUP(G272,Lookup!$M$3:$M$9,Lookup!$N$3:$N$9)</f>
        <v>Wednesday</v>
      </c>
    </row>
    <row r="273" spans="1:25" x14ac:dyDescent="0.3">
      <c r="A273">
        <v>272</v>
      </c>
      <c r="B273" s="1">
        <v>40815</v>
      </c>
      <c r="C273">
        <v>4</v>
      </c>
      <c r="D273">
        <v>0</v>
      </c>
      <c r="E273">
        <v>9</v>
      </c>
      <c r="F273">
        <v>0</v>
      </c>
      <c r="G273">
        <v>4</v>
      </c>
      <c r="H273">
        <v>1</v>
      </c>
      <c r="I273">
        <v>1</v>
      </c>
      <c r="J273">
        <v>0.61666699999999997</v>
      </c>
      <c r="K273">
        <v>0.57451200000000002</v>
      </c>
      <c r="L273">
        <v>0.69916699999999998</v>
      </c>
      <c r="M273">
        <v>0.17288300000000001</v>
      </c>
      <c r="N273">
        <v>653</v>
      </c>
      <c r="O273">
        <v>4186</v>
      </c>
      <c r="P273">
        <v>4839</v>
      </c>
      <c r="Q273">
        <f t="shared" si="16"/>
        <v>20.983348999999997</v>
      </c>
      <c r="R273">
        <f t="shared" si="17"/>
        <v>21.917791999999999</v>
      </c>
      <c r="S273">
        <f t="shared" si="18"/>
        <v>69.916699999999992</v>
      </c>
      <c r="T273">
        <f t="shared" si="19"/>
        <v>11.583161</v>
      </c>
      <c r="U273" t="str">
        <f>_xlfn.XLOOKUP(C273,Lookup!$A$3:$A$6,Lookup!$B$3:$B$6)</f>
        <v>Fall</v>
      </c>
      <c r="V273">
        <f>_xlfn.XLOOKUP(D273,Lookup!$D$3:$D$4,Lookup!$E$3:$E$4)</f>
        <v>2011</v>
      </c>
      <c r="W273" t="str">
        <f>_xlfn.XLOOKUP(I273,Lookup!$G$3:$G$6,Lookup!$H$3:$H$6)</f>
        <v>Clear</v>
      </c>
      <c r="X273" t="str">
        <f>_xlfn.XLOOKUP(E273,Lookup!$J$3:$J$14,Lookup!$K$3:$K$14)</f>
        <v>September</v>
      </c>
      <c r="Y273" t="str">
        <f>_xlfn.XLOOKUP(G273,Lookup!$M$3:$M$9,Lookup!$N$3:$N$9)</f>
        <v>Thursday</v>
      </c>
    </row>
    <row r="274" spans="1:25" x14ac:dyDescent="0.3">
      <c r="A274">
        <v>273</v>
      </c>
      <c r="B274" s="1">
        <v>40816</v>
      </c>
      <c r="C274">
        <v>4</v>
      </c>
      <c r="D274">
        <v>0</v>
      </c>
      <c r="E274">
        <v>9</v>
      </c>
      <c r="F274">
        <v>0</v>
      </c>
      <c r="G274">
        <v>5</v>
      </c>
      <c r="H274">
        <v>1</v>
      </c>
      <c r="I274">
        <v>1</v>
      </c>
      <c r="J274">
        <v>0.56416699999999997</v>
      </c>
      <c r="K274">
        <v>0.54482900000000001</v>
      </c>
      <c r="L274">
        <v>0.64749999999999996</v>
      </c>
      <c r="M274">
        <v>0.20647499999999999</v>
      </c>
      <c r="N274">
        <v>830</v>
      </c>
      <c r="O274">
        <v>4372</v>
      </c>
      <c r="P274">
        <v>5202</v>
      </c>
      <c r="Q274">
        <f t="shared" si="16"/>
        <v>18.515848999999999</v>
      </c>
      <c r="R274">
        <f t="shared" si="17"/>
        <v>19.958714000000001</v>
      </c>
      <c r="S274">
        <f t="shared" si="18"/>
        <v>64.75</v>
      </c>
      <c r="T274">
        <f t="shared" si="19"/>
        <v>13.833824999999999</v>
      </c>
      <c r="U274" t="str">
        <f>_xlfn.XLOOKUP(C274,Lookup!$A$3:$A$6,Lookup!$B$3:$B$6)</f>
        <v>Fall</v>
      </c>
      <c r="V274">
        <f>_xlfn.XLOOKUP(D274,Lookup!$D$3:$D$4,Lookup!$E$3:$E$4)</f>
        <v>2011</v>
      </c>
      <c r="W274" t="str">
        <f>_xlfn.XLOOKUP(I274,Lookup!$G$3:$G$6,Lookup!$H$3:$H$6)</f>
        <v>Clear</v>
      </c>
      <c r="X274" t="str">
        <f>_xlfn.XLOOKUP(E274,Lookup!$J$3:$J$14,Lookup!$K$3:$K$14)</f>
        <v>September</v>
      </c>
      <c r="Y274" t="str">
        <f>_xlfn.XLOOKUP(G274,Lookup!$M$3:$M$9,Lookup!$N$3:$N$9)</f>
        <v>Friday</v>
      </c>
    </row>
    <row r="275" spans="1:25" x14ac:dyDescent="0.3">
      <c r="A275">
        <v>274</v>
      </c>
      <c r="B275" s="1">
        <v>40817</v>
      </c>
      <c r="C275">
        <v>4</v>
      </c>
      <c r="D275">
        <v>0</v>
      </c>
      <c r="E275">
        <v>10</v>
      </c>
      <c r="F275">
        <v>0</v>
      </c>
      <c r="G275">
        <v>6</v>
      </c>
      <c r="H275">
        <v>0</v>
      </c>
      <c r="I275">
        <v>2</v>
      </c>
      <c r="J275">
        <v>0.41</v>
      </c>
      <c r="K275">
        <v>0.41286299999999998</v>
      </c>
      <c r="L275">
        <v>0.75375000000000003</v>
      </c>
      <c r="M275">
        <v>0.292296</v>
      </c>
      <c r="N275">
        <v>480</v>
      </c>
      <c r="O275">
        <v>1949</v>
      </c>
      <c r="P275">
        <v>2429</v>
      </c>
      <c r="Q275">
        <f t="shared" si="16"/>
        <v>11.27</v>
      </c>
      <c r="R275">
        <f t="shared" si="17"/>
        <v>11.248957999999998</v>
      </c>
      <c r="S275">
        <f t="shared" si="18"/>
        <v>75.375</v>
      </c>
      <c r="T275">
        <f t="shared" si="19"/>
        <v>19.583832000000001</v>
      </c>
      <c r="U275" t="str">
        <f>_xlfn.XLOOKUP(C275,Lookup!$A$3:$A$6,Lookup!$B$3:$B$6)</f>
        <v>Fall</v>
      </c>
      <c r="V275">
        <f>_xlfn.XLOOKUP(D275,Lookup!$D$3:$D$4,Lookup!$E$3:$E$4)</f>
        <v>2011</v>
      </c>
      <c r="W275" t="str">
        <f>_xlfn.XLOOKUP(I275,Lookup!$G$3:$G$6,Lookup!$H$3:$H$6)</f>
        <v>Misty/Cloudy</v>
      </c>
      <c r="X275" t="str">
        <f>_xlfn.XLOOKUP(E275,Lookup!$J$3:$J$14,Lookup!$K$3:$K$14)</f>
        <v>October</v>
      </c>
      <c r="Y275" t="str">
        <f>_xlfn.XLOOKUP(G275,Lookup!$M$3:$M$9,Lookup!$N$3:$N$9)</f>
        <v>Saturday</v>
      </c>
    </row>
    <row r="276" spans="1:25" x14ac:dyDescent="0.3">
      <c r="A276">
        <v>275</v>
      </c>
      <c r="B276" s="1">
        <v>40818</v>
      </c>
      <c r="C276">
        <v>4</v>
      </c>
      <c r="D276">
        <v>0</v>
      </c>
      <c r="E276">
        <v>10</v>
      </c>
      <c r="F276">
        <v>0</v>
      </c>
      <c r="G276">
        <v>0</v>
      </c>
      <c r="H276">
        <v>0</v>
      </c>
      <c r="I276">
        <v>2</v>
      </c>
      <c r="J276">
        <v>0.35666700000000001</v>
      </c>
      <c r="K276">
        <v>0.34531699999999999</v>
      </c>
      <c r="L276">
        <v>0.79166700000000001</v>
      </c>
      <c r="M276">
        <v>0.22201299999999999</v>
      </c>
      <c r="N276">
        <v>616</v>
      </c>
      <c r="O276">
        <v>2302</v>
      </c>
      <c r="P276">
        <v>2918</v>
      </c>
      <c r="Q276">
        <f t="shared" si="16"/>
        <v>8.7633490000000016</v>
      </c>
      <c r="R276">
        <f t="shared" si="17"/>
        <v>6.7909219999999983</v>
      </c>
      <c r="S276">
        <f t="shared" si="18"/>
        <v>79.166700000000006</v>
      </c>
      <c r="T276">
        <f t="shared" si="19"/>
        <v>14.874870999999999</v>
      </c>
      <c r="U276" t="str">
        <f>_xlfn.XLOOKUP(C276,Lookup!$A$3:$A$6,Lookup!$B$3:$B$6)</f>
        <v>Fall</v>
      </c>
      <c r="V276">
        <f>_xlfn.XLOOKUP(D276,Lookup!$D$3:$D$4,Lookup!$E$3:$E$4)</f>
        <v>2011</v>
      </c>
      <c r="W276" t="str">
        <f>_xlfn.XLOOKUP(I276,Lookup!$G$3:$G$6,Lookup!$H$3:$H$6)</f>
        <v>Misty/Cloudy</v>
      </c>
      <c r="X276" t="str">
        <f>_xlfn.XLOOKUP(E276,Lookup!$J$3:$J$14,Lookup!$K$3:$K$14)</f>
        <v>October</v>
      </c>
      <c r="Y276" t="str">
        <f>_xlfn.XLOOKUP(G276,Lookup!$M$3:$M$9,Lookup!$N$3:$N$9)</f>
        <v>Sunday</v>
      </c>
    </row>
    <row r="277" spans="1:25" x14ac:dyDescent="0.3">
      <c r="A277">
        <v>276</v>
      </c>
      <c r="B277" s="1">
        <v>40819</v>
      </c>
      <c r="C277">
        <v>4</v>
      </c>
      <c r="D277">
        <v>0</v>
      </c>
      <c r="E277">
        <v>10</v>
      </c>
      <c r="F277">
        <v>0</v>
      </c>
      <c r="G277">
        <v>1</v>
      </c>
      <c r="H277">
        <v>1</v>
      </c>
      <c r="I277">
        <v>2</v>
      </c>
      <c r="J277">
        <v>0.38416699999999998</v>
      </c>
      <c r="K277">
        <v>0.39204600000000001</v>
      </c>
      <c r="L277">
        <v>0.76083299999999998</v>
      </c>
      <c r="M277">
        <v>8.3345799999999998E-2</v>
      </c>
      <c r="N277">
        <v>330</v>
      </c>
      <c r="O277">
        <v>3240</v>
      </c>
      <c r="P277">
        <v>3570</v>
      </c>
      <c r="Q277">
        <f t="shared" si="16"/>
        <v>10.055848999999998</v>
      </c>
      <c r="R277">
        <f t="shared" si="17"/>
        <v>9.8750360000000015</v>
      </c>
      <c r="S277">
        <f t="shared" si="18"/>
        <v>76.083299999999994</v>
      </c>
      <c r="T277">
        <f t="shared" si="19"/>
        <v>5.5841685999999999</v>
      </c>
      <c r="U277" t="str">
        <f>_xlfn.XLOOKUP(C277,Lookup!$A$3:$A$6,Lookup!$B$3:$B$6)</f>
        <v>Fall</v>
      </c>
      <c r="V277">
        <f>_xlfn.XLOOKUP(D277,Lookup!$D$3:$D$4,Lookup!$E$3:$E$4)</f>
        <v>2011</v>
      </c>
      <c r="W277" t="str">
        <f>_xlfn.XLOOKUP(I277,Lookup!$G$3:$G$6,Lookup!$H$3:$H$6)</f>
        <v>Misty/Cloudy</v>
      </c>
      <c r="X277" t="str">
        <f>_xlfn.XLOOKUP(E277,Lookup!$J$3:$J$14,Lookup!$K$3:$K$14)</f>
        <v>October</v>
      </c>
      <c r="Y277" t="str">
        <f>_xlfn.XLOOKUP(G277,Lookup!$M$3:$M$9,Lookup!$N$3:$N$9)</f>
        <v>Monday</v>
      </c>
    </row>
    <row r="278" spans="1:25" x14ac:dyDescent="0.3">
      <c r="A278">
        <v>277</v>
      </c>
      <c r="B278" s="1">
        <v>40820</v>
      </c>
      <c r="C278">
        <v>4</v>
      </c>
      <c r="D278">
        <v>0</v>
      </c>
      <c r="E278">
        <v>10</v>
      </c>
      <c r="F278">
        <v>0</v>
      </c>
      <c r="G278">
        <v>2</v>
      </c>
      <c r="H278">
        <v>1</v>
      </c>
      <c r="I278">
        <v>1</v>
      </c>
      <c r="J278">
        <v>0.48416700000000001</v>
      </c>
      <c r="K278">
        <v>0.472858</v>
      </c>
      <c r="L278">
        <v>0.71</v>
      </c>
      <c r="M278">
        <v>0.20585400000000001</v>
      </c>
      <c r="N278">
        <v>486</v>
      </c>
      <c r="O278">
        <v>3970</v>
      </c>
      <c r="P278">
        <v>4456</v>
      </c>
      <c r="Q278">
        <f t="shared" si="16"/>
        <v>14.755849000000001</v>
      </c>
      <c r="R278">
        <f t="shared" si="17"/>
        <v>15.208628000000001</v>
      </c>
      <c r="S278">
        <f t="shared" si="18"/>
        <v>71</v>
      </c>
      <c r="T278">
        <f t="shared" si="19"/>
        <v>13.792218</v>
      </c>
      <c r="U278" t="str">
        <f>_xlfn.XLOOKUP(C278,Lookup!$A$3:$A$6,Lookup!$B$3:$B$6)</f>
        <v>Fall</v>
      </c>
      <c r="V278">
        <f>_xlfn.XLOOKUP(D278,Lookup!$D$3:$D$4,Lookup!$E$3:$E$4)</f>
        <v>2011</v>
      </c>
      <c r="W278" t="str">
        <f>_xlfn.XLOOKUP(I278,Lookup!$G$3:$G$6,Lookup!$H$3:$H$6)</f>
        <v>Clear</v>
      </c>
      <c r="X278" t="str">
        <f>_xlfn.XLOOKUP(E278,Lookup!$J$3:$J$14,Lookup!$K$3:$K$14)</f>
        <v>October</v>
      </c>
      <c r="Y278" t="str">
        <f>_xlfn.XLOOKUP(G278,Lookup!$M$3:$M$9,Lookup!$N$3:$N$9)</f>
        <v>Tuesday</v>
      </c>
    </row>
    <row r="279" spans="1:25" x14ac:dyDescent="0.3">
      <c r="A279">
        <v>278</v>
      </c>
      <c r="B279" s="1">
        <v>40821</v>
      </c>
      <c r="C279">
        <v>4</v>
      </c>
      <c r="D279">
        <v>0</v>
      </c>
      <c r="E279">
        <v>10</v>
      </c>
      <c r="F279">
        <v>0</v>
      </c>
      <c r="G279">
        <v>3</v>
      </c>
      <c r="H279">
        <v>1</v>
      </c>
      <c r="I279">
        <v>1</v>
      </c>
      <c r="J279">
        <v>0.53833299999999995</v>
      </c>
      <c r="K279">
        <v>0.527138</v>
      </c>
      <c r="L279">
        <v>0.64791699999999997</v>
      </c>
      <c r="M279">
        <v>0.17724999999999999</v>
      </c>
      <c r="N279">
        <v>559</v>
      </c>
      <c r="O279">
        <v>4267</v>
      </c>
      <c r="P279">
        <v>4826</v>
      </c>
      <c r="Q279">
        <f t="shared" si="16"/>
        <v>17.301650999999996</v>
      </c>
      <c r="R279">
        <f t="shared" si="17"/>
        <v>18.791108000000001</v>
      </c>
      <c r="S279">
        <f t="shared" si="18"/>
        <v>64.791699999999992</v>
      </c>
      <c r="T279">
        <f t="shared" si="19"/>
        <v>11.87575</v>
      </c>
      <c r="U279" t="str">
        <f>_xlfn.XLOOKUP(C279,Lookup!$A$3:$A$6,Lookup!$B$3:$B$6)</f>
        <v>Fall</v>
      </c>
      <c r="V279">
        <f>_xlfn.XLOOKUP(D279,Lookup!$D$3:$D$4,Lookup!$E$3:$E$4)</f>
        <v>2011</v>
      </c>
      <c r="W279" t="str">
        <f>_xlfn.XLOOKUP(I279,Lookup!$G$3:$G$6,Lookup!$H$3:$H$6)</f>
        <v>Clear</v>
      </c>
      <c r="X279" t="str">
        <f>_xlfn.XLOOKUP(E279,Lookup!$J$3:$J$14,Lookup!$K$3:$K$14)</f>
        <v>October</v>
      </c>
      <c r="Y279" t="str">
        <f>_xlfn.XLOOKUP(G279,Lookup!$M$3:$M$9,Lookup!$N$3:$N$9)</f>
        <v>Wednesday</v>
      </c>
    </row>
    <row r="280" spans="1:25" x14ac:dyDescent="0.3">
      <c r="A280">
        <v>279</v>
      </c>
      <c r="B280" s="1">
        <v>40822</v>
      </c>
      <c r="C280">
        <v>4</v>
      </c>
      <c r="D280">
        <v>0</v>
      </c>
      <c r="E280">
        <v>10</v>
      </c>
      <c r="F280">
        <v>0</v>
      </c>
      <c r="G280">
        <v>4</v>
      </c>
      <c r="H280">
        <v>1</v>
      </c>
      <c r="I280">
        <v>1</v>
      </c>
      <c r="J280">
        <v>0.49416700000000002</v>
      </c>
      <c r="K280">
        <v>0.48042499999999999</v>
      </c>
      <c r="L280">
        <v>0.62083299999999997</v>
      </c>
      <c r="M280">
        <v>0.13495399999999999</v>
      </c>
      <c r="N280">
        <v>639</v>
      </c>
      <c r="O280">
        <v>4126</v>
      </c>
      <c r="P280">
        <v>4765</v>
      </c>
      <c r="Q280">
        <f t="shared" si="16"/>
        <v>15.225849</v>
      </c>
      <c r="R280">
        <f t="shared" si="17"/>
        <v>15.70805</v>
      </c>
      <c r="S280">
        <f t="shared" si="18"/>
        <v>62.083299999999994</v>
      </c>
      <c r="T280">
        <f t="shared" si="19"/>
        <v>9.041917999999999</v>
      </c>
      <c r="U280" t="str">
        <f>_xlfn.XLOOKUP(C280,Lookup!$A$3:$A$6,Lookup!$B$3:$B$6)</f>
        <v>Fall</v>
      </c>
      <c r="V280">
        <f>_xlfn.XLOOKUP(D280,Lookup!$D$3:$D$4,Lookup!$E$3:$E$4)</f>
        <v>2011</v>
      </c>
      <c r="W280" t="str">
        <f>_xlfn.XLOOKUP(I280,Lookup!$G$3:$G$6,Lookup!$H$3:$H$6)</f>
        <v>Clear</v>
      </c>
      <c r="X280" t="str">
        <f>_xlfn.XLOOKUP(E280,Lookup!$J$3:$J$14,Lookup!$K$3:$K$14)</f>
        <v>October</v>
      </c>
      <c r="Y280" t="str">
        <f>_xlfn.XLOOKUP(G280,Lookup!$M$3:$M$9,Lookup!$N$3:$N$9)</f>
        <v>Thursday</v>
      </c>
    </row>
    <row r="281" spans="1:25" x14ac:dyDescent="0.3">
      <c r="A281">
        <v>280</v>
      </c>
      <c r="B281" s="1">
        <v>40823</v>
      </c>
      <c r="C281">
        <v>4</v>
      </c>
      <c r="D281">
        <v>0</v>
      </c>
      <c r="E281">
        <v>10</v>
      </c>
      <c r="F281">
        <v>0</v>
      </c>
      <c r="G281">
        <v>5</v>
      </c>
      <c r="H281">
        <v>1</v>
      </c>
      <c r="I281">
        <v>1</v>
      </c>
      <c r="J281">
        <v>0.51083299999999998</v>
      </c>
      <c r="K281">
        <v>0.50440399999999996</v>
      </c>
      <c r="L281">
        <v>0.68416699999999997</v>
      </c>
      <c r="M281">
        <v>2.23917E-2</v>
      </c>
      <c r="N281">
        <v>949</v>
      </c>
      <c r="O281">
        <v>4036</v>
      </c>
      <c r="P281">
        <v>4985</v>
      </c>
      <c r="Q281">
        <f t="shared" si="16"/>
        <v>16.009150999999999</v>
      </c>
      <c r="R281">
        <f t="shared" si="17"/>
        <v>17.290664</v>
      </c>
      <c r="S281">
        <f t="shared" si="18"/>
        <v>68.416699999999992</v>
      </c>
      <c r="T281">
        <f t="shared" si="19"/>
        <v>1.5002439000000001</v>
      </c>
      <c r="U281" t="str">
        <f>_xlfn.XLOOKUP(C281,Lookup!$A$3:$A$6,Lookup!$B$3:$B$6)</f>
        <v>Fall</v>
      </c>
      <c r="V281">
        <f>_xlfn.XLOOKUP(D281,Lookup!$D$3:$D$4,Lookup!$E$3:$E$4)</f>
        <v>2011</v>
      </c>
      <c r="W281" t="str">
        <f>_xlfn.XLOOKUP(I281,Lookup!$G$3:$G$6,Lookup!$H$3:$H$6)</f>
        <v>Clear</v>
      </c>
      <c r="X281" t="str">
        <f>_xlfn.XLOOKUP(E281,Lookup!$J$3:$J$14,Lookup!$K$3:$K$14)</f>
        <v>October</v>
      </c>
      <c r="Y281" t="str">
        <f>_xlfn.XLOOKUP(G281,Lookup!$M$3:$M$9,Lookup!$N$3:$N$9)</f>
        <v>Friday</v>
      </c>
    </row>
    <row r="282" spans="1:25" x14ac:dyDescent="0.3">
      <c r="A282">
        <v>281</v>
      </c>
      <c r="B282" s="1">
        <v>40824</v>
      </c>
      <c r="C282">
        <v>4</v>
      </c>
      <c r="D282">
        <v>0</v>
      </c>
      <c r="E282">
        <v>10</v>
      </c>
      <c r="F282">
        <v>0</v>
      </c>
      <c r="G282">
        <v>6</v>
      </c>
      <c r="H282">
        <v>0</v>
      </c>
      <c r="I282">
        <v>1</v>
      </c>
      <c r="J282">
        <v>0.52166699999999999</v>
      </c>
      <c r="K282">
        <v>0.51324199999999998</v>
      </c>
      <c r="L282">
        <v>0.70125000000000004</v>
      </c>
      <c r="M282">
        <v>4.5404199999999999E-2</v>
      </c>
      <c r="N282">
        <v>2235</v>
      </c>
      <c r="O282">
        <v>3174</v>
      </c>
      <c r="P282">
        <v>5409</v>
      </c>
      <c r="Q282">
        <f t="shared" si="16"/>
        <v>16.518349000000001</v>
      </c>
      <c r="R282">
        <f t="shared" si="17"/>
        <v>17.873971999999995</v>
      </c>
      <c r="S282">
        <f t="shared" si="18"/>
        <v>70.125</v>
      </c>
      <c r="T282">
        <f t="shared" si="19"/>
        <v>3.0420813999999998</v>
      </c>
      <c r="U282" t="str">
        <f>_xlfn.XLOOKUP(C282,Lookup!$A$3:$A$6,Lookup!$B$3:$B$6)</f>
        <v>Fall</v>
      </c>
      <c r="V282">
        <f>_xlfn.XLOOKUP(D282,Lookup!$D$3:$D$4,Lookup!$E$3:$E$4)</f>
        <v>2011</v>
      </c>
      <c r="W282" t="str">
        <f>_xlfn.XLOOKUP(I282,Lookup!$G$3:$G$6,Lookup!$H$3:$H$6)</f>
        <v>Clear</v>
      </c>
      <c r="X282" t="str">
        <f>_xlfn.XLOOKUP(E282,Lookup!$J$3:$J$14,Lookup!$K$3:$K$14)</f>
        <v>October</v>
      </c>
      <c r="Y282" t="str">
        <f>_xlfn.XLOOKUP(G282,Lookup!$M$3:$M$9,Lookup!$N$3:$N$9)</f>
        <v>Saturday</v>
      </c>
    </row>
    <row r="283" spans="1:25" x14ac:dyDescent="0.3">
      <c r="A283">
        <v>282</v>
      </c>
      <c r="B283" s="1">
        <v>40825</v>
      </c>
      <c r="C283">
        <v>4</v>
      </c>
      <c r="D283">
        <v>0</v>
      </c>
      <c r="E283">
        <v>10</v>
      </c>
      <c r="F283">
        <v>0</v>
      </c>
      <c r="G283">
        <v>0</v>
      </c>
      <c r="H283">
        <v>0</v>
      </c>
      <c r="I283">
        <v>1</v>
      </c>
      <c r="J283">
        <v>0.54083300000000001</v>
      </c>
      <c r="K283">
        <v>0.52398299999999998</v>
      </c>
      <c r="L283">
        <v>0.72750000000000004</v>
      </c>
      <c r="M283">
        <v>6.3450000000000006E-2</v>
      </c>
      <c r="N283">
        <v>2397</v>
      </c>
      <c r="O283">
        <v>3114</v>
      </c>
      <c r="P283">
        <v>5511</v>
      </c>
      <c r="Q283">
        <f t="shared" si="16"/>
        <v>17.419150999999999</v>
      </c>
      <c r="R283">
        <f t="shared" si="17"/>
        <v>18.582878000000001</v>
      </c>
      <c r="S283">
        <f t="shared" si="18"/>
        <v>72.75</v>
      </c>
      <c r="T283">
        <f t="shared" si="19"/>
        <v>4.2511500000000009</v>
      </c>
      <c r="U283" t="str">
        <f>_xlfn.XLOOKUP(C283,Lookup!$A$3:$A$6,Lookup!$B$3:$B$6)</f>
        <v>Fall</v>
      </c>
      <c r="V283">
        <f>_xlfn.XLOOKUP(D283,Lookup!$D$3:$D$4,Lookup!$E$3:$E$4)</f>
        <v>2011</v>
      </c>
      <c r="W283" t="str">
        <f>_xlfn.XLOOKUP(I283,Lookup!$G$3:$G$6,Lookup!$H$3:$H$6)</f>
        <v>Clear</v>
      </c>
      <c r="X283" t="str">
        <f>_xlfn.XLOOKUP(E283,Lookup!$J$3:$J$14,Lookup!$K$3:$K$14)</f>
        <v>October</v>
      </c>
      <c r="Y283" t="str">
        <f>_xlfn.XLOOKUP(G283,Lookup!$M$3:$M$9,Lookup!$N$3:$N$9)</f>
        <v>Sunday</v>
      </c>
    </row>
    <row r="284" spans="1:25" x14ac:dyDescent="0.3">
      <c r="A284">
        <v>283</v>
      </c>
      <c r="B284" s="1">
        <v>40826</v>
      </c>
      <c r="C284">
        <v>4</v>
      </c>
      <c r="D284">
        <v>0</v>
      </c>
      <c r="E284">
        <v>10</v>
      </c>
      <c r="F284">
        <v>1</v>
      </c>
      <c r="G284">
        <v>1</v>
      </c>
      <c r="H284">
        <v>0</v>
      </c>
      <c r="I284">
        <v>1</v>
      </c>
      <c r="J284">
        <v>0.57083300000000003</v>
      </c>
      <c r="K284">
        <v>0.54292499999999999</v>
      </c>
      <c r="L284">
        <v>0.73375000000000001</v>
      </c>
      <c r="M284">
        <v>4.23042E-2</v>
      </c>
      <c r="N284">
        <v>1514</v>
      </c>
      <c r="O284">
        <v>3603</v>
      </c>
      <c r="P284">
        <v>5117</v>
      </c>
      <c r="Q284">
        <f t="shared" si="16"/>
        <v>18.829151000000003</v>
      </c>
      <c r="R284">
        <f t="shared" si="17"/>
        <v>19.83305</v>
      </c>
      <c r="S284">
        <f t="shared" si="18"/>
        <v>73.375</v>
      </c>
      <c r="T284">
        <f t="shared" si="19"/>
        <v>2.8343813999999998</v>
      </c>
      <c r="U284" t="str">
        <f>_xlfn.XLOOKUP(C284,Lookup!$A$3:$A$6,Lookup!$B$3:$B$6)</f>
        <v>Fall</v>
      </c>
      <c r="V284">
        <f>_xlfn.XLOOKUP(D284,Lookup!$D$3:$D$4,Lookup!$E$3:$E$4)</f>
        <v>2011</v>
      </c>
      <c r="W284" t="str">
        <f>_xlfn.XLOOKUP(I284,Lookup!$G$3:$G$6,Lookup!$H$3:$H$6)</f>
        <v>Clear</v>
      </c>
      <c r="X284" t="str">
        <f>_xlfn.XLOOKUP(E284,Lookup!$J$3:$J$14,Lookup!$K$3:$K$14)</f>
        <v>October</v>
      </c>
      <c r="Y284" t="str">
        <f>_xlfn.XLOOKUP(G284,Lookup!$M$3:$M$9,Lookup!$N$3:$N$9)</f>
        <v>Monday</v>
      </c>
    </row>
    <row r="285" spans="1:25" x14ac:dyDescent="0.3">
      <c r="A285">
        <v>284</v>
      </c>
      <c r="B285" s="1">
        <v>40827</v>
      </c>
      <c r="C285">
        <v>4</v>
      </c>
      <c r="D285">
        <v>0</v>
      </c>
      <c r="E285">
        <v>10</v>
      </c>
      <c r="F285">
        <v>0</v>
      </c>
      <c r="G285">
        <v>2</v>
      </c>
      <c r="H285">
        <v>1</v>
      </c>
      <c r="I285">
        <v>2</v>
      </c>
      <c r="J285">
        <v>0.56666700000000003</v>
      </c>
      <c r="K285">
        <v>0.54609600000000003</v>
      </c>
      <c r="L285">
        <v>0.80874999999999997</v>
      </c>
      <c r="M285">
        <v>0.143042</v>
      </c>
      <c r="N285">
        <v>667</v>
      </c>
      <c r="O285">
        <v>3896</v>
      </c>
      <c r="P285">
        <v>4563</v>
      </c>
      <c r="Q285">
        <f t="shared" si="16"/>
        <v>18.633349000000003</v>
      </c>
      <c r="R285">
        <f t="shared" si="17"/>
        <v>20.042335999999999</v>
      </c>
      <c r="S285">
        <f t="shared" si="18"/>
        <v>80.875</v>
      </c>
      <c r="T285">
        <f t="shared" si="19"/>
        <v>9.5838140000000003</v>
      </c>
      <c r="U285" t="str">
        <f>_xlfn.XLOOKUP(C285,Lookup!$A$3:$A$6,Lookup!$B$3:$B$6)</f>
        <v>Fall</v>
      </c>
      <c r="V285">
        <f>_xlfn.XLOOKUP(D285,Lookup!$D$3:$D$4,Lookup!$E$3:$E$4)</f>
        <v>2011</v>
      </c>
      <c r="W285" t="str">
        <f>_xlfn.XLOOKUP(I285,Lookup!$G$3:$G$6,Lookup!$H$3:$H$6)</f>
        <v>Misty/Cloudy</v>
      </c>
      <c r="X285" t="str">
        <f>_xlfn.XLOOKUP(E285,Lookup!$J$3:$J$14,Lookup!$K$3:$K$14)</f>
        <v>October</v>
      </c>
      <c r="Y285" t="str">
        <f>_xlfn.XLOOKUP(G285,Lookup!$M$3:$M$9,Lookup!$N$3:$N$9)</f>
        <v>Tuesday</v>
      </c>
    </row>
    <row r="286" spans="1:25" x14ac:dyDescent="0.3">
      <c r="A286">
        <v>285</v>
      </c>
      <c r="B286" s="1">
        <v>40828</v>
      </c>
      <c r="C286">
        <v>4</v>
      </c>
      <c r="D286">
        <v>0</v>
      </c>
      <c r="E286">
        <v>10</v>
      </c>
      <c r="F286">
        <v>0</v>
      </c>
      <c r="G286">
        <v>3</v>
      </c>
      <c r="H286">
        <v>1</v>
      </c>
      <c r="I286">
        <v>3</v>
      </c>
      <c r="J286">
        <v>0.54333299999999995</v>
      </c>
      <c r="K286">
        <v>0.51771699999999998</v>
      </c>
      <c r="L286">
        <v>0.90625</v>
      </c>
      <c r="M286">
        <v>0.24815000000000001</v>
      </c>
      <c r="N286">
        <v>217</v>
      </c>
      <c r="O286">
        <v>2199</v>
      </c>
      <c r="P286">
        <v>2416</v>
      </c>
      <c r="Q286">
        <f t="shared" si="16"/>
        <v>17.536650999999999</v>
      </c>
      <c r="R286">
        <f t="shared" si="17"/>
        <v>18.169322000000001</v>
      </c>
      <c r="S286">
        <f t="shared" si="18"/>
        <v>90.625</v>
      </c>
      <c r="T286">
        <f t="shared" si="19"/>
        <v>16.626049999999999</v>
      </c>
      <c r="U286" t="str">
        <f>_xlfn.XLOOKUP(C286,Lookup!$A$3:$A$6,Lookup!$B$3:$B$6)</f>
        <v>Fall</v>
      </c>
      <c r="V286">
        <f>_xlfn.XLOOKUP(D286,Lookup!$D$3:$D$4,Lookup!$E$3:$E$4)</f>
        <v>2011</v>
      </c>
      <c r="W286" t="str">
        <f>_xlfn.XLOOKUP(I286,Lookup!$G$3:$G$6,Lookup!$H$3:$H$6)</f>
        <v>Light Snow/Rain</v>
      </c>
      <c r="X286" t="str">
        <f>_xlfn.XLOOKUP(E286,Lookup!$J$3:$J$14,Lookup!$K$3:$K$14)</f>
        <v>October</v>
      </c>
      <c r="Y286" t="str">
        <f>_xlfn.XLOOKUP(G286,Lookup!$M$3:$M$9,Lookup!$N$3:$N$9)</f>
        <v>Wednesday</v>
      </c>
    </row>
    <row r="287" spans="1:25" x14ac:dyDescent="0.3">
      <c r="A287">
        <v>286</v>
      </c>
      <c r="B287" s="1">
        <v>40829</v>
      </c>
      <c r="C287">
        <v>4</v>
      </c>
      <c r="D287">
        <v>0</v>
      </c>
      <c r="E287">
        <v>10</v>
      </c>
      <c r="F287">
        <v>0</v>
      </c>
      <c r="G287">
        <v>4</v>
      </c>
      <c r="H287">
        <v>1</v>
      </c>
      <c r="I287">
        <v>2</v>
      </c>
      <c r="J287">
        <v>0.589167</v>
      </c>
      <c r="K287">
        <v>0.55180399999999996</v>
      </c>
      <c r="L287">
        <v>0.89666699999999999</v>
      </c>
      <c r="M287">
        <v>0.141787</v>
      </c>
      <c r="N287">
        <v>290</v>
      </c>
      <c r="O287">
        <v>2623</v>
      </c>
      <c r="P287">
        <v>2913</v>
      </c>
      <c r="Q287">
        <f t="shared" si="16"/>
        <v>19.690849</v>
      </c>
      <c r="R287">
        <f t="shared" si="17"/>
        <v>20.419063999999999</v>
      </c>
      <c r="S287">
        <f t="shared" si="18"/>
        <v>89.666700000000006</v>
      </c>
      <c r="T287">
        <f t="shared" si="19"/>
        <v>9.4997290000000003</v>
      </c>
      <c r="U287" t="str">
        <f>_xlfn.XLOOKUP(C287,Lookup!$A$3:$A$6,Lookup!$B$3:$B$6)</f>
        <v>Fall</v>
      </c>
      <c r="V287">
        <f>_xlfn.XLOOKUP(D287,Lookup!$D$3:$D$4,Lookup!$E$3:$E$4)</f>
        <v>2011</v>
      </c>
      <c r="W287" t="str">
        <f>_xlfn.XLOOKUP(I287,Lookup!$G$3:$G$6,Lookup!$H$3:$H$6)</f>
        <v>Misty/Cloudy</v>
      </c>
      <c r="X287" t="str">
        <f>_xlfn.XLOOKUP(E287,Lookup!$J$3:$J$14,Lookup!$K$3:$K$14)</f>
        <v>October</v>
      </c>
      <c r="Y287" t="str">
        <f>_xlfn.XLOOKUP(G287,Lookup!$M$3:$M$9,Lookup!$N$3:$N$9)</f>
        <v>Thursday</v>
      </c>
    </row>
    <row r="288" spans="1:25" x14ac:dyDescent="0.3">
      <c r="A288">
        <v>287</v>
      </c>
      <c r="B288" s="1">
        <v>40830</v>
      </c>
      <c r="C288">
        <v>4</v>
      </c>
      <c r="D288">
        <v>0</v>
      </c>
      <c r="E288">
        <v>10</v>
      </c>
      <c r="F288">
        <v>0</v>
      </c>
      <c r="G288">
        <v>5</v>
      </c>
      <c r="H288">
        <v>1</v>
      </c>
      <c r="I288">
        <v>2</v>
      </c>
      <c r="J288">
        <v>0.55083300000000002</v>
      </c>
      <c r="K288">
        <v>0.52967500000000001</v>
      </c>
      <c r="L288">
        <v>0.71625000000000005</v>
      </c>
      <c r="M288">
        <v>0.223883</v>
      </c>
      <c r="N288">
        <v>529</v>
      </c>
      <c r="O288">
        <v>3115</v>
      </c>
      <c r="P288">
        <v>3644</v>
      </c>
      <c r="Q288">
        <f t="shared" si="16"/>
        <v>17.889151000000002</v>
      </c>
      <c r="R288">
        <f t="shared" si="17"/>
        <v>18.958550000000002</v>
      </c>
      <c r="S288">
        <f t="shared" si="18"/>
        <v>71.625</v>
      </c>
      <c r="T288">
        <f t="shared" si="19"/>
        <v>15.000161</v>
      </c>
      <c r="U288" t="str">
        <f>_xlfn.XLOOKUP(C288,Lookup!$A$3:$A$6,Lookup!$B$3:$B$6)</f>
        <v>Fall</v>
      </c>
      <c r="V288">
        <f>_xlfn.XLOOKUP(D288,Lookup!$D$3:$D$4,Lookup!$E$3:$E$4)</f>
        <v>2011</v>
      </c>
      <c r="W288" t="str">
        <f>_xlfn.XLOOKUP(I288,Lookup!$G$3:$G$6,Lookup!$H$3:$H$6)</f>
        <v>Misty/Cloudy</v>
      </c>
      <c r="X288" t="str">
        <f>_xlfn.XLOOKUP(E288,Lookup!$J$3:$J$14,Lookup!$K$3:$K$14)</f>
        <v>October</v>
      </c>
      <c r="Y288" t="str">
        <f>_xlfn.XLOOKUP(G288,Lookup!$M$3:$M$9,Lookup!$N$3:$N$9)</f>
        <v>Friday</v>
      </c>
    </row>
    <row r="289" spans="1:25" x14ac:dyDescent="0.3">
      <c r="A289">
        <v>288</v>
      </c>
      <c r="B289" s="1">
        <v>40831</v>
      </c>
      <c r="C289">
        <v>4</v>
      </c>
      <c r="D289">
        <v>0</v>
      </c>
      <c r="E289">
        <v>10</v>
      </c>
      <c r="F289">
        <v>0</v>
      </c>
      <c r="G289">
        <v>6</v>
      </c>
      <c r="H289">
        <v>0</v>
      </c>
      <c r="I289">
        <v>1</v>
      </c>
      <c r="J289">
        <v>0.50666699999999998</v>
      </c>
      <c r="K289">
        <v>0.49872499999999997</v>
      </c>
      <c r="L289">
        <v>0.48333300000000001</v>
      </c>
      <c r="M289">
        <v>0.25808300000000001</v>
      </c>
      <c r="N289">
        <v>1899</v>
      </c>
      <c r="O289">
        <v>3318</v>
      </c>
      <c r="P289">
        <v>5217</v>
      </c>
      <c r="Q289">
        <f t="shared" si="16"/>
        <v>15.813348999999999</v>
      </c>
      <c r="R289">
        <f t="shared" si="17"/>
        <v>16.915849999999999</v>
      </c>
      <c r="S289">
        <f t="shared" si="18"/>
        <v>48.333300000000001</v>
      </c>
      <c r="T289">
        <f t="shared" si="19"/>
        <v>17.291561000000002</v>
      </c>
      <c r="U289" t="str">
        <f>_xlfn.XLOOKUP(C289,Lookup!$A$3:$A$6,Lookup!$B$3:$B$6)</f>
        <v>Fall</v>
      </c>
      <c r="V289">
        <f>_xlfn.XLOOKUP(D289,Lookup!$D$3:$D$4,Lookup!$E$3:$E$4)</f>
        <v>2011</v>
      </c>
      <c r="W289" t="str">
        <f>_xlfn.XLOOKUP(I289,Lookup!$G$3:$G$6,Lookup!$H$3:$H$6)</f>
        <v>Clear</v>
      </c>
      <c r="X289" t="str">
        <f>_xlfn.XLOOKUP(E289,Lookup!$J$3:$J$14,Lookup!$K$3:$K$14)</f>
        <v>October</v>
      </c>
      <c r="Y289" t="str">
        <f>_xlfn.XLOOKUP(G289,Lookup!$M$3:$M$9,Lookup!$N$3:$N$9)</f>
        <v>Saturday</v>
      </c>
    </row>
    <row r="290" spans="1:25" x14ac:dyDescent="0.3">
      <c r="A290">
        <v>289</v>
      </c>
      <c r="B290" s="1">
        <v>40832</v>
      </c>
      <c r="C290">
        <v>4</v>
      </c>
      <c r="D290">
        <v>0</v>
      </c>
      <c r="E290">
        <v>10</v>
      </c>
      <c r="F290">
        <v>0</v>
      </c>
      <c r="G290">
        <v>0</v>
      </c>
      <c r="H290">
        <v>0</v>
      </c>
      <c r="I290">
        <v>1</v>
      </c>
      <c r="J290">
        <v>0.51166699999999998</v>
      </c>
      <c r="K290">
        <v>0.50315399999999999</v>
      </c>
      <c r="L290">
        <v>0.48666700000000002</v>
      </c>
      <c r="M290">
        <v>0.281717</v>
      </c>
      <c r="N290">
        <v>1748</v>
      </c>
      <c r="O290">
        <v>3293</v>
      </c>
      <c r="P290">
        <v>5041</v>
      </c>
      <c r="Q290">
        <f t="shared" si="16"/>
        <v>16.048348999999998</v>
      </c>
      <c r="R290">
        <f t="shared" si="17"/>
        <v>17.208163999999996</v>
      </c>
      <c r="S290">
        <f t="shared" si="18"/>
        <v>48.666699999999999</v>
      </c>
      <c r="T290">
        <f t="shared" si="19"/>
        <v>18.875039000000001</v>
      </c>
      <c r="U290" t="str">
        <f>_xlfn.XLOOKUP(C290,Lookup!$A$3:$A$6,Lookup!$B$3:$B$6)</f>
        <v>Fall</v>
      </c>
      <c r="V290">
        <f>_xlfn.XLOOKUP(D290,Lookup!$D$3:$D$4,Lookup!$E$3:$E$4)</f>
        <v>2011</v>
      </c>
      <c r="W290" t="str">
        <f>_xlfn.XLOOKUP(I290,Lookup!$G$3:$G$6,Lookup!$H$3:$H$6)</f>
        <v>Clear</v>
      </c>
      <c r="X290" t="str">
        <f>_xlfn.XLOOKUP(E290,Lookup!$J$3:$J$14,Lookup!$K$3:$K$14)</f>
        <v>October</v>
      </c>
      <c r="Y290" t="str">
        <f>_xlfn.XLOOKUP(G290,Lookup!$M$3:$M$9,Lookup!$N$3:$N$9)</f>
        <v>Sunday</v>
      </c>
    </row>
    <row r="291" spans="1:25" x14ac:dyDescent="0.3">
      <c r="A291">
        <v>290</v>
      </c>
      <c r="B291" s="1">
        <v>40833</v>
      </c>
      <c r="C291">
        <v>4</v>
      </c>
      <c r="D291">
        <v>0</v>
      </c>
      <c r="E291">
        <v>10</v>
      </c>
      <c r="F291">
        <v>0</v>
      </c>
      <c r="G291">
        <v>1</v>
      </c>
      <c r="H291">
        <v>1</v>
      </c>
      <c r="I291">
        <v>1</v>
      </c>
      <c r="J291">
        <v>0.53416699999999995</v>
      </c>
      <c r="K291">
        <v>0.51072499999999998</v>
      </c>
      <c r="L291">
        <v>0.57958299999999996</v>
      </c>
      <c r="M291">
        <v>0.17537900000000001</v>
      </c>
      <c r="N291">
        <v>713</v>
      </c>
      <c r="O291">
        <v>3857</v>
      </c>
      <c r="P291">
        <v>4570</v>
      </c>
      <c r="Q291">
        <f t="shared" si="16"/>
        <v>17.105848999999999</v>
      </c>
      <c r="R291">
        <f t="shared" si="17"/>
        <v>17.707850000000001</v>
      </c>
      <c r="S291">
        <f t="shared" si="18"/>
        <v>57.958299999999994</v>
      </c>
      <c r="T291">
        <f t="shared" si="19"/>
        <v>11.750393000000001</v>
      </c>
      <c r="U291" t="str">
        <f>_xlfn.XLOOKUP(C291,Lookup!$A$3:$A$6,Lookup!$B$3:$B$6)</f>
        <v>Fall</v>
      </c>
      <c r="V291">
        <f>_xlfn.XLOOKUP(D291,Lookup!$D$3:$D$4,Lookup!$E$3:$E$4)</f>
        <v>2011</v>
      </c>
      <c r="W291" t="str">
        <f>_xlfn.XLOOKUP(I291,Lookup!$G$3:$G$6,Lookup!$H$3:$H$6)</f>
        <v>Clear</v>
      </c>
      <c r="X291" t="str">
        <f>_xlfn.XLOOKUP(E291,Lookup!$J$3:$J$14,Lookup!$K$3:$K$14)</f>
        <v>October</v>
      </c>
      <c r="Y291" t="str">
        <f>_xlfn.XLOOKUP(G291,Lookup!$M$3:$M$9,Lookup!$N$3:$N$9)</f>
        <v>Monday</v>
      </c>
    </row>
    <row r="292" spans="1:25" x14ac:dyDescent="0.3">
      <c r="A292">
        <v>291</v>
      </c>
      <c r="B292" s="1">
        <v>40834</v>
      </c>
      <c r="C292">
        <v>4</v>
      </c>
      <c r="D292">
        <v>0</v>
      </c>
      <c r="E292">
        <v>10</v>
      </c>
      <c r="F292">
        <v>0</v>
      </c>
      <c r="G292">
        <v>2</v>
      </c>
      <c r="H292">
        <v>1</v>
      </c>
      <c r="I292">
        <v>2</v>
      </c>
      <c r="J292">
        <v>0.53249999999999997</v>
      </c>
      <c r="K292">
        <v>0.52272099999999999</v>
      </c>
      <c r="L292">
        <v>0.70166700000000004</v>
      </c>
      <c r="M292">
        <v>0.110087</v>
      </c>
      <c r="N292">
        <v>637</v>
      </c>
      <c r="O292">
        <v>4111</v>
      </c>
      <c r="P292">
        <v>4748</v>
      </c>
      <c r="Q292">
        <f t="shared" si="16"/>
        <v>17.0275</v>
      </c>
      <c r="R292">
        <f t="shared" si="17"/>
        <v>18.499586000000001</v>
      </c>
      <c r="S292">
        <f t="shared" si="18"/>
        <v>70.166700000000006</v>
      </c>
      <c r="T292">
        <f t="shared" si="19"/>
        <v>7.3758290000000004</v>
      </c>
      <c r="U292" t="str">
        <f>_xlfn.XLOOKUP(C292,Lookup!$A$3:$A$6,Lookup!$B$3:$B$6)</f>
        <v>Fall</v>
      </c>
      <c r="V292">
        <f>_xlfn.XLOOKUP(D292,Lookup!$D$3:$D$4,Lookup!$E$3:$E$4)</f>
        <v>2011</v>
      </c>
      <c r="W292" t="str">
        <f>_xlfn.XLOOKUP(I292,Lookup!$G$3:$G$6,Lookup!$H$3:$H$6)</f>
        <v>Misty/Cloudy</v>
      </c>
      <c r="X292" t="str">
        <f>_xlfn.XLOOKUP(E292,Lookup!$J$3:$J$14,Lookup!$K$3:$K$14)</f>
        <v>October</v>
      </c>
      <c r="Y292" t="str">
        <f>_xlfn.XLOOKUP(G292,Lookup!$M$3:$M$9,Lookup!$N$3:$N$9)</f>
        <v>Tuesday</v>
      </c>
    </row>
    <row r="293" spans="1:25" x14ac:dyDescent="0.3">
      <c r="A293">
        <v>292</v>
      </c>
      <c r="B293" s="1">
        <v>40835</v>
      </c>
      <c r="C293">
        <v>4</v>
      </c>
      <c r="D293">
        <v>0</v>
      </c>
      <c r="E293">
        <v>10</v>
      </c>
      <c r="F293">
        <v>0</v>
      </c>
      <c r="G293">
        <v>3</v>
      </c>
      <c r="H293">
        <v>1</v>
      </c>
      <c r="I293">
        <v>3</v>
      </c>
      <c r="J293">
        <v>0.54173899999999997</v>
      </c>
      <c r="K293">
        <v>0.51384799999999997</v>
      </c>
      <c r="L293">
        <v>0.89521700000000004</v>
      </c>
      <c r="M293">
        <v>0.243339</v>
      </c>
      <c r="N293">
        <v>254</v>
      </c>
      <c r="O293">
        <v>2170</v>
      </c>
      <c r="P293">
        <v>2424</v>
      </c>
      <c r="Q293">
        <f t="shared" si="16"/>
        <v>17.461732999999999</v>
      </c>
      <c r="R293">
        <f t="shared" si="17"/>
        <v>17.913967999999997</v>
      </c>
      <c r="S293">
        <f t="shared" si="18"/>
        <v>89.52170000000001</v>
      </c>
      <c r="T293">
        <f t="shared" si="19"/>
        <v>16.303712999999998</v>
      </c>
      <c r="U293" t="str">
        <f>_xlfn.XLOOKUP(C293,Lookup!$A$3:$A$6,Lookup!$B$3:$B$6)</f>
        <v>Fall</v>
      </c>
      <c r="V293">
        <f>_xlfn.XLOOKUP(D293,Lookup!$D$3:$D$4,Lookup!$E$3:$E$4)</f>
        <v>2011</v>
      </c>
      <c r="W293" t="str">
        <f>_xlfn.XLOOKUP(I293,Lookup!$G$3:$G$6,Lookup!$H$3:$H$6)</f>
        <v>Light Snow/Rain</v>
      </c>
      <c r="X293" t="str">
        <f>_xlfn.XLOOKUP(E293,Lookup!$J$3:$J$14,Lookup!$K$3:$K$14)</f>
        <v>October</v>
      </c>
      <c r="Y293" t="str">
        <f>_xlfn.XLOOKUP(G293,Lookup!$M$3:$M$9,Lookup!$N$3:$N$9)</f>
        <v>Wednesday</v>
      </c>
    </row>
    <row r="294" spans="1:25" x14ac:dyDescent="0.3">
      <c r="A294">
        <v>293</v>
      </c>
      <c r="B294" s="1">
        <v>40836</v>
      </c>
      <c r="C294">
        <v>4</v>
      </c>
      <c r="D294">
        <v>0</v>
      </c>
      <c r="E294">
        <v>10</v>
      </c>
      <c r="F294">
        <v>0</v>
      </c>
      <c r="G294">
        <v>4</v>
      </c>
      <c r="H294">
        <v>1</v>
      </c>
      <c r="I294">
        <v>1</v>
      </c>
      <c r="J294">
        <v>0.47583300000000001</v>
      </c>
      <c r="K294">
        <v>0.46652500000000002</v>
      </c>
      <c r="L294">
        <v>0.63624999999999998</v>
      </c>
      <c r="M294">
        <v>0.42227500000000001</v>
      </c>
      <c r="N294">
        <v>471</v>
      </c>
      <c r="O294">
        <v>3724</v>
      </c>
      <c r="P294">
        <v>4195</v>
      </c>
      <c r="Q294">
        <f t="shared" si="16"/>
        <v>14.364151</v>
      </c>
      <c r="R294">
        <f t="shared" si="17"/>
        <v>14.790650000000003</v>
      </c>
      <c r="S294">
        <f t="shared" si="18"/>
        <v>63.625</v>
      </c>
      <c r="T294">
        <f t="shared" si="19"/>
        <v>28.292425000000001</v>
      </c>
      <c r="U294" t="str">
        <f>_xlfn.XLOOKUP(C294,Lookup!$A$3:$A$6,Lookup!$B$3:$B$6)</f>
        <v>Fall</v>
      </c>
      <c r="V294">
        <f>_xlfn.XLOOKUP(D294,Lookup!$D$3:$D$4,Lookup!$E$3:$E$4)</f>
        <v>2011</v>
      </c>
      <c r="W294" t="str">
        <f>_xlfn.XLOOKUP(I294,Lookup!$G$3:$G$6,Lookup!$H$3:$H$6)</f>
        <v>Clear</v>
      </c>
      <c r="X294" t="str">
        <f>_xlfn.XLOOKUP(E294,Lookup!$J$3:$J$14,Lookup!$K$3:$K$14)</f>
        <v>October</v>
      </c>
      <c r="Y294" t="str">
        <f>_xlfn.XLOOKUP(G294,Lookup!$M$3:$M$9,Lookup!$N$3:$N$9)</f>
        <v>Thursday</v>
      </c>
    </row>
    <row r="295" spans="1:25" x14ac:dyDescent="0.3">
      <c r="A295">
        <v>294</v>
      </c>
      <c r="B295" s="1">
        <v>40837</v>
      </c>
      <c r="C295">
        <v>4</v>
      </c>
      <c r="D295">
        <v>0</v>
      </c>
      <c r="E295">
        <v>10</v>
      </c>
      <c r="F295">
        <v>0</v>
      </c>
      <c r="G295">
        <v>5</v>
      </c>
      <c r="H295">
        <v>1</v>
      </c>
      <c r="I295">
        <v>1</v>
      </c>
      <c r="J295">
        <v>0.42749999999999999</v>
      </c>
      <c r="K295">
        <v>0.42359599999999997</v>
      </c>
      <c r="L295">
        <v>0.57416699999999998</v>
      </c>
      <c r="M295">
        <v>0.22139600000000001</v>
      </c>
      <c r="N295">
        <v>676</v>
      </c>
      <c r="O295">
        <v>3628</v>
      </c>
      <c r="P295">
        <v>4304</v>
      </c>
      <c r="Q295">
        <f t="shared" si="16"/>
        <v>12.092500000000001</v>
      </c>
      <c r="R295">
        <f t="shared" si="17"/>
        <v>11.957335999999998</v>
      </c>
      <c r="S295">
        <f t="shared" si="18"/>
        <v>57.416699999999999</v>
      </c>
      <c r="T295">
        <f t="shared" si="19"/>
        <v>14.833532</v>
      </c>
      <c r="U295" t="str">
        <f>_xlfn.XLOOKUP(C295,Lookup!$A$3:$A$6,Lookup!$B$3:$B$6)</f>
        <v>Fall</v>
      </c>
      <c r="V295">
        <f>_xlfn.XLOOKUP(D295,Lookup!$D$3:$D$4,Lookup!$E$3:$E$4)</f>
        <v>2011</v>
      </c>
      <c r="W295" t="str">
        <f>_xlfn.XLOOKUP(I295,Lookup!$G$3:$G$6,Lookup!$H$3:$H$6)</f>
        <v>Clear</v>
      </c>
      <c r="X295" t="str">
        <f>_xlfn.XLOOKUP(E295,Lookup!$J$3:$J$14,Lookup!$K$3:$K$14)</f>
        <v>October</v>
      </c>
      <c r="Y295" t="str">
        <f>_xlfn.XLOOKUP(G295,Lookup!$M$3:$M$9,Lookup!$N$3:$N$9)</f>
        <v>Friday</v>
      </c>
    </row>
    <row r="296" spans="1:25" x14ac:dyDescent="0.3">
      <c r="A296">
        <v>295</v>
      </c>
      <c r="B296" s="1">
        <v>40838</v>
      </c>
      <c r="C296">
        <v>4</v>
      </c>
      <c r="D296">
        <v>0</v>
      </c>
      <c r="E296">
        <v>10</v>
      </c>
      <c r="F296">
        <v>0</v>
      </c>
      <c r="G296">
        <v>6</v>
      </c>
      <c r="H296">
        <v>0</v>
      </c>
      <c r="I296">
        <v>1</v>
      </c>
      <c r="J296">
        <v>0.42249999999999999</v>
      </c>
      <c r="K296">
        <v>0.42549199999999998</v>
      </c>
      <c r="L296">
        <v>0.62916700000000003</v>
      </c>
      <c r="M296">
        <v>9.2666700000000005E-2</v>
      </c>
      <c r="N296">
        <v>1499</v>
      </c>
      <c r="O296">
        <v>2809</v>
      </c>
      <c r="P296">
        <v>4308</v>
      </c>
      <c r="Q296">
        <f t="shared" si="16"/>
        <v>11.857499999999998</v>
      </c>
      <c r="R296">
        <f t="shared" si="17"/>
        <v>12.082471999999999</v>
      </c>
      <c r="S296">
        <f t="shared" si="18"/>
        <v>62.916700000000006</v>
      </c>
      <c r="T296">
        <f t="shared" si="19"/>
        <v>6.2086689000000002</v>
      </c>
      <c r="U296" t="str">
        <f>_xlfn.XLOOKUP(C296,Lookup!$A$3:$A$6,Lookup!$B$3:$B$6)</f>
        <v>Fall</v>
      </c>
      <c r="V296">
        <f>_xlfn.XLOOKUP(D296,Lookup!$D$3:$D$4,Lookup!$E$3:$E$4)</f>
        <v>2011</v>
      </c>
      <c r="W296" t="str">
        <f>_xlfn.XLOOKUP(I296,Lookup!$G$3:$G$6,Lookup!$H$3:$H$6)</f>
        <v>Clear</v>
      </c>
      <c r="X296" t="str">
        <f>_xlfn.XLOOKUP(E296,Lookup!$J$3:$J$14,Lookup!$K$3:$K$14)</f>
        <v>October</v>
      </c>
      <c r="Y296" t="str">
        <f>_xlfn.XLOOKUP(G296,Lookup!$M$3:$M$9,Lookup!$N$3:$N$9)</f>
        <v>Saturday</v>
      </c>
    </row>
    <row r="297" spans="1:25" x14ac:dyDescent="0.3">
      <c r="A297">
        <v>296</v>
      </c>
      <c r="B297" s="1">
        <v>40839</v>
      </c>
      <c r="C297">
        <v>4</v>
      </c>
      <c r="D297">
        <v>0</v>
      </c>
      <c r="E297">
        <v>10</v>
      </c>
      <c r="F297">
        <v>0</v>
      </c>
      <c r="G297">
        <v>0</v>
      </c>
      <c r="H297">
        <v>0</v>
      </c>
      <c r="I297">
        <v>1</v>
      </c>
      <c r="J297">
        <v>0.42166700000000001</v>
      </c>
      <c r="K297">
        <v>0.42233300000000001</v>
      </c>
      <c r="L297">
        <v>0.74124999999999996</v>
      </c>
      <c r="M297">
        <v>9.9512500000000004E-2</v>
      </c>
      <c r="N297">
        <v>1619</v>
      </c>
      <c r="O297">
        <v>2762</v>
      </c>
      <c r="P297">
        <v>4381</v>
      </c>
      <c r="Q297">
        <f t="shared" si="16"/>
        <v>11.818349000000001</v>
      </c>
      <c r="R297">
        <f t="shared" si="17"/>
        <v>11.873978000000001</v>
      </c>
      <c r="S297">
        <f t="shared" si="18"/>
        <v>74.125</v>
      </c>
      <c r="T297">
        <f t="shared" si="19"/>
        <v>6.6673375000000004</v>
      </c>
      <c r="U297" t="str">
        <f>_xlfn.XLOOKUP(C297,Lookup!$A$3:$A$6,Lookup!$B$3:$B$6)</f>
        <v>Fall</v>
      </c>
      <c r="V297">
        <f>_xlfn.XLOOKUP(D297,Lookup!$D$3:$D$4,Lookup!$E$3:$E$4)</f>
        <v>2011</v>
      </c>
      <c r="W297" t="str">
        <f>_xlfn.XLOOKUP(I297,Lookup!$G$3:$G$6,Lookup!$H$3:$H$6)</f>
        <v>Clear</v>
      </c>
      <c r="X297" t="str">
        <f>_xlfn.XLOOKUP(E297,Lookup!$J$3:$J$14,Lookup!$K$3:$K$14)</f>
        <v>October</v>
      </c>
      <c r="Y297" t="str">
        <f>_xlfn.XLOOKUP(G297,Lookup!$M$3:$M$9,Lookup!$N$3:$N$9)</f>
        <v>Sunday</v>
      </c>
    </row>
    <row r="298" spans="1:25" x14ac:dyDescent="0.3">
      <c r="A298">
        <v>297</v>
      </c>
      <c r="B298" s="1">
        <v>40840</v>
      </c>
      <c r="C298">
        <v>4</v>
      </c>
      <c r="D298">
        <v>0</v>
      </c>
      <c r="E298">
        <v>10</v>
      </c>
      <c r="F298">
        <v>0</v>
      </c>
      <c r="G298">
        <v>1</v>
      </c>
      <c r="H298">
        <v>1</v>
      </c>
      <c r="I298">
        <v>1</v>
      </c>
      <c r="J298">
        <v>0.46333299999999999</v>
      </c>
      <c r="K298">
        <v>0.457067</v>
      </c>
      <c r="L298">
        <v>0.77208299999999996</v>
      </c>
      <c r="M298">
        <v>0.11879199999999999</v>
      </c>
      <c r="N298">
        <v>699</v>
      </c>
      <c r="O298">
        <v>3488</v>
      </c>
      <c r="P298">
        <v>4187</v>
      </c>
      <c r="Q298">
        <f t="shared" si="16"/>
        <v>13.776651000000001</v>
      </c>
      <c r="R298">
        <f t="shared" si="17"/>
        <v>14.166422000000001</v>
      </c>
      <c r="S298">
        <f t="shared" si="18"/>
        <v>77.208299999999994</v>
      </c>
      <c r="T298">
        <f t="shared" si="19"/>
        <v>7.9590639999999997</v>
      </c>
      <c r="U298" t="str">
        <f>_xlfn.XLOOKUP(C298,Lookup!$A$3:$A$6,Lookup!$B$3:$B$6)</f>
        <v>Fall</v>
      </c>
      <c r="V298">
        <f>_xlfn.XLOOKUP(D298,Lookup!$D$3:$D$4,Lookup!$E$3:$E$4)</f>
        <v>2011</v>
      </c>
      <c r="W298" t="str">
        <f>_xlfn.XLOOKUP(I298,Lookup!$G$3:$G$6,Lookup!$H$3:$H$6)</f>
        <v>Clear</v>
      </c>
      <c r="X298" t="str">
        <f>_xlfn.XLOOKUP(E298,Lookup!$J$3:$J$14,Lookup!$K$3:$K$14)</f>
        <v>October</v>
      </c>
      <c r="Y298" t="str">
        <f>_xlfn.XLOOKUP(G298,Lookup!$M$3:$M$9,Lookup!$N$3:$N$9)</f>
        <v>Monday</v>
      </c>
    </row>
    <row r="299" spans="1:25" x14ac:dyDescent="0.3">
      <c r="A299">
        <v>298</v>
      </c>
      <c r="B299" s="1">
        <v>40841</v>
      </c>
      <c r="C299">
        <v>4</v>
      </c>
      <c r="D299">
        <v>0</v>
      </c>
      <c r="E299">
        <v>10</v>
      </c>
      <c r="F299">
        <v>0</v>
      </c>
      <c r="G299">
        <v>2</v>
      </c>
      <c r="H299">
        <v>1</v>
      </c>
      <c r="I299">
        <v>1</v>
      </c>
      <c r="J299">
        <v>0.471667</v>
      </c>
      <c r="K299">
        <v>0.46337499999999998</v>
      </c>
      <c r="L299">
        <v>0.62291700000000005</v>
      </c>
      <c r="M299">
        <v>0.166658</v>
      </c>
      <c r="N299">
        <v>695</v>
      </c>
      <c r="O299">
        <v>3992</v>
      </c>
      <c r="P299">
        <v>4687</v>
      </c>
      <c r="Q299">
        <f t="shared" si="16"/>
        <v>14.168348999999999</v>
      </c>
      <c r="R299">
        <f t="shared" si="17"/>
        <v>14.582749999999997</v>
      </c>
      <c r="S299">
        <f t="shared" si="18"/>
        <v>62.291700000000006</v>
      </c>
      <c r="T299">
        <f t="shared" si="19"/>
        <v>11.166086</v>
      </c>
      <c r="U299" t="str">
        <f>_xlfn.XLOOKUP(C299,Lookup!$A$3:$A$6,Lookup!$B$3:$B$6)</f>
        <v>Fall</v>
      </c>
      <c r="V299">
        <f>_xlfn.XLOOKUP(D299,Lookup!$D$3:$D$4,Lookup!$E$3:$E$4)</f>
        <v>2011</v>
      </c>
      <c r="W299" t="str">
        <f>_xlfn.XLOOKUP(I299,Lookup!$G$3:$G$6,Lookup!$H$3:$H$6)</f>
        <v>Clear</v>
      </c>
      <c r="X299" t="str">
        <f>_xlfn.XLOOKUP(E299,Lookup!$J$3:$J$14,Lookup!$K$3:$K$14)</f>
        <v>October</v>
      </c>
      <c r="Y299" t="str">
        <f>_xlfn.XLOOKUP(G299,Lookup!$M$3:$M$9,Lookup!$N$3:$N$9)</f>
        <v>Tuesday</v>
      </c>
    </row>
    <row r="300" spans="1:25" x14ac:dyDescent="0.3">
      <c r="A300">
        <v>299</v>
      </c>
      <c r="B300" s="1">
        <v>40842</v>
      </c>
      <c r="C300">
        <v>4</v>
      </c>
      <c r="D300">
        <v>0</v>
      </c>
      <c r="E300">
        <v>10</v>
      </c>
      <c r="F300">
        <v>0</v>
      </c>
      <c r="G300">
        <v>3</v>
      </c>
      <c r="H300">
        <v>1</v>
      </c>
      <c r="I300">
        <v>2</v>
      </c>
      <c r="J300">
        <v>0.48416700000000001</v>
      </c>
      <c r="K300">
        <v>0.47284599999999999</v>
      </c>
      <c r="L300">
        <v>0.72041699999999997</v>
      </c>
      <c r="M300">
        <v>0.148642</v>
      </c>
      <c r="N300">
        <v>404</v>
      </c>
      <c r="O300">
        <v>3490</v>
      </c>
      <c r="P300">
        <v>3894</v>
      </c>
      <c r="Q300">
        <f t="shared" si="16"/>
        <v>14.755849000000001</v>
      </c>
      <c r="R300">
        <f t="shared" si="17"/>
        <v>15.207836</v>
      </c>
      <c r="S300">
        <f t="shared" si="18"/>
        <v>72.041699999999992</v>
      </c>
      <c r="T300">
        <f t="shared" si="19"/>
        <v>9.9590139999999998</v>
      </c>
      <c r="U300" t="str">
        <f>_xlfn.XLOOKUP(C300,Lookup!$A$3:$A$6,Lookup!$B$3:$B$6)</f>
        <v>Fall</v>
      </c>
      <c r="V300">
        <f>_xlfn.XLOOKUP(D300,Lookup!$D$3:$D$4,Lookup!$E$3:$E$4)</f>
        <v>2011</v>
      </c>
      <c r="W300" t="str">
        <f>_xlfn.XLOOKUP(I300,Lookup!$G$3:$G$6,Lookup!$H$3:$H$6)</f>
        <v>Misty/Cloudy</v>
      </c>
      <c r="X300" t="str">
        <f>_xlfn.XLOOKUP(E300,Lookup!$J$3:$J$14,Lookup!$K$3:$K$14)</f>
        <v>October</v>
      </c>
      <c r="Y300" t="str">
        <f>_xlfn.XLOOKUP(G300,Lookup!$M$3:$M$9,Lookup!$N$3:$N$9)</f>
        <v>Wednesday</v>
      </c>
    </row>
    <row r="301" spans="1:25" x14ac:dyDescent="0.3">
      <c r="A301">
        <v>300</v>
      </c>
      <c r="B301" s="1">
        <v>40843</v>
      </c>
      <c r="C301">
        <v>4</v>
      </c>
      <c r="D301">
        <v>0</v>
      </c>
      <c r="E301">
        <v>10</v>
      </c>
      <c r="F301">
        <v>0</v>
      </c>
      <c r="G301">
        <v>4</v>
      </c>
      <c r="H301">
        <v>1</v>
      </c>
      <c r="I301">
        <v>2</v>
      </c>
      <c r="J301">
        <v>0.47</v>
      </c>
      <c r="K301">
        <v>0.45704600000000001</v>
      </c>
      <c r="L301">
        <v>0.812917</v>
      </c>
      <c r="M301">
        <v>0.19776299999999999</v>
      </c>
      <c r="N301">
        <v>240</v>
      </c>
      <c r="O301">
        <v>2419</v>
      </c>
      <c r="P301">
        <v>2659</v>
      </c>
      <c r="Q301">
        <f t="shared" si="16"/>
        <v>14.09</v>
      </c>
      <c r="R301">
        <f t="shared" si="17"/>
        <v>14.165036000000001</v>
      </c>
      <c r="S301">
        <f t="shared" si="18"/>
        <v>81.291700000000006</v>
      </c>
      <c r="T301">
        <f t="shared" si="19"/>
        <v>13.250121</v>
      </c>
      <c r="U301" t="str">
        <f>_xlfn.XLOOKUP(C301,Lookup!$A$3:$A$6,Lookup!$B$3:$B$6)</f>
        <v>Fall</v>
      </c>
      <c r="V301">
        <f>_xlfn.XLOOKUP(D301,Lookup!$D$3:$D$4,Lookup!$E$3:$E$4)</f>
        <v>2011</v>
      </c>
      <c r="W301" t="str">
        <f>_xlfn.XLOOKUP(I301,Lookup!$G$3:$G$6,Lookup!$H$3:$H$6)</f>
        <v>Misty/Cloudy</v>
      </c>
      <c r="X301" t="str">
        <f>_xlfn.XLOOKUP(E301,Lookup!$J$3:$J$14,Lookup!$K$3:$K$14)</f>
        <v>October</v>
      </c>
      <c r="Y301" t="str">
        <f>_xlfn.XLOOKUP(G301,Lookup!$M$3:$M$9,Lookup!$N$3:$N$9)</f>
        <v>Thursday</v>
      </c>
    </row>
    <row r="302" spans="1:25" x14ac:dyDescent="0.3">
      <c r="A302">
        <v>301</v>
      </c>
      <c r="B302" s="1">
        <v>40844</v>
      </c>
      <c r="C302">
        <v>4</v>
      </c>
      <c r="D302">
        <v>0</v>
      </c>
      <c r="E302">
        <v>10</v>
      </c>
      <c r="F302">
        <v>0</v>
      </c>
      <c r="G302">
        <v>5</v>
      </c>
      <c r="H302">
        <v>1</v>
      </c>
      <c r="I302">
        <v>2</v>
      </c>
      <c r="J302">
        <v>0.33083299999999999</v>
      </c>
      <c r="K302">
        <v>0.31881199999999998</v>
      </c>
      <c r="L302">
        <v>0.58583300000000005</v>
      </c>
      <c r="M302">
        <v>0.22947899999999999</v>
      </c>
      <c r="N302">
        <v>456</v>
      </c>
      <c r="O302">
        <v>3291</v>
      </c>
      <c r="P302">
        <v>3747</v>
      </c>
      <c r="Q302">
        <f t="shared" si="16"/>
        <v>7.5491510000000002</v>
      </c>
      <c r="R302">
        <f t="shared" si="17"/>
        <v>5.0415919999999979</v>
      </c>
      <c r="S302">
        <f t="shared" si="18"/>
        <v>58.583300000000008</v>
      </c>
      <c r="T302">
        <f t="shared" si="19"/>
        <v>15.375093</v>
      </c>
      <c r="U302" t="str">
        <f>_xlfn.XLOOKUP(C302,Lookup!$A$3:$A$6,Lookup!$B$3:$B$6)</f>
        <v>Fall</v>
      </c>
      <c r="V302">
        <f>_xlfn.XLOOKUP(D302,Lookup!$D$3:$D$4,Lookup!$E$3:$E$4)</f>
        <v>2011</v>
      </c>
      <c r="W302" t="str">
        <f>_xlfn.XLOOKUP(I302,Lookup!$G$3:$G$6,Lookup!$H$3:$H$6)</f>
        <v>Misty/Cloudy</v>
      </c>
      <c r="X302" t="str">
        <f>_xlfn.XLOOKUP(E302,Lookup!$J$3:$J$14,Lookup!$K$3:$K$14)</f>
        <v>October</v>
      </c>
      <c r="Y302" t="str">
        <f>_xlfn.XLOOKUP(G302,Lookup!$M$3:$M$9,Lookup!$N$3:$N$9)</f>
        <v>Friday</v>
      </c>
    </row>
    <row r="303" spans="1:25" x14ac:dyDescent="0.3">
      <c r="A303">
        <v>302</v>
      </c>
      <c r="B303" s="1">
        <v>40845</v>
      </c>
      <c r="C303">
        <v>4</v>
      </c>
      <c r="D303">
        <v>0</v>
      </c>
      <c r="E303">
        <v>10</v>
      </c>
      <c r="F303">
        <v>0</v>
      </c>
      <c r="G303">
        <v>6</v>
      </c>
      <c r="H303">
        <v>0</v>
      </c>
      <c r="I303">
        <v>3</v>
      </c>
      <c r="J303">
        <v>0.25416699999999998</v>
      </c>
      <c r="K303">
        <v>0.227913</v>
      </c>
      <c r="L303">
        <v>0.88249999999999995</v>
      </c>
      <c r="M303">
        <v>0.35137099999999999</v>
      </c>
      <c r="N303">
        <v>57</v>
      </c>
      <c r="O303">
        <v>570</v>
      </c>
      <c r="P303">
        <v>627</v>
      </c>
      <c r="Q303">
        <f t="shared" si="16"/>
        <v>3.9458489999999991</v>
      </c>
      <c r="R303">
        <f t="shared" si="17"/>
        <v>-0.95774199999999965</v>
      </c>
      <c r="S303">
        <f t="shared" si="18"/>
        <v>88.25</v>
      </c>
      <c r="T303">
        <f t="shared" si="19"/>
        <v>23.541857</v>
      </c>
      <c r="U303" t="str">
        <f>_xlfn.XLOOKUP(C303,Lookup!$A$3:$A$6,Lookup!$B$3:$B$6)</f>
        <v>Fall</v>
      </c>
      <c r="V303">
        <f>_xlfn.XLOOKUP(D303,Lookup!$D$3:$D$4,Lookup!$E$3:$E$4)</f>
        <v>2011</v>
      </c>
      <c r="W303" t="str">
        <f>_xlfn.XLOOKUP(I303,Lookup!$G$3:$G$6,Lookup!$H$3:$H$6)</f>
        <v>Light Snow/Rain</v>
      </c>
      <c r="X303" t="str">
        <f>_xlfn.XLOOKUP(E303,Lookup!$J$3:$J$14,Lookup!$K$3:$K$14)</f>
        <v>October</v>
      </c>
      <c r="Y303" t="str">
        <f>_xlfn.XLOOKUP(G303,Lookup!$M$3:$M$9,Lookup!$N$3:$N$9)</f>
        <v>Saturday</v>
      </c>
    </row>
    <row r="304" spans="1:25" x14ac:dyDescent="0.3">
      <c r="A304">
        <v>303</v>
      </c>
      <c r="B304" s="1">
        <v>40846</v>
      </c>
      <c r="C304">
        <v>4</v>
      </c>
      <c r="D304">
        <v>0</v>
      </c>
      <c r="E304">
        <v>10</v>
      </c>
      <c r="F304">
        <v>0</v>
      </c>
      <c r="G304">
        <v>0</v>
      </c>
      <c r="H304">
        <v>0</v>
      </c>
      <c r="I304">
        <v>1</v>
      </c>
      <c r="J304">
        <v>0.31916699999999998</v>
      </c>
      <c r="K304">
        <v>0.32132899999999998</v>
      </c>
      <c r="L304">
        <v>0.62375000000000003</v>
      </c>
      <c r="M304">
        <v>0.176617</v>
      </c>
      <c r="N304">
        <v>885</v>
      </c>
      <c r="O304">
        <v>2446</v>
      </c>
      <c r="P304">
        <v>3331</v>
      </c>
      <c r="Q304">
        <f t="shared" si="16"/>
        <v>7.0008489999999988</v>
      </c>
      <c r="R304">
        <f t="shared" si="17"/>
        <v>5.2077139999999993</v>
      </c>
      <c r="S304">
        <f t="shared" si="18"/>
        <v>62.375</v>
      </c>
      <c r="T304">
        <f t="shared" si="19"/>
        <v>11.833339</v>
      </c>
      <c r="U304" t="str">
        <f>_xlfn.XLOOKUP(C304,Lookup!$A$3:$A$6,Lookup!$B$3:$B$6)</f>
        <v>Fall</v>
      </c>
      <c r="V304">
        <f>_xlfn.XLOOKUP(D304,Lookup!$D$3:$D$4,Lookup!$E$3:$E$4)</f>
        <v>2011</v>
      </c>
      <c r="W304" t="str">
        <f>_xlfn.XLOOKUP(I304,Lookup!$G$3:$G$6,Lookup!$H$3:$H$6)</f>
        <v>Clear</v>
      </c>
      <c r="X304" t="str">
        <f>_xlfn.XLOOKUP(E304,Lookup!$J$3:$J$14,Lookup!$K$3:$K$14)</f>
        <v>October</v>
      </c>
      <c r="Y304" t="str">
        <f>_xlfn.XLOOKUP(G304,Lookup!$M$3:$M$9,Lookup!$N$3:$N$9)</f>
        <v>Sunday</v>
      </c>
    </row>
    <row r="305" spans="1:25" x14ac:dyDescent="0.3">
      <c r="A305">
        <v>304</v>
      </c>
      <c r="B305" s="1">
        <v>40847</v>
      </c>
      <c r="C305">
        <v>4</v>
      </c>
      <c r="D305">
        <v>0</v>
      </c>
      <c r="E305">
        <v>10</v>
      </c>
      <c r="F305">
        <v>0</v>
      </c>
      <c r="G305">
        <v>1</v>
      </c>
      <c r="H305">
        <v>1</v>
      </c>
      <c r="I305">
        <v>1</v>
      </c>
      <c r="J305">
        <v>0.34</v>
      </c>
      <c r="K305">
        <v>0.35606300000000002</v>
      </c>
      <c r="L305">
        <v>0.70333299999999999</v>
      </c>
      <c r="M305">
        <v>0.10635</v>
      </c>
      <c r="N305">
        <v>362</v>
      </c>
      <c r="O305">
        <v>3307</v>
      </c>
      <c r="P305">
        <v>3669</v>
      </c>
      <c r="Q305">
        <f t="shared" si="16"/>
        <v>7.98</v>
      </c>
      <c r="R305">
        <f t="shared" si="17"/>
        <v>7.5001580000000025</v>
      </c>
      <c r="S305">
        <f t="shared" si="18"/>
        <v>70.333299999999994</v>
      </c>
      <c r="T305">
        <f t="shared" si="19"/>
        <v>7.1254499999999998</v>
      </c>
      <c r="U305" t="str">
        <f>_xlfn.XLOOKUP(C305,Lookup!$A$3:$A$6,Lookup!$B$3:$B$6)</f>
        <v>Fall</v>
      </c>
      <c r="V305">
        <f>_xlfn.XLOOKUP(D305,Lookup!$D$3:$D$4,Lookup!$E$3:$E$4)</f>
        <v>2011</v>
      </c>
      <c r="W305" t="str">
        <f>_xlfn.XLOOKUP(I305,Lookup!$G$3:$G$6,Lookup!$H$3:$H$6)</f>
        <v>Clear</v>
      </c>
      <c r="X305" t="str">
        <f>_xlfn.XLOOKUP(E305,Lookup!$J$3:$J$14,Lookup!$K$3:$K$14)</f>
        <v>October</v>
      </c>
      <c r="Y305" t="str">
        <f>_xlfn.XLOOKUP(G305,Lookup!$M$3:$M$9,Lookup!$N$3:$N$9)</f>
        <v>Monday</v>
      </c>
    </row>
    <row r="306" spans="1:25" x14ac:dyDescent="0.3">
      <c r="A306">
        <v>305</v>
      </c>
      <c r="B306" s="1">
        <v>40848</v>
      </c>
      <c r="C306">
        <v>4</v>
      </c>
      <c r="D306">
        <v>0</v>
      </c>
      <c r="E306">
        <v>11</v>
      </c>
      <c r="F306">
        <v>0</v>
      </c>
      <c r="G306">
        <v>2</v>
      </c>
      <c r="H306">
        <v>1</v>
      </c>
      <c r="I306">
        <v>1</v>
      </c>
      <c r="J306">
        <v>0.40083299999999999</v>
      </c>
      <c r="K306">
        <v>0.397088</v>
      </c>
      <c r="L306">
        <v>0.68374999999999997</v>
      </c>
      <c r="M306">
        <v>0.135571</v>
      </c>
      <c r="N306">
        <v>410</v>
      </c>
      <c r="O306">
        <v>3658</v>
      </c>
      <c r="P306">
        <v>4068</v>
      </c>
      <c r="Q306">
        <f t="shared" si="16"/>
        <v>10.839151000000001</v>
      </c>
      <c r="R306">
        <f t="shared" si="17"/>
        <v>10.207808</v>
      </c>
      <c r="S306">
        <f t="shared" si="18"/>
        <v>68.375</v>
      </c>
      <c r="T306">
        <f t="shared" si="19"/>
        <v>9.0832569999999997</v>
      </c>
      <c r="U306" t="str">
        <f>_xlfn.XLOOKUP(C306,Lookup!$A$3:$A$6,Lookup!$B$3:$B$6)</f>
        <v>Fall</v>
      </c>
      <c r="V306">
        <f>_xlfn.XLOOKUP(D306,Lookup!$D$3:$D$4,Lookup!$E$3:$E$4)</f>
        <v>2011</v>
      </c>
      <c r="W306" t="str">
        <f>_xlfn.XLOOKUP(I306,Lookup!$G$3:$G$6,Lookup!$H$3:$H$6)</f>
        <v>Clear</v>
      </c>
      <c r="X306" t="str">
        <f>_xlfn.XLOOKUP(E306,Lookup!$J$3:$J$14,Lookup!$K$3:$K$14)</f>
        <v>November</v>
      </c>
      <c r="Y306" t="str">
        <f>_xlfn.XLOOKUP(G306,Lookup!$M$3:$M$9,Lookup!$N$3:$N$9)</f>
        <v>Tuesday</v>
      </c>
    </row>
    <row r="307" spans="1:25" x14ac:dyDescent="0.3">
      <c r="A307">
        <v>306</v>
      </c>
      <c r="B307" s="1">
        <v>40849</v>
      </c>
      <c r="C307">
        <v>4</v>
      </c>
      <c r="D307">
        <v>0</v>
      </c>
      <c r="E307">
        <v>11</v>
      </c>
      <c r="F307">
        <v>0</v>
      </c>
      <c r="G307">
        <v>3</v>
      </c>
      <c r="H307">
        <v>1</v>
      </c>
      <c r="I307">
        <v>1</v>
      </c>
      <c r="J307">
        <v>0.3775</v>
      </c>
      <c r="K307">
        <v>0.39013300000000001</v>
      </c>
      <c r="L307">
        <v>0.71875</v>
      </c>
      <c r="M307">
        <v>8.2091700000000004E-2</v>
      </c>
      <c r="N307">
        <v>370</v>
      </c>
      <c r="O307">
        <v>3816</v>
      </c>
      <c r="P307">
        <v>4186</v>
      </c>
      <c r="Q307">
        <f t="shared" si="16"/>
        <v>9.7424999999999997</v>
      </c>
      <c r="R307">
        <f t="shared" si="17"/>
        <v>9.7487780000000015</v>
      </c>
      <c r="S307">
        <f t="shared" si="18"/>
        <v>71.875</v>
      </c>
      <c r="T307">
        <f t="shared" si="19"/>
        <v>5.5001439000000003</v>
      </c>
      <c r="U307" t="str">
        <f>_xlfn.XLOOKUP(C307,Lookup!$A$3:$A$6,Lookup!$B$3:$B$6)</f>
        <v>Fall</v>
      </c>
      <c r="V307">
        <f>_xlfn.XLOOKUP(D307,Lookup!$D$3:$D$4,Lookup!$E$3:$E$4)</f>
        <v>2011</v>
      </c>
      <c r="W307" t="str">
        <f>_xlfn.XLOOKUP(I307,Lookup!$G$3:$G$6,Lookup!$H$3:$H$6)</f>
        <v>Clear</v>
      </c>
      <c r="X307" t="str">
        <f>_xlfn.XLOOKUP(E307,Lookup!$J$3:$J$14,Lookup!$K$3:$K$14)</f>
        <v>November</v>
      </c>
      <c r="Y307" t="str">
        <f>_xlfn.XLOOKUP(G307,Lookup!$M$3:$M$9,Lookup!$N$3:$N$9)</f>
        <v>Wednesday</v>
      </c>
    </row>
    <row r="308" spans="1:25" x14ac:dyDescent="0.3">
      <c r="A308">
        <v>307</v>
      </c>
      <c r="B308" s="1">
        <v>40850</v>
      </c>
      <c r="C308">
        <v>4</v>
      </c>
      <c r="D308">
        <v>0</v>
      </c>
      <c r="E308">
        <v>11</v>
      </c>
      <c r="F308">
        <v>0</v>
      </c>
      <c r="G308">
        <v>4</v>
      </c>
      <c r="H308">
        <v>1</v>
      </c>
      <c r="I308">
        <v>1</v>
      </c>
      <c r="J308">
        <v>0.408333</v>
      </c>
      <c r="K308">
        <v>0.40592099999999998</v>
      </c>
      <c r="L308">
        <v>0.70208300000000001</v>
      </c>
      <c r="M308">
        <v>0.13681699999999999</v>
      </c>
      <c r="N308">
        <v>318</v>
      </c>
      <c r="O308">
        <v>3656</v>
      </c>
      <c r="P308">
        <v>3974</v>
      </c>
      <c r="Q308">
        <f t="shared" si="16"/>
        <v>11.191651</v>
      </c>
      <c r="R308">
        <f t="shared" si="17"/>
        <v>10.790785999999997</v>
      </c>
      <c r="S308">
        <f t="shared" si="18"/>
        <v>70.208300000000008</v>
      </c>
      <c r="T308">
        <f t="shared" si="19"/>
        <v>9.1667389999999997</v>
      </c>
      <c r="U308" t="str">
        <f>_xlfn.XLOOKUP(C308,Lookup!$A$3:$A$6,Lookup!$B$3:$B$6)</f>
        <v>Fall</v>
      </c>
      <c r="V308">
        <f>_xlfn.XLOOKUP(D308,Lookup!$D$3:$D$4,Lookup!$E$3:$E$4)</f>
        <v>2011</v>
      </c>
      <c r="W308" t="str">
        <f>_xlfn.XLOOKUP(I308,Lookup!$G$3:$G$6,Lookup!$H$3:$H$6)</f>
        <v>Clear</v>
      </c>
      <c r="X308" t="str">
        <f>_xlfn.XLOOKUP(E308,Lookup!$J$3:$J$14,Lookup!$K$3:$K$14)</f>
        <v>November</v>
      </c>
      <c r="Y308" t="str">
        <f>_xlfn.XLOOKUP(G308,Lookup!$M$3:$M$9,Lookup!$N$3:$N$9)</f>
        <v>Thursday</v>
      </c>
    </row>
    <row r="309" spans="1:25" x14ac:dyDescent="0.3">
      <c r="A309">
        <v>308</v>
      </c>
      <c r="B309" s="1">
        <v>40851</v>
      </c>
      <c r="C309">
        <v>4</v>
      </c>
      <c r="D309">
        <v>0</v>
      </c>
      <c r="E309">
        <v>11</v>
      </c>
      <c r="F309">
        <v>0</v>
      </c>
      <c r="G309">
        <v>5</v>
      </c>
      <c r="H309">
        <v>1</v>
      </c>
      <c r="I309">
        <v>2</v>
      </c>
      <c r="J309">
        <v>0.403333</v>
      </c>
      <c r="K309">
        <v>0.40339199999999997</v>
      </c>
      <c r="L309">
        <v>0.62250000000000005</v>
      </c>
      <c r="M309">
        <v>0.27177899999999999</v>
      </c>
      <c r="N309">
        <v>470</v>
      </c>
      <c r="O309">
        <v>3576</v>
      </c>
      <c r="P309">
        <v>4046</v>
      </c>
      <c r="Q309">
        <f t="shared" si="16"/>
        <v>10.956651000000001</v>
      </c>
      <c r="R309">
        <f t="shared" si="17"/>
        <v>10.623871999999999</v>
      </c>
      <c r="S309">
        <f t="shared" si="18"/>
        <v>62.250000000000007</v>
      </c>
      <c r="T309">
        <f t="shared" si="19"/>
        <v>18.209192999999999</v>
      </c>
      <c r="U309" t="str">
        <f>_xlfn.XLOOKUP(C309,Lookup!$A$3:$A$6,Lookup!$B$3:$B$6)</f>
        <v>Fall</v>
      </c>
      <c r="V309">
        <f>_xlfn.XLOOKUP(D309,Lookup!$D$3:$D$4,Lookup!$E$3:$E$4)</f>
        <v>2011</v>
      </c>
      <c r="W309" t="str">
        <f>_xlfn.XLOOKUP(I309,Lookup!$G$3:$G$6,Lookup!$H$3:$H$6)</f>
        <v>Misty/Cloudy</v>
      </c>
      <c r="X309" t="str">
        <f>_xlfn.XLOOKUP(E309,Lookup!$J$3:$J$14,Lookup!$K$3:$K$14)</f>
        <v>November</v>
      </c>
      <c r="Y309" t="str">
        <f>_xlfn.XLOOKUP(G309,Lookup!$M$3:$M$9,Lookup!$N$3:$N$9)</f>
        <v>Friday</v>
      </c>
    </row>
    <row r="310" spans="1:25" x14ac:dyDescent="0.3">
      <c r="A310">
        <v>309</v>
      </c>
      <c r="B310" s="1">
        <v>40852</v>
      </c>
      <c r="C310">
        <v>4</v>
      </c>
      <c r="D310">
        <v>0</v>
      </c>
      <c r="E310">
        <v>11</v>
      </c>
      <c r="F310">
        <v>0</v>
      </c>
      <c r="G310">
        <v>6</v>
      </c>
      <c r="H310">
        <v>0</v>
      </c>
      <c r="I310">
        <v>1</v>
      </c>
      <c r="J310">
        <v>0.32666699999999999</v>
      </c>
      <c r="K310">
        <v>0.32385399999999998</v>
      </c>
      <c r="L310">
        <v>0.51916700000000005</v>
      </c>
      <c r="M310">
        <v>0.18906200000000001</v>
      </c>
      <c r="N310">
        <v>1156</v>
      </c>
      <c r="O310">
        <v>2770</v>
      </c>
      <c r="P310">
        <v>3926</v>
      </c>
      <c r="Q310">
        <f t="shared" si="16"/>
        <v>7.3533489999999997</v>
      </c>
      <c r="R310">
        <f t="shared" si="17"/>
        <v>5.3743639999999999</v>
      </c>
      <c r="S310">
        <f t="shared" si="18"/>
        <v>51.916700000000006</v>
      </c>
      <c r="T310">
        <f t="shared" si="19"/>
        <v>12.667154</v>
      </c>
      <c r="U310" t="str">
        <f>_xlfn.XLOOKUP(C310,Lookup!$A$3:$A$6,Lookup!$B$3:$B$6)</f>
        <v>Fall</v>
      </c>
      <c r="V310">
        <f>_xlfn.XLOOKUP(D310,Lookup!$D$3:$D$4,Lookup!$E$3:$E$4)</f>
        <v>2011</v>
      </c>
      <c r="W310" t="str">
        <f>_xlfn.XLOOKUP(I310,Lookup!$G$3:$G$6,Lookup!$H$3:$H$6)</f>
        <v>Clear</v>
      </c>
      <c r="X310" t="str">
        <f>_xlfn.XLOOKUP(E310,Lookup!$J$3:$J$14,Lookup!$K$3:$K$14)</f>
        <v>November</v>
      </c>
      <c r="Y310" t="str">
        <f>_xlfn.XLOOKUP(G310,Lookup!$M$3:$M$9,Lookup!$N$3:$N$9)</f>
        <v>Saturday</v>
      </c>
    </row>
    <row r="311" spans="1:25" x14ac:dyDescent="0.3">
      <c r="A311">
        <v>310</v>
      </c>
      <c r="B311" s="1">
        <v>40853</v>
      </c>
      <c r="C311">
        <v>4</v>
      </c>
      <c r="D311">
        <v>0</v>
      </c>
      <c r="E311">
        <v>11</v>
      </c>
      <c r="F311">
        <v>0</v>
      </c>
      <c r="G311">
        <v>0</v>
      </c>
      <c r="H311">
        <v>0</v>
      </c>
      <c r="I311">
        <v>1</v>
      </c>
      <c r="J311">
        <v>0.348333</v>
      </c>
      <c r="K311">
        <v>0.36235800000000001</v>
      </c>
      <c r="L311">
        <v>0.73458299999999999</v>
      </c>
      <c r="M311">
        <v>9.2054200000000003E-2</v>
      </c>
      <c r="N311">
        <v>952</v>
      </c>
      <c r="O311">
        <v>2697</v>
      </c>
      <c r="P311">
        <v>3649</v>
      </c>
      <c r="Q311">
        <f t="shared" si="16"/>
        <v>8.371651</v>
      </c>
      <c r="R311">
        <f t="shared" si="17"/>
        <v>7.9156280000000017</v>
      </c>
      <c r="S311">
        <f t="shared" si="18"/>
        <v>73.458299999999994</v>
      </c>
      <c r="T311">
        <f t="shared" si="19"/>
        <v>6.1676314000000003</v>
      </c>
      <c r="U311" t="str">
        <f>_xlfn.XLOOKUP(C311,Lookup!$A$3:$A$6,Lookup!$B$3:$B$6)</f>
        <v>Fall</v>
      </c>
      <c r="V311">
        <f>_xlfn.XLOOKUP(D311,Lookup!$D$3:$D$4,Lookup!$E$3:$E$4)</f>
        <v>2011</v>
      </c>
      <c r="W311" t="str">
        <f>_xlfn.XLOOKUP(I311,Lookup!$G$3:$G$6,Lookup!$H$3:$H$6)</f>
        <v>Clear</v>
      </c>
      <c r="X311" t="str">
        <f>_xlfn.XLOOKUP(E311,Lookup!$J$3:$J$14,Lookup!$K$3:$K$14)</f>
        <v>November</v>
      </c>
      <c r="Y311" t="str">
        <f>_xlfn.XLOOKUP(G311,Lookup!$M$3:$M$9,Lookup!$N$3:$N$9)</f>
        <v>Sunday</v>
      </c>
    </row>
    <row r="312" spans="1:25" x14ac:dyDescent="0.3">
      <c r="A312">
        <v>311</v>
      </c>
      <c r="B312" s="1">
        <v>40854</v>
      </c>
      <c r="C312">
        <v>4</v>
      </c>
      <c r="D312">
        <v>0</v>
      </c>
      <c r="E312">
        <v>11</v>
      </c>
      <c r="F312">
        <v>0</v>
      </c>
      <c r="G312">
        <v>1</v>
      </c>
      <c r="H312">
        <v>1</v>
      </c>
      <c r="I312">
        <v>1</v>
      </c>
      <c r="J312">
        <v>0.39500000000000002</v>
      </c>
      <c r="K312">
        <v>0.40087099999999998</v>
      </c>
      <c r="L312">
        <v>0.75875000000000004</v>
      </c>
      <c r="M312">
        <v>5.7224999999999998E-2</v>
      </c>
      <c r="N312">
        <v>373</v>
      </c>
      <c r="O312">
        <v>3662</v>
      </c>
      <c r="P312">
        <v>4035</v>
      </c>
      <c r="Q312">
        <f t="shared" si="16"/>
        <v>10.565000000000001</v>
      </c>
      <c r="R312">
        <f t="shared" si="17"/>
        <v>10.457485999999999</v>
      </c>
      <c r="S312">
        <f t="shared" si="18"/>
        <v>75.875</v>
      </c>
      <c r="T312">
        <f t="shared" si="19"/>
        <v>3.8340749999999999</v>
      </c>
      <c r="U312" t="str">
        <f>_xlfn.XLOOKUP(C312,Lookup!$A$3:$A$6,Lookup!$B$3:$B$6)</f>
        <v>Fall</v>
      </c>
      <c r="V312">
        <f>_xlfn.XLOOKUP(D312,Lookup!$D$3:$D$4,Lookup!$E$3:$E$4)</f>
        <v>2011</v>
      </c>
      <c r="W312" t="str">
        <f>_xlfn.XLOOKUP(I312,Lookup!$G$3:$G$6,Lookup!$H$3:$H$6)</f>
        <v>Clear</v>
      </c>
      <c r="X312" t="str">
        <f>_xlfn.XLOOKUP(E312,Lookup!$J$3:$J$14,Lookup!$K$3:$K$14)</f>
        <v>November</v>
      </c>
      <c r="Y312" t="str">
        <f>_xlfn.XLOOKUP(G312,Lookup!$M$3:$M$9,Lookup!$N$3:$N$9)</f>
        <v>Monday</v>
      </c>
    </row>
    <row r="313" spans="1:25" x14ac:dyDescent="0.3">
      <c r="A313">
        <v>312</v>
      </c>
      <c r="B313" s="1">
        <v>40855</v>
      </c>
      <c r="C313">
        <v>4</v>
      </c>
      <c r="D313">
        <v>0</v>
      </c>
      <c r="E313">
        <v>11</v>
      </c>
      <c r="F313">
        <v>0</v>
      </c>
      <c r="G313">
        <v>2</v>
      </c>
      <c r="H313">
        <v>1</v>
      </c>
      <c r="I313">
        <v>1</v>
      </c>
      <c r="J313">
        <v>0.408333</v>
      </c>
      <c r="K313">
        <v>0.412246</v>
      </c>
      <c r="L313">
        <v>0.72166699999999995</v>
      </c>
      <c r="M313">
        <v>6.9037500000000002E-2</v>
      </c>
      <c r="N313">
        <v>376</v>
      </c>
      <c r="O313">
        <v>3829</v>
      </c>
      <c r="P313">
        <v>4205</v>
      </c>
      <c r="Q313">
        <f t="shared" si="16"/>
        <v>11.191651</v>
      </c>
      <c r="R313">
        <f t="shared" si="17"/>
        <v>11.208235999999999</v>
      </c>
      <c r="S313">
        <f t="shared" si="18"/>
        <v>72.166699999999992</v>
      </c>
      <c r="T313">
        <f t="shared" si="19"/>
        <v>4.6255125000000001</v>
      </c>
      <c r="U313" t="str">
        <f>_xlfn.XLOOKUP(C313,Lookup!$A$3:$A$6,Lookup!$B$3:$B$6)</f>
        <v>Fall</v>
      </c>
      <c r="V313">
        <f>_xlfn.XLOOKUP(D313,Lookup!$D$3:$D$4,Lookup!$E$3:$E$4)</f>
        <v>2011</v>
      </c>
      <c r="W313" t="str">
        <f>_xlfn.XLOOKUP(I313,Lookup!$G$3:$G$6,Lookup!$H$3:$H$6)</f>
        <v>Clear</v>
      </c>
      <c r="X313" t="str">
        <f>_xlfn.XLOOKUP(E313,Lookup!$J$3:$J$14,Lookup!$K$3:$K$14)</f>
        <v>November</v>
      </c>
      <c r="Y313" t="str">
        <f>_xlfn.XLOOKUP(G313,Lookup!$M$3:$M$9,Lookup!$N$3:$N$9)</f>
        <v>Tuesday</v>
      </c>
    </row>
    <row r="314" spans="1:25" x14ac:dyDescent="0.3">
      <c r="A314">
        <v>313</v>
      </c>
      <c r="B314" s="1">
        <v>40856</v>
      </c>
      <c r="C314">
        <v>4</v>
      </c>
      <c r="D314">
        <v>0</v>
      </c>
      <c r="E314">
        <v>11</v>
      </c>
      <c r="F314">
        <v>0</v>
      </c>
      <c r="G314">
        <v>3</v>
      </c>
      <c r="H314">
        <v>1</v>
      </c>
      <c r="I314">
        <v>1</v>
      </c>
      <c r="J314">
        <v>0.4</v>
      </c>
      <c r="K314">
        <v>0.40907900000000003</v>
      </c>
      <c r="L314">
        <v>0.75833300000000003</v>
      </c>
      <c r="M314">
        <v>6.2195800000000002E-2</v>
      </c>
      <c r="N314">
        <v>305</v>
      </c>
      <c r="O314">
        <v>3804</v>
      </c>
      <c r="P314">
        <v>4109</v>
      </c>
      <c r="Q314">
        <f t="shared" si="16"/>
        <v>10.8</v>
      </c>
      <c r="R314">
        <f t="shared" si="17"/>
        <v>10.999214000000002</v>
      </c>
      <c r="S314">
        <f t="shared" si="18"/>
        <v>75.833300000000008</v>
      </c>
      <c r="T314">
        <f t="shared" si="19"/>
        <v>4.1671186000000002</v>
      </c>
      <c r="U314" t="str">
        <f>_xlfn.XLOOKUP(C314,Lookup!$A$3:$A$6,Lookup!$B$3:$B$6)</f>
        <v>Fall</v>
      </c>
      <c r="V314">
        <f>_xlfn.XLOOKUP(D314,Lookup!$D$3:$D$4,Lookup!$E$3:$E$4)</f>
        <v>2011</v>
      </c>
      <c r="W314" t="str">
        <f>_xlfn.XLOOKUP(I314,Lookup!$G$3:$G$6,Lookup!$H$3:$H$6)</f>
        <v>Clear</v>
      </c>
      <c r="X314" t="str">
        <f>_xlfn.XLOOKUP(E314,Lookup!$J$3:$J$14,Lookup!$K$3:$K$14)</f>
        <v>November</v>
      </c>
      <c r="Y314" t="str">
        <f>_xlfn.XLOOKUP(G314,Lookup!$M$3:$M$9,Lookup!$N$3:$N$9)</f>
        <v>Wednesday</v>
      </c>
    </row>
    <row r="315" spans="1:25" x14ac:dyDescent="0.3">
      <c r="A315">
        <v>314</v>
      </c>
      <c r="B315" s="1">
        <v>40857</v>
      </c>
      <c r="C315">
        <v>4</v>
      </c>
      <c r="D315">
        <v>0</v>
      </c>
      <c r="E315">
        <v>11</v>
      </c>
      <c r="F315">
        <v>0</v>
      </c>
      <c r="G315">
        <v>4</v>
      </c>
      <c r="H315">
        <v>1</v>
      </c>
      <c r="I315">
        <v>2</v>
      </c>
      <c r="J315">
        <v>0.38</v>
      </c>
      <c r="K315">
        <v>0.37372100000000003</v>
      </c>
      <c r="L315">
        <v>0.81333299999999997</v>
      </c>
      <c r="M315">
        <v>0.18906700000000001</v>
      </c>
      <c r="N315">
        <v>190</v>
      </c>
      <c r="O315">
        <v>2743</v>
      </c>
      <c r="P315">
        <v>2933</v>
      </c>
      <c r="Q315">
        <f t="shared" si="16"/>
        <v>9.86</v>
      </c>
      <c r="R315">
        <f t="shared" si="17"/>
        <v>8.6655860000000011</v>
      </c>
      <c r="S315">
        <f t="shared" si="18"/>
        <v>81.333299999999994</v>
      </c>
      <c r="T315">
        <f t="shared" si="19"/>
        <v>12.667489000000002</v>
      </c>
      <c r="U315" t="str">
        <f>_xlfn.XLOOKUP(C315,Lookup!$A$3:$A$6,Lookup!$B$3:$B$6)</f>
        <v>Fall</v>
      </c>
      <c r="V315">
        <f>_xlfn.XLOOKUP(D315,Lookup!$D$3:$D$4,Lookup!$E$3:$E$4)</f>
        <v>2011</v>
      </c>
      <c r="W315" t="str">
        <f>_xlfn.XLOOKUP(I315,Lookup!$G$3:$G$6,Lookup!$H$3:$H$6)</f>
        <v>Misty/Cloudy</v>
      </c>
      <c r="X315" t="str">
        <f>_xlfn.XLOOKUP(E315,Lookup!$J$3:$J$14,Lookup!$K$3:$K$14)</f>
        <v>November</v>
      </c>
      <c r="Y315" t="str">
        <f>_xlfn.XLOOKUP(G315,Lookup!$M$3:$M$9,Lookup!$N$3:$N$9)</f>
        <v>Thursday</v>
      </c>
    </row>
    <row r="316" spans="1:25" x14ac:dyDescent="0.3">
      <c r="A316">
        <v>315</v>
      </c>
      <c r="B316" s="1">
        <v>40858</v>
      </c>
      <c r="C316">
        <v>4</v>
      </c>
      <c r="D316">
        <v>0</v>
      </c>
      <c r="E316">
        <v>11</v>
      </c>
      <c r="F316">
        <v>1</v>
      </c>
      <c r="G316">
        <v>5</v>
      </c>
      <c r="H316">
        <v>0</v>
      </c>
      <c r="I316">
        <v>1</v>
      </c>
      <c r="J316">
        <v>0.32416699999999998</v>
      </c>
      <c r="K316">
        <v>0.30681700000000001</v>
      </c>
      <c r="L316">
        <v>0.44624999999999998</v>
      </c>
      <c r="M316">
        <v>0.31467499999999998</v>
      </c>
      <c r="N316">
        <v>440</v>
      </c>
      <c r="O316">
        <v>2928</v>
      </c>
      <c r="P316">
        <v>3368</v>
      </c>
      <c r="Q316">
        <f t="shared" si="16"/>
        <v>7.235849</v>
      </c>
      <c r="R316">
        <f t="shared" si="17"/>
        <v>4.2499220000000015</v>
      </c>
      <c r="S316">
        <f t="shared" si="18"/>
        <v>44.625</v>
      </c>
      <c r="T316">
        <f t="shared" si="19"/>
        <v>21.083224999999999</v>
      </c>
      <c r="U316" t="str">
        <f>_xlfn.XLOOKUP(C316,Lookup!$A$3:$A$6,Lookup!$B$3:$B$6)</f>
        <v>Fall</v>
      </c>
      <c r="V316">
        <f>_xlfn.XLOOKUP(D316,Lookup!$D$3:$D$4,Lookup!$E$3:$E$4)</f>
        <v>2011</v>
      </c>
      <c r="W316" t="str">
        <f>_xlfn.XLOOKUP(I316,Lookup!$G$3:$G$6,Lookup!$H$3:$H$6)</f>
        <v>Clear</v>
      </c>
      <c r="X316" t="str">
        <f>_xlfn.XLOOKUP(E316,Lookup!$J$3:$J$14,Lookup!$K$3:$K$14)</f>
        <v>November</v>
      </c>
      <c r="Y316" t="str">
        <f>_xlfn.XLOOKUP(G316,Lookup!$M$3:$M$9,Lookup!$N$3:$N$9)</f>
        <v>Friday</v>
      </c>
    </row>
    <row r="317" spans="1:25" x14ac:dyDescent="0.3">
      <c r="A317">
        <v>316</v>
      </c>
      <c r="B317" s="1">
        <v>40859</v>
      </c>
      <c r="C317">
        <v>4</v>
      </c>
      <c r="D317">
        <v>0</v>
      </c>
      <c r="E317">
        <v>11</v>
      </c>
      <c r="F317">
        <v>0</v>
      </c>
      <c r="G317">
        <v>6</v>
      </c>
      <c r="H317">
        <v>0</v>
      </c>
      <c r="I317">
        <v>1</v>
      </c>
      <c r="J317">
        <v>0.35666700000000001</v>
      </c>
      <c r="K317">
        <v>0.35794199999999998</v>
      </c>
      <c r="L317">
        <v>0.55291699999999999</v>
      </c>
      <c r="M317">
        <v>0.212062</v>
      </c>
      <c r="N317">
        <v>1275</v>
      </c>
      <c r="O317">
        <v>2792</v>
      </c>
      <c r="P317">
        <v>4067</v>
      </c>
      <c r="Q317">
        <f t="shared" si="16"/>
        <v>8.7633490000000016</v>
      </c>
      <c r="R317">
        <f t="shared" si="17"/>
        <v>7.624171999999998</v>
      </c>
      <c r="S317">
        <f t="shared" si="18"/>
        <v>55.291699999999999</v>
      </c>
      <c r="T317">
        <f t="shared" si="19"/>
        <v>14.208154</v>
      </c>
      <c r="U317" t="str">
        <f>_xlfn.XLOOKUP(C317,Lookup!$A$3:$A$6,Lookup!$B$3:$B$6)</f>
        <v>Fall</v>
      </c>
      <c r="V317">
        <f>_xlfn.XLOOKUP(D317,Lookup!$D$3:$D$4,Lookup!$E$3:$E$4)</f>
        <v>2011</v>
      </c>
      <c r="W317" t="str">
        <f>_xlfn.XLOOKUP(I317,Lookup!$G$3:$G$6,Lookup!$H$3:$H$6)</f>
        <v>Clear</v>
      </c>
      <c r="X317" t="str">
        <f>_xlfn.XLOOKUP(E317,Lookup!$J$3:$J$14,Lookup!$K$3:$K$14)</f>
        <v>November</v>
      </c>
      <c r="Y317" t="str">
        <f>_xlfn.XLOOKUP(G317,Lookup!$M$3:$M$9,Lookup!$N$3:$N$9)</f>
        <v>Saturday</v>
      </c>
    </row>
    <row r="318" spans="1:25" x14ac:dyDescent="0.3">
      <c r="A318">
        <v>317</v>
      </c>
      <c r="B318" s="1">
        <v>40860</v>
      </c>
      <c r="C318">
        <v>4</v>
      </c>
      <c r="D318">
        <v>0</v>
      </c>
      <c r="E318">
        <v>11</v>
      </c>
      <c r="F318">
        <v>0</v>
      </c>
      <c r="G318">
        <v>0</v>
      </c>
      <c r="H318">
        <v>0</v>
      </c>
      <c r="I318">
        <v>1</v>
      </c>
      <c r="J318">
        <v>0.44083299999999997</v>
      </c>
      <c r="K318">
        <v>0.43054999999999999</v>
      </c>
      <c r="L318">
        <v>0.45833299999999999</v>
      </c>
      <c r="M318">
        <v>0.281721</v>
      </c>
      <c r="N318">
        <v>1004</v>
      </c>
      <c r="O318">
        <v>2713</v>
      </c>
      <c r="P318">
        <v>3717</v>
      </c>
      <c r="Q318">
        <f t="shared" si="16"/>
        <v>12.719151</v>
      </c>
      <c r="R318">
        <f t="shared" si="17"/>
        <v>12.4163</v>
      </c>
      <c r="S318">
        <f t="shared" si="18"/>
        <v>45.833300000000001</v>
      </c>
      <c r="T318">
        <f t="shared" si="19"/>
        <v>18.875306999999999</v>
      </c>
      <c r="U318" t="str">
        <f>_xlfn.XLOOKUP(C318,Lookup!$A$3:$A$6,Lookup!$B$3:$B$6)</f>
        <v>Fall</v>
      </c>
      <c r="V318">
        <f>_xlfn.XLOOKUP(D318,Lookup!$D$3:$D$4,Lookup!$E$3:$E$4)</f>
        <v>2011</v>
      </c>
      <c r="W318" t="str">
        <f>_xlfn.XLOOKUP(I318,Lookup!$G$3:$G$6,Lookup!$H$3:$H$6)</f>
        <v>Clear</v>
      </c>
      <c r="X318" t="str">
        <f>_xlfn.XLOOKUP(E318,Lookup!$J$3:$J$14,Lookup!$K$3:$K$14)</f>
        <v>November</v>
      </c>
      <c r="Y318" t="str">
        <f>_xlfn.XLOOKUP(G318,Lookup!$M$3:$M$9,Lookup!$N$3:$N$9)</f>
        <v>Sunday</v>
      </c>
    </row>
    <row r="319" spans="1:25" x14ac:dyDescent="0.3">
      <c r="A319">
        <v>318</v>
      </c>
      <c r="B319" s="1">
        <v>40861</v>
      </c>
      <c r="C319">
        <v>4</v>
      </c>
      <c r="D319">
        <v>0</v>
      </c>
      <c r="E319">
        <v>11</v>
      </c>
      <c r="F319">
        <v>0</v>
      </c>
      <c r="G319">
        <v>1</v>
      </c>
      <c r="H319">
        <v>1</v>
      </c>
      <c r="I319">
        <v>1</v>
      </c>
      <c r="J319">
        <v>0.53</v>
      </c>
      <c r="K319">
        <v>0.52461199999999997</v>
      </c>
      <c r="L319">
        <v>0.58708300000000002</v>
      </c>
      <c r="M319">
        <v>0.30659599999999998</v>
      </c>
      <c r="N319">
        <v>595</v>
      </c>
      <c r="O319">
        <v>3891</v>
      </c>
      <c r="P319">
        <v>4486</v>
      </c>
      <c r="Q319">
        <f t="shared" si="16"/>
        <v>16.91</v>
      </c>
      <c r="R319">
        <f t="shared" si="17"/>
        <v>18.624392</v>
      </c>
      <c r="S319">
        <f t="shared" si="18"/>
        <v>58.708300000000001</v>
      </c>
      <c r="T319">
        <f t="shared" si="19"/>
        <v>20.541931999999999</v>
      </c>
      <c r="U319" t="str">
        <f>_xlfn.XLOOKUP(C319,Lookup!$A$3:$A$6,Lookup!$B$3:$B$6)</f>
        <v>Fall</v>
      </c>
      <c r="V319">
        <f>_xlfn.XLOOKUP(D319,Lookup!$D$3:$D$4,Lookup!$E$3:$E$4)</f>
        <v>2011</v>
      </c>
      <c r="W319" t="str">
        <f>_xlfn.XLOOKUP(I319,Lookup!$G$3:$G$6,Lookup!$H$3:$H$6)</f>
        <v>Clear</v>
      </c>
      <c r="X319" t="str">
        <f>_xlfn.XLOOKUP(E319,Lookup!$J$3:$J$14,Lookup!$K$3:$K$14)</f>
        <v>November</v>
      </c>
      <c r="Y319" t="str">
        <f>_xlfn.XLOOKUP(G319,Lookup!$M$3:$M$9,Lookup!$N$3:$N$9)</f>
        <v>Monday</v>
      </c>
    </row>
    <row r="320" spans="1:25" x14ac:dyDescent="0.3">
      <c r="A320">
        <v>319</v>
      </c>
      <c r="B320" s="1">
        <v>40862</v>
      </c>
      <c r="C320">
        <v>4</v>
      </c>
      <c r="D320">
        <v>0</v>
      </c>
      <c r="E320">
        <v>11</v>
      </c>
      <c r="F320">
        <v>0</v>
      </c>
      <c r="G320">
        <v>2</v>
      </c>
      <c r="H320">
        <v>1</v>
      </c>
      <c r="I320">
        <v>2</v>
      </c>
      <c r="J320">
        <v>0.53</v>
      </c>
      <c r="K320">
        <v>0.507579</v>
      </c>
      <c r="L320">
        <v>0.68874999999999997</v>
      </c>
      <c r="M320">
        <v>0.199633</v>
      </c>
      <c r="N320">
        <v>449</v>
      </c>
      <c r="O320">
        <v>3746</v>
      </c>
      <c r="P320">
        <v>4195</v>
      </c>
      <c r="Q320">
        <f t="shared" si="16"/>
        <v>16.91</v>
      </c>
      <c r="R320">
        <f t="shared" si="17"/>
        <v>17.500214</v>
      </c>
      <c r="S320">
        <f t="shared" si="18"/>
        <v>68.875</v>
      </c>
      <c r="T320">
        <f t="shared" si="19"/>
        <v>13.375411</v>
      </c>
      <c r="U320" t="str">
        <f>_xlfn.XLOOKUP(C320,Lookup!$A$3:$A$6,Lookup!$B$3:$B$6)</f>
        <v>Fall</v>
      </c>
      <c r="V320">
        <f>_xlfn.XLOOKUP(D320,Lookup!$D$3:$D$4,Lookup!$E$3:$E$4)</f>
        <v>2011</v>
      </c>
      <c r="W320" t="str">
        <f>_xlfn.XLOOKUP(I320,Lookup!$G$3:$G$6,Lookup!$H$3:$H$6)</f>
        <v>Misty/Cloudy</v>
      </c>
      <c r="X320" t="str">
        <f>_xlfn.XLOOKUP(E320,Lookup!$J$3:$J$14,Lookup!$K$3:$K$14)</f>
        <v>November</v>
      </c>
      <c r="Y320" t="str">
        <f>_xlfn.XLOOKUP(G320,Lookup!$M$3:$M$9,Lookup!$N$3:$N$9)</f>
        <v>Tuesday</v>
      </c>
    </row>
    <row r="321" spans="1:25" x14ac:dyDescent="0.3">
      <c r="A321">
        <v>320</v>
      </c>
      <c r="B321" s="1">
        <v>40863</v>
      </c>
      <c r="C321">
        <v>4</v>
      </c>
      <c r="D321">
        <v>0</v>
      </c>
      <c r="E321">
        <v>11</v>
      </c>
      <c r="F321">
        <v>0</v>
      </c>
      <c r="G321">
        <v>3</v>
      </c>
      <c r="H321">
        <v>1</v>
      </c>
      <c r="I321">
        <v>3</v>
      </c>
      <c r="J321">
        <v>0.45666699999999999</v>
      </c>
      <c r="K321">
        <v>0.451988</v>
      </c>
      <c r="L321">
        <v>0.93</v>
      </c>
      <c r="M321">
        <v>0.13682900000000001</v>
      </c>
      <c r="N321">
        <v>145</v>
      </c>
      <c r="O321">
        <v>1672</v>
      </c>
      <c r="P321">
        <v>1817</v>
      </c>
      <c r="Q321">
        <f t="shared" si="16"/>
        <v>13.463349000000001</v>
      </c>
      <c r="R321">
        <f t="shared" si="17"/>
        <v>13.831208</v>
      </c>
      <c r="S321">
        <f t="shared" si="18"/>
        <v>93</v>
      </c>
      <c r="T321">
        <f t="shared" si="19"/>
        <v>9.1675430000000002</v>
      </c>
      <c r="U321" t="str">
        <f>_xlfn.XLOOKUP(C321,Lookup!$A$3:$A$6,Lookup!$B$3:$B$6)</f>
        <v>Fall</v>
      </c>
      <c r="V321">
        <f>_xlfn.XLOOKUP(D321,Lookup!$D$3:$D$4,Lookup!$E$3:$E$4)</f>
        <v>2011</v>
      </c>
      <c r="W321" t="str">
        <f>_xlfn.XLOOKUP(I321,Lookup!$G$3:$G$6,Lookup!$H$3:$H$6)</f>
        <v>Light Snow/Rain</v>
      </c>
      <c r="X321" t="str">
        <f>_xlfn.XLOOKUP(E321,Lookup!$J$3:$J$14,Lookup!$K$3:$K$14)</f>
        <v>November</v>
      </c>
      <c r="Y321" t="str">
        <f>_xlfn.XLOOKUP(G321,Lookup!$M$3:$M$9,Lookup!$N$3:$N$9)</f>
        <v>Wednesday</v>
      </c>
    </row>
    <row r="322" spans="1:25" x14ac:dyDescent="0.3">
      <c r="A322">
        <v>321</v>
      </c>
      <c r="B322" s="1">
        <v>40864</v>
      </c>
      <c r="C322">
        <v>4</v>
      </c>
      <c r="D322">
        <v>0</v>
      </c>
      <c r="E322">
        <v>11</v>
      </c>
      <c r="F322">
        <v>0</v>
      </c>
      <c r="G322">
        <v>4</v>
      </c>
      <c r="H322">
        <v>1</v>
      </c>
      <c r="I322">
        <v>2</v>
      </c>
      <c r="J322">
        <v>0.341667</v>
      </c>
      <c r="K322">
        <v>0.32322099999999998</v>
      </c>
      <c r="L322">
        <v>0.57583300000000004</v>
      </c>
      <c r="M322">
        <v>0.30536200000000002</v>
      </c>
      <c r="N322">
        <v>139</v>
      </c>
      <c r="O322">
        <v>2914</v>
      </c>
      <c r="P322">
        <v>3053</v>
      </c>
      <c r="Q322">
        <f t="shared" si="16"/>
        <v>8.0583489999999998</v>
      </c>
      <c r="R322">
        <f t="shared" si="17"/>
        <v>5.3325859999999992</v>
      </c>
      <c r="S322">
        <f t="shared" si="18"/>
        <v>57.583300000000001</v>
      </c>
      <c r="T322">
        <f t="shared" si="19"/>
        <v>20.459254000000001</v>
      </c>
      <c r="U322" t="str">
        <f>_xlfn.XLOOKUP(C322,Lookup!$A$3:$A$6,Lookup!$B$3:$B$6)</f>
        <v>Fall</v>
      </c>
      <c r="V322">
        <f>_xlfn.XLOOKUP(D322,Lookup!$D$3:$D$4,Lookup!$E$3:$E$4)</f>
        <v>2011</v>
      </c>
      <c r="W322" t="str">
        <f>_xlfn.XLOOKUP(I322,Lookup!$G$3:$G$6,Lookup!$H$3:$H$6)</f>
        <v>Misty/Cloudy</v>
      </c>
      <c r="X322" t="str">
        <f>_xlfn.XLOOKUP(E322,Lookup!$J$3:$J$14,Lookup!$K$3:$K$14)</f>
        <v>November</v>
      </c>
      <c r="Y322" t="str">
        <f>_xlfn.XLOOKUP(G322,Lookup!$M$3:$M$9,Lookup!$N$3:$N$9)</f>
        <v>Thursday</v>
      </c>
    </row>
    <row r="323" spans="1:25" x14ac:dyDescent="0.3">
      <c r="A323">
        <v>322</v>
      </c>
      <c r="B323" s="1">
        <v>40865</v>
      </c>
      <c r="C323">
        <v>4</v>
      </c>
      <c r="D323">
        <v>0</v>
      </c>
      <c r="E323">
        <v>11</v>
      </c>
      <c r="F323">
        <v>0</v>
      </c>
      <c r="G323">
        <v>5</v>
      </c>
      <c r="H323">
        <v>1</v>
      </c>
      <c r="I323">
        <v>1</v>
      </c>
      <c r="J323">
        <v>0.27416699999999999</v>
      </c>
      <c r="K323">
        <v>0.27272099999999999</v>
      </c>
      <c r="L323">
        <v>0.41</v>
      </c>
      <c r="M323">
        <v>0.16853299999999999</v>
      </c>
      <c r="N323">
        <v>245</v>
      </c>
      <c r="O323">
        <v>3147</v>
      </c>
      <c r="P323">
        <v>3392</v>
      </c>
      <c r="Q323">
        <f t="shared" ref="Q323:Q386" si="20">J323*47-8</f>
        <v>4.8858490000000003</v>
      </c>
      <c r="R323">
        <f t="shared" ref="R323:R386" si="21">K323*66-16</f>
        <v>1.9995860000000008</v>
      </c>
      <c r="S323">
        <f t="shared" ref="S323:S386" si="22">L323*100</f>
        <v>41</v>
      </c>
      <c r="T323">
        <f t="shared" ref="T323:T386" si="23">M323*67</f>
        <v>11.291710999999999</v>
      </c>
      <c r="U323" t="str">
        <f>_xlfn.XLOOKUP(C323,Lookup!$A$3:$A$6,Lookup!$B$3:$B$6)</f>
        <v>Fall</v>
      </c>
      <c r="V323">
        <f>_xlfn.XLOOKUP(D323,Lookup!$D$3:$D$4,Lookup!$E$3:$E$4)</f>
        <v>2011</v>
      </c>
      <c r="W323" t="str">
        <f>_xlfn.XLOOKUP(I323,Lookup!$G$3:$G$6,Lookup!$H$3:$H$6)</f>
        <v>Clear</v>
      </c>
      <c r="X323" t="str">
        <f>_xlfn.XLOOKUP(E323,Lookup!$J$3:$J$14,Lookup!$K$3:$K$14)</f>
        <v>November</v>
      </c>
      <c r="Y323" t="str">
        <f>_xlfn.XLOOKUP(G323,Lookup!$M$3:$M$9,Lookup!$N$3:$N$9)</f>
        <v>Friday</v>
      </c>
    </row>
    <row r="324" spans="1:25" x14ac:dyDescent="0.3">
      <c r="A324">
        <v>323</v>
      </c>
      <c r="B324" s="1">
        <v>40866</v>
      </c>
      <c r="C324">
        <v>4</v>
      </c>
      <c r="D324">
        <v>0</v>
      </c>
      <c r="E324">
        <v>11</v>
      </c>
      <c r="F324">
        <v>0</v>
      </c>
      <c r="G324">
        <v>6</v>
      </c>
      <c r="H324">
        <v>0</v>
      </c>
      <c r="I324">
        <v>1</v>
      </c>
      <c r="J324">
        <v>0.32916699999999999</v>
      </c>
      <c r="K324">
        <v>0.32448300000000002</v>
      </c>
      <c r="L324">
        <v>0.50208299999999995</v>
      </c>
      <c r="M324">
        <v>0.224496</v>
      </c>
      <c r="N324">
        <v>943</v>
      </c>
      <c r="O324">
        <v>2720</v>
      </c>
      <c r="P324">
        <v>3663</v>
      </c>
      <c r="Q324">
        <f t="shared" si="20"/>
        <v>7.4708489999999994</v>
      </c>
      <c r="R324">
        <f t="shared" si="21"/>
        <v>5.4158780000000029</v>
      </c>
      <c r="S324">
        <f t="shared" si="22"/>
        <v>50.208299999999994</v>
      </c>
      <c r="T324">
        <f t="shared" si="23"/>
        <v>15.041232000000001</v>
      </c>
      <c r="U324" t="str">
        <f>_xlfn.XLOOKUP(C324,Lookup!$A$3:$A$6,Lookup!$B$3:$B$6)</f>
        <v>Fall</v>
      </c>
      <c r="V324">
        <f>_xlfn.XLOOKUP(D324,Lookup!$D$3:$D$4,Lookup!$E$3:$E$4)</f>
        <v>2011</v>
      </c>
      <c r="W324" t="str">
        <f>_xlfn.XLOOKUP(I324,Lookup!$G$3:$G$6,Lookup!$H$3:$H$6)</f>
        <v>Clear</v>
      </c>
      <c r="X324" t="str">
        <f>_xlfn.XLOOKUP(E324,Lookup!$J$3:$J$14,Lookup!$K$3:$K$14)</f>
        <v>November</v>
      </c>
      <c r="Y324" t="str">
        <f>_xlfn.XLOOKUP(G324,Lookup!$M$3:$M$9,Lookup!$N$3:$N$9)</f>
        <v>Saturday</v>
      </c>
    </row>
    <row r="325" spans="1:25" x14ac:dyDescent="0.3">
      <c r="A325">
        <v>324</v>
      </c>
      <c r="B325" s="1">
        <v>40867</v>
      </c>
      <c r="C325">
        <v>4</v>
      </c>
      <c r="D325">
        <v>0</v>
      </c>
      <c r="E325">
        <v>11</v>
      </c>
      <c r="F325">
        <v>0</v>
      </c>
      <c r="G325">
        <v>0</v>
      </c>
      <c r="H325">
        <v>0</v>
      </c>
      <c r="I325">
        <v>2</v>
      </c>
      <c r="J325">
        <v>0.46333299999999999</v>
      </c>
      <c r="K325">
        <v>0.45705800000000002</v>
      </c>
      <c r="L325">
        <v>0.68458300000000005</v>
      </c>
      <c r="M325">
        <v>0.18595</v>
      </c>
      <c r="N325">
        <v>787</v>
      </c>
      <c r="O325">
        <v>2733</v>
      </c>
      <c r="P325">
        <v>3520</v>
      </c>
      <c r="Q325">
        <f t="shared" si="20"/>
        <v>13.776651000000001</v>
      </c>
      <c r="R325">
        <f t="shared" si="21"/>
        <v>14.165828000000001</v>
      </c>
      <c r="S325">
        <f t="shared" si="22"/>
        <v>68.458300000000008</v>
      </c>
      <c r="T325">
        <f t="shared" si="23"/>
        <v>12.45865</v>
      </c>
      <c r="U325" t="str">
        <f>_xlfn.XLOOKUP(C325,Lookup!$A$3:$A$6,Lookup!$B$3:$B$6)</f>
        <v>Fall</v>
      </c>
      <c r="V325">
        <f>_xlfn.XLOOKUP(D325,Lookup!$D$3:$D$4,Lookup!$E$3:$E$4)</f>
        <v>2011</v>
      </c>
      <c r="W325" t="str">
        <f>_xlfn.XLOOKUP(I325,Lookup!$G$3:$G$6,Lookup!$H$3:$H$6)</f>
        <v>Misty/Cloudy</v>
      </c>
      <c r="X325" t="str">
        <f>_xlfn.XLOOKUP(E325,Lookup!$J$3:$J$14,Lookup!$K$3:$K$14)</f>
        <v>November</v>
      </c>
      <c r="Y325" t="str">
        <f>_xlfn.XLOOKUP(G325,Lookup!$M$3:$M$9,Lookup!$N$3:$N$9)</f>
        <v>Sunday</v>
      </c>
    </row>
    <row r="326" spans="1:25" x14ac:dyDescent="0.3">
      <c r="A326">
        <v>325</v>
      </c>
      <c r="B326" s="1">
        <v>40868</v>
      </c>
      <c r="C326">
        <v>4</v>
      </c>
      <c r="D326">
        <v>0</v>
      </c>
      <c r="E326">
        <v>11</v>
      </c>
      <c r="F326">
        <v>0</v>
      </c>
      <c r="G326">
        <v>1</v>
      </c>
      <c r="H326">
        <v>1</v>
      </c>
      <c r="I326">
        <v>3</v>
      </c>
      <c r="J326">
        <v>0.44750000000000001</v>
      </c>
      <c r="K326">
        <v>0.44506200000000001</v>
      </c>
      <c r="L326">
        <v>0.91</v>
      </c>
      <c r="M326">
        <v>0.13805400000000001</v>
      </c>
      <c r="N326">
        <v>220</v>
      </c>
      <c r="O326">
        <v>2545</v>
      </c>
      <c r="P326">
        <v>2765</v>
      </c>
      <c r="Q326">
        <f t="shared" si="20"/>
        <v>13.032499999999999</v>
      </c>
      <c r="R326">
        <f t="shared" si="21"/>
        <v>13.374092000000001</v>
      </c>
      <c r="S326">
        <f t="shared" si="22"/>
        <v>91</v>
      </c>
      <c r="T326">
        <f t="shared" si="23"/>
        <v>9.2496179999999999</v>
      </c>
      <c r="U326" t="str">
        <f>_xlfn.XLOOKUP(C326,Lookup!$A$3:$A$6,Lookup!$B$3:$B$6)</f>
        <v>Fall</v>
      </c>
      <c r="V326">
        <f>_xlfn.XLOOKUP(D326,Lookup!$D$3:$D$4,Lookup!$E$3:$E$4)</f>
        <v>2011</v>
      </c>
      <c r="W326" t="str">
        <f>_xlfn.XLOOKUP(I326,Lookup!$G$3:$G$6,Lookup!$H$3:$H$6)</f>
        <v>Light Snow/Rain</v>
      </c>
      <c r="X326" t="str">
        <f>_xlfn.XLOOKUP(E326,Lookup!$J$3:$J$14,Lookup!$K$3:$K$14)</f>
        <v>November</v>
      </c>
      <c r="Y326" t="str">
        <f>_xlfn.XLOOKUP(G326,Lookup!$M$3:$M$9,Lookup!$N$3:$N$9)</f>
        <v>Monday</v>
      </c>
    </row>
    <row r="327" spans="1:25" x14ac:dyDescent="0.3">
      <c r="A327">
        <v>326</v>
      </c>
      <c r="B327" s="1">
        <v>40869</v>
      </c>
      <c r="C327">
        <v>4</v>
      </c>
      <c r="D327">
        <v>0</v>
      </c>
      <c r="E327">
        <v>11</v>
      </c>
      <c r="F327">
        <v>0</v>
      </c>
      <c r="G327">
        <v>2</v>
      </c>
      <c r="H327">
        <v>1</v>
      </c>
      <c r="I327">
        <v>3</v>
      </c>
      <c r="J327">
        <v>0.41666700000000001</v>
      </c>
      <c r="K327">
        <v>0.42169600000000002</v>
      </c>
      <c r="L327">
        <v>0.96250000000000002</v>
      </c>
      <c r="M327">
        <v>0.11879199999999999</v>
      </c>
      <c r="N327">
        <v>69</v>
      </c>
      <c r="O327">
        <v>1538</v>
      </c>
      <c r="P327">
        <v>1607</v>
      </c>
      <c r="Q327">
        <f t="shared" si="20"/>
        <v>11.583349000000002</v>
      </c>
      <c r="R327">
        <f t="shared" si="21"/>
        <v>11.831936000000002</v>
      </c>
      <c r="S327">
        <f t="shared" si="22"/>
        <v>96.25</v>
      </c>
      <c r="T327">
        <f t="shared" si="23"/>
        <v>7.9590639999999997</v>
      </c>
      <c r="U327" t="str">
        <f>_xlfn.XLOOKUP(C327,Lookup!$A$3:$A$6,Lookup!$B$3:$B$6)</f>
        <v>Fall</v>
      </c>
      <c r="V327">
        <f>_xlfn.XLOOKUP(D327,Lookup!$D$3:$D$4,Lookup!$E$3:$E$4)</f>
        <v>2011</v>
      </c>
      <c r="W327" t="str">
        <f>_xlfn.XLOOKUP(I327,Lookup!$G$3:$G$6,Lookup!$H$3:$H$6)</f>
        <v>Light Snow/Rain</v>
      </c>
      <c r="X327" t="str">
        <f>_xlfn.XLOOKUP(E327,Lookup!$J$3:$J$14,Lookup!$K$3:$K$14)</f>
        <v>November</v>
      </c>
      <c r="Y327" t="str">
        <f>_xlfn.XLOOKUP(G327,Lookup!$M$3:$M$9,Lookup!$N$3:$N$9)</f>
        <v>Tuesday</v>
      </c>
    </row>
    <row r="328" spans="1:25" x14ac:dyDescent="0.3">
      <c r="A328">
        <v>327</v>
      </c>
      <c r="B328" s="1">
        <v>40870</v>
      </c>
      <c r="C328">
        <v>4</v>
      </c>
      <c r="D328">
        <v>0</v>
      </c>
      <c r="E328">
        <v>11</v>
      </c>
      <c r="F328">
        <v>0</v>
      </c>
      <c r="G328">
        <v>3</v>
      </c>
      <c r="H328">
        <v>1</v>
      </c>
      <c r="I328">
        <v>2</v>
      </c>
      <c r="J328">
        <v>0.44083299999999997</v>
      </c>
      <c r="K328">
        <v>0.430537</v>
      </c>
      <c r="L328">
        <v>0.75791699999999995</v>
      </c>
      <c r="M328">
        <v>0.33582499999999998</v>
      </c>
      <c r="N328">
        <v>112</v>
      </c>
      <c r="O328">
        <v>2454</v>
      </c>
      <c r="P328">
        <v>2566</v>
      </c>
      <c r="Q328">
        <f t="shared" si="20"/>
        <v>12.719151</v>
      </c>
      <c r="R328">
        <f t="shared" si="21"/>
        <v>12.415441999999999</v>
      </c>
      <c r="S328">
        <f t="shared" si="22"/>
        <v>75.791699999999992</v>
      </c>
      <c r="T328">
        <f t="shared" si="23"/>
        <v>22.500274999999998</v>
      </c>
      <c r="U328" t="str">
        <f>_xlfn.XLOOKUP(C328,Lookup!$A$3:$A$6,Lookup!$B$3:$B$6)</f>
        <v>Fall</v>
      </c>
      <c r="V328">
        <f>_xlfn.XLOOKUP(D328,Lookup!$D$3:$D$4,Lookup!$E$3:$E$4)</f>
        <v>2011</v>
      </c>
      <c r="W328" t="str">
        <f>_xlfn.XLOOKUP(I328,Lookup!$G$3:$G$6,Lookup!$H$3:$H$6)</f>
        <v>Misty/Cloudy</v>
      </c>
      <c r="X328" t="str">
        <f>_xlfn.XLOOKUP(E328,Lookup!$J$3:$J$14,Lookup!$K$3:$K$14)</f>
        <v>November</v>
      </c>
      <c r="Y328" t="str">
        <f>_xlfn.XLOOKUP(G328,Lookup!$M$3:$M$9,Lookup!$N$3:$N$9)</f>
        <v>Wednesday</v>
      </c>
    </row>
    <row r="329" spans="1:25" x14ac:dyDescent="0.3">
      <c r="A329">
        <v>328</v>
      </c>
      <c r="B329" s="1">
        <v>40871</v>
      </c>
      <c r="C329">
        <v>4</v>
      </c>
      <c r="D329">
        <v>0</v>
      </c>
      <c r="E329">
        <v>11</v>
      </c>
      <c r="F329">
        <v>1</v>
      </c>
      <c r="G329">
        <v>4</v>
      </c>
      <c r="H329">
        <v>0</v>
      </c>
      <c r="I329">
        <v>1</v>
      </c>
      <c r="J329">
        <v>0.37333300000000003</v>
      </c>
      <c r="K329">
        <v>0.372471</v>
      </c>
      <c r="L329">
        <v>0.54916699999999996</v>
      </c>
      <c r="M329">
        <v>0.16730400000000001</v>
      </c>
      <c r="N329">
        <v>560</v>
      </c>
      <c r="O329">
        <v>935</v>
      </c>
      <c r="P329">
        <v>1495</v>
      </c>
      <c r="Q329">
        <f t="shared" si="20"/>
        <v>9.5466510000000007</v>
      </c>
      <c r="R329">
        <f t="shared" si="21"/>
        <v>8.5830860000000015</v>
      </c>
      <c r="S329">
        <f t="shared" si="22"/>
        <v>54.916699999999999</v>
      </c>
      <c r="T329">
        <f t="shared" si="23"/>
        <v>11.209368000000001</v>
      </c>
      <c r="U329" t="str">
        <f>_xlfn.XLOOKUP(C329,Lookup!$A$3:$A$6,Lookup!$B$3:$B$6)</f>
        <v>Fall</v>
      </c>
      <c r="V329">
        <f>_xlfn.XLOOKUP(D329,Lookup!$D$3:$D$4,Lookup!$E$3:$E$4)</f>
        <v>2011</v>
      </c>
      <c r="W329" t="str">
        <f>_xlfn.XLOOKUP(I329,Lookup!$G$3:$G$6,Lookup!$H$3:$H$6)</f>
        <v>Clear</v>
      </c>
      <c r="X329" t="str">
        <f>_xlfn.XLOOKUP(E329,Lookup!$J$3:$J$14,Lookup!$K$3:$K$14)</f>
        <v>November</v>
      </c>
      <c r="Y329" t="str">
        <f>_xlfn.XLOOKUP(G329,Lookup!$M$3:$M$9,Lookup!$N$3:$N$9)</f>
        <v>Thursday</v>
      </c>
    </row>
    <row r="330" spans="1:25" x14ac:dyDescent="0.3">
      <c r="A330">
        <v>329</v>
      </c>
      <c r="B330" s="1">
        <v>40872</v>
      </c>
      <c r="C330">
        <v>4</v>
      </c>
      <c r="D330">
        <v>0</v>
      </c>
      <c r="E330">
        <v>11</v>
      </c>
      <c r="F330">
        <v>0</v>
      </c>
      <c r="G330">
        <v>5</v>
      </c>
      <c r="H330">
        <v>1</v>
      </c>
      <c r="I330">
        <v>1</v>
      </c>
      <c r="J330">
        <v>0.375</v>
      </c>
      <c r="K330">
        <v>0.38067099999999998</v>
      </c>
      <c r="L330">
        <v>0.64375000000000004</v>
      </c>
      <c r="M330">
        <v>9.8895800000000006E-2</v>
      </c>
      <c r="N330">
        <v>1095</v>
      </c>
      <c r="O330">
        <v>1697</v>
      </c>
      <c r="P330">
        <v>2792</v>
      </c>
      <c r="Q330">
        <f t="shared" si="20"/>
        <v>9.625</v>
      </c>
      <c r="R330">
        <f t="shared" si="21"/>
        <v>9.1242859999999979</v>
      </c>
      <c r="S330">
        <f t="shared" si="22"/>
        <v>64.375</v>
      </c>
      <c r="T330">
        <f t="shared" si="23"/>
        <v>6.6260186000000001</v>
      </c>
      <c r="U330" t="str">
        <f>_xlfn.XLOOKUP(C330,Lookup!$A$3:$A$6,Lookup!$B$3:$B$6)</f>
        <v>Fall</v>
      </c>
      <c r="V330">
        <f>_xlfn.XLOOKUP(D330,Lookup!$D$3:$D$4,Lookup!$E$3:$E$4)</f>
        <v>2011</v>
      </c>
      <c r="W330" t="str">
        <f>_xlfn.XLOOKUP(I330,Lookup!$G$3:$G$6,Lookup!$H$3:$H$6)</f>
        <v>Clear</v>
      </c>
      <c r="X330" t="str">
        <f>_xlfn.XLOOKUP(E330,Lookup!$J$3:$J$14,Lookup!$K$3:$K$14)</f>
        <v>November</v>
      </c>
      <c r="Y330" t="str">
        <f>_xlfn.XLOOKUP(G330,Lookup!$M$3:$M$9,Lookup!$N$3:$N$9)</f>
        <v>Friday</v>
      </c>
    </row>
    <row r="331" spans="1:25" x14ac:dyDescent="0.3">
      <c r="A331">
        <v>330</v>
      </c>
      <c r="B331" s="1">
        <v>40873</v>
      </c>
      <c r="C331">
        <v>4</v>
      </c>
      <c r="D331">
        <v>0</v>
      </c>
      <c r="E331">
        <v>11</v>
      </c>
      <c r="F331">
        <v>0</v>
      </c>
      <c r="G331">
        <v>6</v>
      </c>
      <c r="H331">
        <v>0</v>
      </c>
      <c r="I331">
        <v>1</v>
      </c>
      <c r="J331">
        <v>0.37583299999999997</v>
      </c>
      <c r="K331">
        <v>0.38508700000000001</v>
      </c>
      <c r="L331">
        <v>0.68166700000000002</v>
      </c>
      <c r="M331">
        <v>6.8420800000000004E-2</v>
      </c>
      <c r="N331">
        <v>1249</v>
      </c>
      <c r="O331">
        <v>1819</v>
      </c>
      <c r="P331">
        <v>3068</v>
      </c>
      <c r="Q331">
        <f t="shared" si="20"/>
        <v>9.6641510000000004</v>
      </c>
      <c r="R331">
        <f t="shared" si="21"/>
        <v>9.4157420000000016</v>
      </c>
      <c r="S331">
        <f t="shared" si="22"/>
        <v>68.166700000000006</v>
      </c>
      <c r="T331">
        <f t="shared" si="23"/>
        <v>4.5841935999999999</v>
      </c>
      <c r="U331" t="str">
        <f>_xlfn.XLOOKUP(C331,Lookup!$A$3:$A$6,Lookup!$B$3:$B$6)</f>
        <v>Fall</v>
      </c>
      <c r="V331">
        <f>_xlfn.XLOOKUP(D331,Lookup!$D$3:$D$4,Lookup!$E$3:$E$4)</f>
        <v>2011</v>
      </c>
      <c r="W331" t="str">
        <f>_xlfn.XLOOKUP(I331,Lookup!$G$3:$G$6,Lookup!$H$3:$H$6)</f>
        <v>Clear</v>
      </c>
      <c r="X331" t="str">
        <f>_xlfn.XLOOKUP(E331,Lookup!$J$3:$J$14,Lookup!$K$3:$K$14)</f>
        <v>November</v>
      </c>
      <c r="Y331" t="str">
        <f>_xlfn.XLOOKUP(G331,Lookup!$M$3:$M$9,Lookup!$N$3:$N$9)</f>
        <v>Saturday</v>
      </c>
    </row>
    <row r="332" spans="1:25" x14ac:dyDescent="0.3">
      <c r="A332">
        <v>331</v>
      </c>
      <c r="B332" s="1">
        <v>40874</v>
      </c>
      <c r="C332">
        <v>4</v>
      </c>
      <c r="D332">
        <v>0</v>
      </c>
      <c r="E332">
        <v>11</v>
      </c>
      <c r="F332">
        <v>0</v>
      </c>
      <c r="G332">
        <v>0</v>
      </c>
      <c r="H332">
        <v>0</v>
      </c>
      <c r="I332">
        <v>1</v>
      </c>
      <c r="J332">
        <v>0.45916699999999999</v>
      </c>
      <c r="K332">
        <v>0.45579999999999998</v>
      </c>
      <c r="L332">
        <v>0.69833299999999998</v>
      </c>
      <c r="M332">
        <v>0.208954</v>
      </c>
      <c r="N332">
        <v>810</v>
      </c>
      <c r="O332">
        <v>2261</v>
      </c>
      <c r="P332">
        <v>3071</v>
      </c>
      <c r="Q332">
        <f t="shared" si="20"/>
        <v>13.580849000000001</v>
      </c>
      <c r="R332">
        <f t="shared" si="21"/>
        <v>14.082799999999999</v>
      </c>
      <c r="S332">
        <f t="shared" si="22"/>
        <v>69.833299999999994</v>
      </c>
      <c r="T332">
        <f t="shared" si="23"/>
        <v>13.999917999999999</v>
      </c>
      <c r="U332" t="str">
        <f>_xlfn.XLOOKUP(C332,Lookup!$A$3:$A$6,Lookup!$B$3:$B$6)</f>
        <v>Fall</v>
      </c>
      <c r="V332">
        <f>_xlfn.XLOOKUP(D332,Lookup!$D$3:$D$4,Lookup!$E$3:$E$4)</f>
        <v>2011</v>
      </c>
      <c r="W332" t="str">
        <f>_xlfn.XLOOKUP(I332,Lookup!$G$3:$G$6,Lookup!$H$3:$H$6)</f>
        <v>Clear</v>
      </c>
      <c r="X332" t="str">
        <f>_xlfn.XLOOKUP(E332,Lookup!$J$3:$J$14,Lookup!$K$3:$K$14)</f>
        <v>November</v>
      </c>
      <c r="Y332" t="str">
        <f>_xlfn.XLOOKUP(G332,Lookup!$M$3:$M$9,Lookup!$N$3:$N$9)</f>
        <v>Sunday</v>
      </c>
    </row>
    <row r="333" spans="1:25" x14ac:dyDescent="0.3">
      <c r="A333">
        <v>332</v>
      </c>
      <c r="B333" s="1">
        <v>40875</v>
      </c>
      <c r="C333">
        <v>4</v>
      </c>
      <c r="D333">
        <v>0</v>
      </c>
      <c r="E333">
        <v>11</v>
      </c>
      <c r="F333">
        <v>0</v>
      </c>
      <c r="G333">
        <v>1</v>
      </c>
      <c r="H333">
        <v>1</v>
      </c>
      <c r="I333">
        <v>1</v>
      </c>
      <c r="J333">
        <v>0.50347799999999998</v>
      </c>
      <c r="K333">
        <v>0.490122</v>
      </c>
      <c r="L333">
        <v>0.74304300000000001</v>
      </c>
      <c r="M333">
        <v>0.142122</v>
      </c>
      <c r="N333">
        <v>253</v>
      </c>
      <c r="O333">
        <v>3614</v>
      </c>
      <c r="P333">
        <v>3867</v>
      </c>
      <c r="Q333">
        <f t="shared" si="20"/>
        <v>15.663466</v>
      </c>
      <c r="R333">
        <f t="shared" si="21"/>
        <v>16.348052000000003</v>
      </c>
      <c r="S333">
        <f t="shared" si="22"/>
        <v>74.304299999999998</v>
      </c>
      <c r="T333">
        <f t="shared" si="23"/>
        <v>9.5221739999999997</v>
      </c>
      <c r="U333" t="str">
        <f>_xlfn.XLOOKUP(C333,Lookup!$A$3:$A$6,Lookup!$B$3:$B$6)</f>
        <v>Fall</v>
      </c>
      <c r="V333">
        <f>_xlfn.XLOOKUP(D333,Lookup!$D$3:$D$4,Lookup!$E$3:$E$4)</f>
        <v>2011</v>
      </c>
      <c r="W333" t="str">
        <f>_xlfn.XLOOKUP(I333,Lookup!$G$3:$G$6,Lookup!$H$3:$H$6)</f>
        <v>Clear</v>
      </c>
      <c r="X333" t="str">
        <f>_xlfn.XLOOKUP(E333,Lookup!$J$3:$J$14,Lookup!$K$3:$K$14)</f>
        <v>November</v>
      </c>
      <c r="Y333" t="str">
        <f>_xlfn.XLOOKUP(G333,Lookup!$M$3:$M$9,Lookup!$N$3:$N$9)</f>
        <v>Monday</v>
      </c>
    </row>
    <row r="334" spans="1:25" x14ac:dyDescent="0.3">
      <c r="A334">
        <v>333</v>
      </c>
      <c r="B334" s="1">
        <v>40876</v>
      </c>
      <c r="C334">
        <v>4</v>
      </c>
      <c r="D334">
        <v>0</v>
      </c>
      <c r="E334">
        <v>11</v>
      </c>
      <c r="F334">
        <v>0</v>
      </c>
      <c r="G334">
        <v>2</v>
      </c>
      <c r="H334">
        <v>1</v>
      </c>
      <c r="I334">
        <v>2</v>
      </c>
      <c r="J334">
        <v>0.45833299999999999</v>
      </c>
      <c r="K334">
        <v>0.45137500000000003</v>
      </c>
      <c r="L334">
        <v>0.83083300000000004</v>
      </c>
      <c r="M334">
        <v>0.25809199999999999</v>
      </c>
      <c r="N334">
        <v>96</v>
      </c>
      <c r="O334">
        <v>2818</v>
      </c>
      <c r="P334">
        <v>2914</v>
      </c>
      <c r="Q334">
        <f t="shared" si="20"/>
        <v>13.541650999999998</v>
      </c>
      <c r="R334">
        <f t="shared" si="21"/>
        <v>13.790750000000003</v>
      </c>
      <c r="S334">
        <f t="shared" si="22"/>
        <v>83.083300000000008</v>
      </c>
      <c r="T334">
        <f t="shared" si="23"/>
        <v>17.292164</v>
      </c>
      <c r="U334" t="str">
        <f>_xlfn.XLOOKUP(C334,Lookup!$A$3:$A$6,Lookup!$B$3:$B$6)</f>
        <v>Fall</v>
      </c>
      <c r="V334">
        <f>_xlfn.XLOOKUP(D334,Lookup!$D$3:$D$4,Lookup!$E$3:$E$4)</f>
        <v>2011</v>
      </c>
      <c r="W334" t="str">
        <f>_xlfn.XLOOKUP(I334,Lookup!$G$3:$G$6,Lookup!$H$3:$H$6)</f>
        <v>Misty/Cloudy</v>
      </c>
      <c r="X334" t="str">
        <f>_xlfn.XLOOKUP(E334,Lookup!$J$3:$J$14,Lookup!$K$3:$K$14)</f>
        <v>November</v>
      </c>
      <c r="Y334" t="str">
        <f>_xlfn.XLOOKUP(G334,Lookup!$M$3:$M$9,Lookup!$N$3:$N$9)</f>
        <v>Tuesday</v>
      </c>
    </row>
    <row r="335" spans="1:25" x14ac:dyDescent="0.3">
      <c r="A335">
        <v>334</v>
      </c>
      <c r="B335" s="1">
        <v>40877</v>
      </c>
      <c r="C335">
        <v>4</v>
      </c>
      <c r="D335">
        <v>0</v>
      </c>
      <c r="E335">
        <v>11</v>
      </c>
      <c r="F335">
        <v>0</v>
      </c>
      <c r="G335">
        <v>3</v>
      </c>
      <c r="H335">
        <v>1</v>
      </c>
      <c r="I335">
        <v>1</v>
      </c>
      <c r="J335">
        <v>0.32500000000000001</v>
      </c>
      <c r="K335">
        <v>0.31122100000000003</v>
      </c>
      <c r="L335">
        <v>0.61333300000000002</v>
      </c>
      <c r="M335">
        <v>0.27115800000000001</v>
      </c>
      <c r="N335">
        <v>188</v>
      </c>
      <c r="O335">
        <v>3425</v>
      </c>
      <c r="P335">
        <v>3613</v>
      </c>
      <c r="Q335">
        <f t="shared" si="20"/>
        <v>7.2750000000000004</v>
      </c>
      <c r="R335">
        <f t="shared" si="21"/>
        <v>4.5405860000000011</v>
      </c>
      <c r="S335">
        <f t="shared" si="22"/>
        <v>61.333300000000001</v>
      </c>
      <c r="T335">
        <f t="shared" si="23"/>
        <v>18.167586</v>
      </c>
      <c r="U335" t="str">
        <f>_xlfn.XLOOKUP(C335,Lookup!$A$3:$A$6,Lookup!$B$3:$B$6)</f>
        <v>Fall</v>
      </c>
      <c r="V335">
        <f>_xlfn.XLOOKUP(D335,Lookup!$D$3:$D$4,Lookup!$E$3:$E$4)</f>
        <v>2011</v>
      </c>
      <c r="W335" t="str">
        <f>_xlfn.XLOOKUP(I335,Lookup!$G$3:$G$6,Lookup!$H$3:$H$6)</f>
        <v>Clear</v>
      </c>
      <c r="X335" t="str">
        <f>_xlfn.XLOOKUP(E335,Lookup!$J$3:$J$14,Lookup!$K$3:$K$14)</f>
        <v>November</v>
      </c>
      <c r="Y335" t="str">
        <f>_xlfn.XLOOKUP(G335,Lookup!$M$3:$M$9,Lookup!$N$3:$N$9)</f>
        <v>Wednesday</v>
      </c>
    </row>
    <row r="336" spans="1:25" x14ac:dyDescent="0.3">
      <c r="A336">
        <v>335</v>
      </c>
      <c r="B336" s="1">
        <v>40878</v>
      </c>
      <c r="C336">
        <v>4</v>
      </c>
      <c r="D336">
        <v>0</v>
      </c>
      <c r="E336">
        <v>12</v>
      </c>
      <c r="F336">
        <v>0</v>
      </c>
      <c r="G336">
        <v>4</v>
      </c>
      <c r="H336">
        <v>1</v>
      </c>
      <c r="I336">
        <v>1</v>
      </c>
      <c r="J336">
        <v>0.3125</v>
      </c>
      <c r="K336">
        <v>0.30555399999999999</v>
      </c>
      <c r="L336">
        <v>0.52458300000000002</v>
      </c>
      <c r="M336">
        <v>0.22015799999999999</v>
      </c>
      <c r="N336">
        <v>182</v>
      </c>
      <c r="O336">
        <v>3545</v>
      </c>
      <c r="P336">
        <v>3727</v>
      </c>
      <c r="Q336">
        <f t="shared" si="20"/>
        <v>6.6875</v>
      </c>
      <c r="R336">
        <f t="shared" si="21"/>
        <v>4.166564000000001</v>
      </c>
      <c r="S336">
        <f t="shared" si="22"/>
        <v>52.458300000000001</v>
      </c>
      <c r="T336">
        <f t="shared" si="23"/>
        <v>14.750586</v>
      </c>
      <c r="U336" t="str">
        <f>_xlfn.XLOOKUP(C336,Lookup!$A$3:$A$6,Lookup!$B$3:$B$6)</f>
        <v>Fall</v>
      </c>
      <c r="V336">
        <f>_xlfn.XLOOKUP(D336,Lookup!$D$3:$D$4,Lookup!$E$3:$E$4)</f>
        <v>2011</v>
      </c>
      <c r="W336" t="str">
        <f>_xlfn.XLOOKUP(I336,Lookup!$G$3:$G$6,Lookup!$H$3:$H$6)</f>
        <v>Clear</v>
      </c>
      <c r="X336" t="str">
        <f>_xlfn.XLOOKUP(E336,Lookup!$J$3:$J$14,Lookup!$K$3:$K$14)</f>
        <v>December</v>
      </c>
      <c r="Y336" t="str">
        <f>_xlfn.XLOOKUP(G336,Lookup!$M$3:$M$9,Lookup!$N$3:$N$9)</f>
        <v>Thursday</v>
      </c>
    </row>
    <row r="337" spans="1:25" x14ac:dyDescent="0.3">
      <c r="A337">
        <v>336</v>
      </c>
      <c r="B337" s="1">
        <v>40879</v>
      </c>
      <c r="C337">
        <v>4</v>
      </c>
      <c r="D337">
        <v>0</v>
      </c>
      <c r="E337">
        <v>12</v>
      </c>
      <c r="F337">
        <v>0</v>
      </c>
      <c r="G337">
        <v>5</v>
      </c>
      <c r="H337">
        <v>1</v>
      </c>
      <c r="I337">
        <v>1</v>
      </c>
      <c r="J337">
        <v>0.31416699999999997</v>
      </c>
      <c r="K337">
        <v>0.33143299999999998</v>
      </c>
      <c r="L337">
        <v>0.62583299999999997</v>
      </c>
      <c r="M337">
        <v>0.100754</v>
      </c>
      <c r="N337">
        <v>268</v>
      </c>
      <c r="O337">
        <v>3672</v>
      </c>
      <c r="P337">
        <v>3940</v>
      </c>
      <c r="Q337">
        <f t="shared" si="20"/>
        <v>6.7658489999999993</v>
      </c>
      <c r="R337">
        <f t="shared" si="21"/>
        <v>5.8745779999999996</v>
      </c>
      <c r="S337">
        <f t="shared" si="22"/>
        <v>62.583299999999994</v>
      </c>
      <c r="T337">
        <f t="shared" si="23"/>
        <v>6.7505179999999996</v>
      </c>
      <c r="U337" t="str">
        <f>_xlfn.XLOOKUP(C337,Lookup!$A$3:$A$6,Lookup!$B$3:$B$6)</f>
        <v>Fall</v>
      </c>
      <c r="V337">
        <f>_xlfn.XLOOKUP(D337,Lookup!$D$3:$D$4,Lookup!$E$3:$E$4)</f>
        <v>2011</v>
      </c>
      <c r="W337" t="str">
        <f>_xlfn.XLOOKUP(I337,Lookup!$G$3:$G$6,Lookup!$H$3:$H$6)</f>
        <v>Clear</v>
      </c>
      <c r="X337" t="str">
        <f>_xlfn.XLOOKUP(E337,Lookup!$J$3:$J$14,Lookup!$K$3:$K$14)</f>
        <v>December</v>
      </c>
      <c r="Y337" t="str">
        <f>_xlfn.XLOOKUP(G337,Lookup!$M$3:$M$9,Lookup!$N$3:$N$9)</f>
        <v>Friday</v>
      </c>
    </row>
    <row r="338" spans="1:25" x14ac:dyDescent="0.3">
      <c r="A338">
        <v>337</v>
      </c>
      <c r="B338" s="1">
        <v>40880</v>
      </c>
      <c r="C338">
        <v>4</v>
      </c>
      <c r="D338">
        <v>0</v>
      </c>
      <c r="E338">
        <v>12</v>
      </c>
      <c r="F338">
        <v>0</v>
      </c>
      <c r="G338">
        <v>6</v>
      </c>
      <c r="H338">
        <v>0</v>
      </c>
      <c r="I338">
        <v>1</v>
      </c>
      <c r="J338">
        <v>0.29916700000000002</v>
      </c>
      <c r="K338">
        <v>0.31060399999999999</v>
      </c>
      <c r="L338">
        <v>0.61291700000000005</v>
      </c>
      <c r="M338">
        <v>9.5783300000000002E-2</v>
      </c>
      <c r="N338">
        <v>706</v>
      </c>
      <c r="O338">
        <v>2908</v>
      </c>
      <c r="P338">
        <v>3614</v>
      </c>
      <c r="Q338">
        <f t="shared" si="20"/>
        <v>6.060849000000001</v>
      </c>
      <c r="R338">
        <f t="shared" si="21"/>
        <v>4.4998639999999988</v>
      </c>
      <c r="S338">
        <f t="shared" si="22"/>
        <v>61.291700000000006</v>
      </c>
      <c r="T338">
        <f t="shared" si="23"/>
        <v>6.4174810999999998</v>
      </c>
      <c r="U338" t="str">
        <f>_xlfn.XLOOKUP(C338,Lookup!$A$3:$A$6,Lookup!$B$3:$B$6)</f>
        <v>Fall</v>
      </c>
      <c r="V338">
        <f>_xlfn.XLOOKUP(D338,Lookup!$D$3:$D$4,Lookup!$E$3:$E$4)</f>
        <v>2011</v>
      </c>
      <c r="W338" t="str">
        <f>_xlfn.XLOOKUP(I338,Lookup!$G$3:$G$6,Lookup!$H$3:$H$6)</f>
        <v>Clear</v>
      </c>
      <c r="X338" t="str">
        <f>_xlfn.XLOOKUP(E338,Lookup!$J$3:$J$14,Lookup!$K$3:$K$14)</f>
        <v>December</v>
      </c>
      <c r="Y338" t="str">
        <f>_xlfn.XLOOKUP(G338,Lookup!$M$3:$M$9,Lookup!$N$3:$N$9)</f>
        <v>Saturday</v>
      </c>
    </row>
    <row r="339" spans="1:25" x14ac:dyDescent="0.3">
      <c r="A339">
        <v>338</v>
      </c>
      <c r="B339" s="1">
        <v>40881</v>
      </c>
      <c r="C339">
        <v>4</v>
      </c>
      <c r="D339">
        <v>0</v>
      </c>
      <c r="E339">
        <v>12</v>
      </c>
      <c r="F339">
        <v>0</v>
      </c>
      <c r="G339">
        <v>0</v>
      </c>
      <c r="H339">
        <v>0</v>
      </c>
      <c r="I339">
        <v>1</v>
      </c>
      <c r="J339">
        <v>0.33083299999999999</v>
      </c>
      <c r="K339">
        <v>0.34910000000000002</v>
      </c>
      <c r="L339">
        <v>0.77583299999999999</v>
      </c>
      <c r="M339">
        <v>8.39583E-2</v>
      </c>
      <c r="N339">
        <v>634</v>
      </c>
      <c r="O339">
        <v>2851</v>
      </c>
      <c r="P339">
        <v>3485</v>
      </c>
      <c r="Q339">
        <f t="shared" si="20"/>
        <v>7.5491510000000002</v>
      </c>
      <c r="R339">
        <f t="shared" si="21"/>
        <v>7.0406000000000013</v>
      </c>
      <c r="S339">
        <f t="shared" si="22"/>
        <v>77.583299999999994</v>
      </c>
      <c r="T339">
        <f t="shared" si="23"/>
        <v>5.6252060999999998</v>
      </c>
      <c r="U339" t="str">
        <f>_xlfn.XLOOKUP(C339,Lookup!$A$3:$A$6,Lookup!$B$3:$B$6)</f>
        <v>Fall</v>
      </c>
      <c r="V339">
        <f>_xlfn.XLOOKUP(D339,Lookup!$D$3:$D$4,Lookup!$E$3:$E$4)</f>
        <v>2011</v>
      </c>
      <c r="W339" t="str">
        <f>_xlfn.XLOOKUP(I339,Lookup!$G$3:$G$6,Lookup!$H$3:$H$6)</f>
        <v>Clear</v>
      </c>
      <c r="X339" t="str">
        <f>_xlfn.XLOOKUP(E339,Lookup!$J$3:$J$14,Lookup!$K$3:$K$14)</f>
        <v>December</v>
      </c>
      <c r="Y339" t="str">
        <f>_xlfn.XLOOKUP(G339,Lookup!$M$3:$M$9,Lookup!$N$3:$N$9)</f>
        <v>Sunday</v>
      </c>
    </row>
    <row r="340" spans="1:25" x14ac:dyDescent="0.3">
      <c r="A340">
        <v>339</v>
      </c>
      <c r="B340" s="1">
        <v>40882</v>
      </c>
      <c r="C340">
        <v>4</v>
      </c>
      <c r="D340">
        <v>0</v>
      </c>
      <c r="E340">
        <v>12</v>
      </c>
      <c r="F340">
        <v>0</v>
      </c>
      <c r="G340">
        <v>1</v>
      </c>
      <c r="H340">
        <v>1</v>
      </c>
      <c r="I340">
        <v>2</v>
      </c>
      <c r="J340">
        <v>0.38583299999999998</v>
      </c>
      <c r="K340">
        <v>0.39392500000000003</v>
      </c>
      <c r="L340">
        <v>0.82708300000000001</v>
      </c>
      <c r="M340">
        <v>6.2208300000000001E-2</v>
      </c>
      <c r="N340">
        <v>233</v>
      </c>
      <c r="O340">
        <v>3578</v>
      </c>
      <c r="P340">
        <v>3811</v>
      </c>
      <c r="Q340">
        <f t="shared" si="20"/>
        <v>10.134150999999999</v>
      </c>
      <c r="R340">
        <f t="shared" si="21"/>
        <v>9.9990500000000004</v>
      </c>
      <c r="S340">
        <f t="shared" si="22"/>
        <v>82.708300000000008</v>
      </c>
      <c r="T340">
        <f t="shared" si="23"/>
        <v>4.1679561000000005</v>
      </c>
      <c r="U340" t="str">
        <f>_xlfn.XLOOKUP(C340,Lookup!$A$3:$A$6,Lookup!$B$3:$B$6)</f>
        <v>Fall</v>
      </c>
      <c r="V340">
        <f>_xlfn.XLOOKUP(D340,Lookup!$D$3:$D$4,Lookup!$E$3:$E$4)</f>
        <v>2011</v>
      </c>
      <c r="W340" t="str">
        <f>_xlfn.XLOOKUP(I340,Lookup!$G$3:$G$6,Lookup!$H$3:$H$6)</f>
        <v>Misty/Cloudy</v>
      </c>
      <c r="X340" t="str">
        <f>_xlfn.XLOOKUP(E340,Lookup!$J$3:$J$14,Lookup!$K$3:$K$14)</f>
        <v>December</v>
      </c>
      <c r="Y340" t="str">
        <f>_xlfn.XLOOKUP(G340,Lookup!$M$3:$M$9,Lookup!$N$3:$N$9)</f>
        <v>Monday</v>
      </c>
    </row>
    <row r="341" spans="1:25" x14ac:dyDescent="0.3">
      <c r="A341">
        <v>340</v>
      </c>
      <c r="B341" s="1">
        <v>40883</v>
      </c>
      <c r="C341">
        <v>4</v>
      </c>
      <c r="D341">
        <v>0</v>
      </c>
      <c r="E341">
        <v>12</v>
      </c>
      <c r="F341">
        <v>0</v>
      </c>
      <c r="G341">
        <v>2</v>
      </c>
      <c r="H341">
        <v>1</v>
      </c>
      <c r="I341">
        <v>3</v>
      </c>
      <c r="J341">
        <v>0.46250000000000002</v>
      </c>
      <c r="K341">
        <v>0.45639999999999997</v>
      </c>
      <c r="L341">
        <v>0.94958299999999995</v>
      </c>
      <c r="M341">
        <v>0.23258300000000001</v>
      </c>
      <c r="N341">
        <v>126</v>
      </c>
      <c r="O341">
        <v>2468</v>
      </c>
      <c r="P341">
        <v>2594</v>
      </c>
      <c r="Q341">
        <f t="shared" si="20"/>
        <v>13.737500000000001</v>
      </c>
      <c r="R341">
        <f t="shared" si="21"/>
        <v>14.122399999999999</v>
      </c>
      <c r="S341">
        <f t="shared" si="22"/>
        <v>94.958299999999994</v>
      </c>
      <c r="T341">
        <f t="shared" si="23"/>
        <v>15.583061000000001</v>
      </c>
      <c r="U341" t="str">
        <f>_xlfn.XLOOKUP(C341,Lookup!$A$3:$A$6,Lookup!$B$3:$B$6)</f>
        <v>Fall</v>
      </c>
      <c r="V341">
        <f>_xlfn.XLOOKUP(D341,Lookup!$D$3:$D$4,Lookup!$E$3:$E$4)</f>
        <v>2011</v>
      </c>
      <c r="W341" t="str">
        <f>_xlfn.XLOOKUP(I341,Lookup!$G$3:$G$6,Lookup!$H$3:$H$6)</f>
        <v>Light Snow/Rain</v>
      </c>
      <c r="X341" t="str">
        <f>_xlfn.XLOOKUP(E341,Lookup!$J$3:$J$14,Lookup!$K$3:$K$14)</f>
        <v>December</v>
      </c>
      <c r="Y341" t="str">
        <f>_xlfn.XLOOKUP(G341,Lookup!$M$3:$M$9,Lookup!$N$3:$N$9)</f>
        <v>Tuesday</v>
      </c>
    </row>
    <row r="342" spans="1:25" x14ac:dyDescent="0.3">
      <c r="A342">
        <v>341</v>
      </c>
      <c r="B342" s="1">
        <v>40884</v>
      </c>
      <c r="C342">
        <v>4</v>
      </c>
      <c r="D342">
        <v>0</v>
      </c>
      <c r="E342">
        <v>12</v>
      </c>
      <c r="F342">
        <v>0</v>
      </c>
      <c r="G342">
        <v>3</v>
      </c>
      <c r="H342">
        <v>1</v>
      </c>
      <c r="I342">
        <v>3</v>
      </c>
      <c r="J342">
        <v>0.41</v>
      </c>
      <c r="K342">
        <v>0.40024599999999999</v>
      </c>
      <c r="L342">
        <v>0.97041699999999997</v>
      </c>
      <c r="M342">
        <v>0.26617499999999999</v>
      </c>
      <c r="N342">
        <v>50</v>
      </c>
      <c r="O342">
        <v>655</v>
      </c>
      <c r="P342">
        <v>705</v>
      </c>
      <c r="Q342">
        <f t="shared" si="20"/>
        <v>11.27</v>
      </c>
      <c r="R342">
        <f t="shared" si="21"/>
        <v>10.416235999999998</v>
      </c>
      <c r="S342">
        <f t="shared" si="22"/>
        <v>97.041699999999992</v>
      </c>
      <c r="T342">
        <f t="shared" si="23"/>
        <v>17.833725000000001</v>
      </c>
      <c r="U342" t="str">
        <f>_xlfn.XLOOKUP(C342,Lookup!$A$3:$A$6,Lookup!$B$3:$B$6)</f>
        <v>Fall</v>
      </c>
      <c r="V342">
        <f>_xlfn.XLOOKUP(D342,Lookup!$D$3:$D$4,Lookup!$E$3:$E$4)</f>
        <v>2011</v>
      </c>
      <c r="W342" t="str">
        <f>_xlfn.XLOOKUP(I342,Lookup!$G$3:$G$6,Lookup!$H$3:$H$6)</f>
        <v>Light Snow/Rain</v>
      </c>
      <c r="X342" t="str">
        <f>_xlfn.XLOOKUP(E342,Lookup!$J$3:$J$14,Lookup!$K$3:$K$14)</f>
        <v>December</v>
      </c>
      <c r="Y342" t="str">
        <f>_xlfn.XLOOKUP(G342,Lookup!$M$3:$M$9,Lookup!$N$3:$N$9)</f>
        <v>Wednesday</v>
      </c>
    </row>
    <row r="343" spans="1:25" x14ac:dyDescent="0.3">
      <c r="A343">
        <v>342</v>
      </c>
      <c r="B343" s="1">
        <v>40885</v>
      </c>
      <c r="C343">
        <v>4</v>
      </c>
      <c r="D343">
        <v>0</v>
      </c>
      <c r="E343">
        <v>12</v>
      </c>
      <c r="F343">
        <v>0</v>
      </c>
      <c r="G343">
        <v>4</v>
      </c>
      <c r="H343">
        <v>1</v>
      </c>
      <c r="I343">
        <v>1</v>
      </c>
      <c r="J343">
        <v>0.26583299999999999</v>
      </c>
      <c r="K343">
        <v>0.256938</v>
      </c>
      <c r="L343">
        <v>0.57999999999999996</v>
      </c>
      <c r="M343">
        <v>0.24005799999999999</v>
      </c>
      <c r="N343">
        <v>150</v>
      </c>
      <c r="O343">
        <v>3172</v>
      </c>
      <c r="P343">
        <v>3322</v>
      </c>
      <c r="Q343">
        <f t="shared" si="20"/>
        <v>4.4941509999999987</v>
      </c>
      <c r="R343">
        <f t="shared" si="21"/>
        <v>0.95790799999999976</v>
      </c>
      <c r="S343">
        <f t="shared" si="22"/>
        <v>57.999999999999993</v>
      </c>
      <c r="T343">
        <f t="shared" si="23"/>
        <v>16.083886</v>
      </c>
      <c r="U343" t="str">
        <f>_xlfn.XLOOKUP(C343,Lookup!$A$3:$A$6,Lookup!$B$3:$B$6)</f>
        <v>Fall</v>
      </c>
      <c r="V343">
        <f>_xlfn.XLOOKUP(D343,Lookup!$D$3:$D$4,Lookup!$E$3:$E$4)</f>
        <v>2011</v>
      </c>
      <c r="W343" t="str">
        <f>_xlfn.XLOOKUP(I343,Lookup!$G$3:$G$6,Lookup!$H$3:$H$6)</f>
        <v>Clear</v>
      </c>
      <c r="X343" t="str">
        <f>_xlfn.XLOOKUP(E343,Lookup!$J$3:$J$14,Lookup!$K$3:$K$14)</f>
        <v>December</v>
      </c>
      <c r="Y343" t="str">
        <f>_xlfn.XLOOKUP(G343,Lookup!$M$3:$M$9,Lookup!$N$3:$N$9)</f>
        <v>Thursday</v>
      </c>
    </row>
    <row r="344" spans="1:25" x14ac:dyDescent="0.3">
      <c r="A344">
        <v>343</v>
      </c>
      <c r="B344" s="1">
        <v>40886</v>
      </c>
      <c r="C344">
        <v>4</v>
      </c>
      <c r="D344">
        <v>0</v>
      </c>
      <c r="E344">
        <v>12</v>
      </c>
      <c r="F344">
        <v>0</v>
      </c>
      <c r="G344">
        <v>5</v>
      </c>
      <c r="H344">
        <v>1</v>
      </c>
      <c r="I344">
        <v>1</v>
      </c>
      <c r="J344">
        <v>0.29083300000000001</v>
      </c>
      <c r="K344">
        <v>0.31754199999999999</v>
      </c>
      <c r="L344">
        <v>0.69583300000000003</v>
      </c>
      <c r="M344">
        <v>8.2716700000000004E-2</v>
      </c>
      <c r="N344">
        <v>261</v>
      </c>
      <c r="O344">
        <v>3359</v>
      </c>
      <c r="P344">
        <v>3620</v>
      </c>
      <c r="Q344">
        <f t="shared" si="20"/>
        <v>5.6691510000000012</v>
      </c>
      <c r="R344">
        <f t="shared" si="21"/>
        <v>4.9577719999999985</v>
      </c>
      <c r="S344">
        <f t="shared" si="22"/>
        <v>69.583300000000008</v>
      </c>
      <c r="T344">
        <f t="shared" si="23"/>
        <v>5.5420189000000004</v>
      </c>
      <c r="U344" t="str">
        <f>_xlfn.XLOOKUP(C344,Lookup!$A$3:$A$6,Lookup!$B$3:$B$6)</f>
        <v>Fall</v>
      </c>
      <c r="V344">
        <f>_xlfn.XLOOKUP(D344,Lookup!$D$3:$D$4,Lookup!$E$3:$E$4)</f>
        <v>2011</v>
      </c>
      <c r="W344" t="str">
        <f>_xlfn.XLOOKUP(I344,Lookup!$G$3:$G$6,Lookup!$H$3:$H$6)</f>
        <v>Clear</v>
      </c>
      <c r="X344" t="str">
        <f>_xlfn.XLOOKUP(E344,Lookup!$J$3:$J$14,Lookup!$K$3:$K$14)</f>
        <v>December</v>
      </c>
      <c r="Y344" t="str">
        <f>_xlfn.XLOOKUP(G344,Lookup!$M$3:$M$9,Lookup!$N$3:$N$9)</f>
        <v>Friday</v>
      </c>
    </row>
    <row r="345" spans="1:25" x14ac:dyDescent="0.3">
      <c r="A345">
        <v>344</v>
      </c>
      <c r="B345" s="1">
        <v>40887</v>
      </c>
      <c r="C345">
        <v>4</v>
      </c>
      <c r="D345">
        <v>0</v>
      </c>
      <c r="E345">
        <v>12</v>
      </c>
      <c r="F345">
        <v>0</v>
      </c>
      <c r="G345">
        <v>6</v>
      </c>
      <c r="H345">
        <v>0</v>
      </c>
      <c r="I345">
        <v>1</v>
      </c>
      <c r="J345">
        <v>0.27500000000000002</v>
      </c>
      <c r="K345">
        <v>0.26641199999999998</v>
      </c>
      <c r="L345">
        <v>0.50749999999999995</v>
      </c>
      <c r="M345">
        <v>0.23322100000000001</v>
      </c>
      <c r="N345">
        <v>502</v>
      </c>
      <c r="O345">
        <v>2688</v>
      </c>
      <c r="P345">
        <v>3190</v>
      </c>
      <c r="Q345">
        <f t="shared" si="20"/>
        <v>4.9250000000000007</v>
      </c>
      <c r="R345">
        <f t="shared" si="21"/>
        <v>1.5831920000000004</v>
      </c>
      <c r="S345">
        <f t="shared" si="22"/>
        <v>50.749999999999993</v>
      </c>
      <c r="T345">
        <f t="shared" si="23"/>
        <v>15.625807</v>
      </c>
      <c r="U345" t="str">
        <f>_xlfn.XLOOKUP(C345,Lookup!$A$3:$A$6,Lookup!$B$3:$B$6)</f>
        <v>Fall</v>
      </c>
      <c r="V345">
        <f>_xlfn.XLOOKUP(D345,Lookup!$D$3:$D$4,Lookup!$E$3:$E$4)</f>
        <v>2011</v>
      </c>
      <c r="W345" t="str">
        <f>_xlfn.XLOOKUP(I345,Lookup!$G$3:$G$6,Lookup!$H$3:$H$6)</f>
        <v>Clear</v>
      </c>
      <c r="X345" t="str">
        <f>_xlfn.XLOOKUP(E345,Lookup!$J$3:$J$14,Lookup!$K$3:$K$14)</f>
        <v>December</v>
      </c>
      <c r="Y345" t="str">
        <f>_xlfn.XLOOKUP(G345,Lookup!$M$3:$M$9,Lookup!$N$3:$N$9)</f>
        <v>Saturday</v>
      </c>
    </row>
    <row r="346" spans="1:25" x14ac:dyDescent="0.3">
      <c r="A346">
        <v>345</v>
      </c>
      <c r="B346" s="1">
        <v>40888</v>
      </c>
      <c r="C346">
        <v>4</v>
      </c>
      <c r="D346">
        <v>0</v>
      </c>
      <c r="E346">
        <v>12</v>
      </c>
      <c r="F346">
        <v>0</v>
      </c>
      <c r="G346">
        <v>0</v>
      </c>
      <c r="H346">
        <v>0</v>
      </c>
      <c r="I346">
        <v>1</v>
      </c>
      <c r="J346">
        <v>0.220833</v>
      </c>
      <c r="K346">
        <v>0.25315399999999999</v>
      </c>
      <c r="L346">
        <v>0.49</v>
      </c>
      <c r="M346">
        <v>6.6541699999999995E-2</v>
      </c>
      <c r="N346">
        <v>377</v>
      </c>
      <c r="O346">
        <v>2366</v>
      </c>
      <c r="P346">
        <v>2743</v>
      </c>
      <c r="Q346">
        <f t="shared" si="20"/>
        <v>2.3791510000000002</v>
      </c>
      <c r="R346">
        <f t="shared" si="21"/>
        <v>0.70816400000000002</v>
      </c>
      <c r="S346">
        <f t="shared" si="22"/>
        <v>49</v>
      </c>
      <c r="T346">
        <f t="shared" si="23"/>
        <v>4.4582938999999993</v>
      </c>
      <c r="U346" t="str">
        <f>_xlfn.XLOOKUP(C346,Lookup!$A$3:$A$6,Lookup!$B$3:$B$6)</f>
        <v>Fall</v>
      </c>
      <c r="V346">
        <f>_xlfn.XLOOKUP(D346,Lookup!$D$3:$D$4,Lookup!$E$3:$E$4)</f>
        <v>2011</v>
      </c>
      <c r="W346" t="str">
        <f>_xlfn.XLOOKUP(I346,Lookup!$G$3:$G$6,Lookup!$H$3:$H$6)</f>
        <v>Clear</v>
      </c>
      <c r="X346" t="str">
        <f>_xlfn.XLOOKUP(E346,Lookup!$J$3:$J$14,Lookup!$K$3:$K$14)</f>
        <v>December</v>
      </c>
      <c r="Y346" t="str">
        <f>_xlfn.XLOOKUP(G346,Lookup!$M$3:$M$9,Lookup!$N$3:$N$9)</f>
        <v>Sunday</v>
      </c>
    </row>
    <row r="347" spans="1:25" x14ac:dyDescent="0.3">
      <c r="A347">
        <v>346</v>
      </c>
      <c r="B347" s="1">
        <v>40889</v>
      </c>
      <c r="C347">
        <v>4</v>
      </c>
      <c r="D347">
        <v>0</v>
      </c>
      <c r="E347">
        <v>12</v>
      </c>
      <c r="F347">
        <v>0</v>
      </c>
      <c r="G347">
        <v>1</v>
      </c>
      <c r="H347">
        <v>1</v>
      </c>
      <c r="I347">
        <v>1</v>
      </c>
      <c r="J347">
        <v>0.23833299999999999</v>
      </c>
      <c r="K347">
        <v>0.27019599999999999</v>
      </c>
      <c r="L347">
        <v>0.67083300000000001</v>
      </c>
      <c r="M347">
        <v>6.3450000000000006E-2</v>
      </c>
      <c r="N347">
        <v>143</v>
      </c>
      <c r="O347">
        <v>3167</v>
      </c>
      <c r="P347">
        <v>3310</v>
      </c>
      <c r="Q347">
        <f t="shared" si="20"/>
        <v>3.201651</v>
      </c>
      <c r="R347">
        <f t="shared" si="21"/>
        <v>1.8329360000000001</v>
      </c>
      <c r="S347">
        <f t="shared" si="22"/>
        <v>67.083300000000008</v>
      </c>
      <c r="T347">
        <f t="shared" si="23"/>
        <v>4.2511500000000009</v>
      </c>
      <c r="U347" t="str">
        <f>_xlfn.XLOOKUP(C347,Lookup!$A$3:$A$6,Lookup!$B$3:$B$6)</f>
        <v>Fall</v>
      </c>
      <c r="V347">
        <f>_xlfn.XLOOKUP(D347,Lookup!$D$3:$D$4,Lookup!$E$3:$E$4)</f>
        <v>2011</v>
      </c>
      <c r="W347" t="str">
        <f>_xlfn.XLOOKUP(I347,Lookup!$G$3:$G$6,Lookup!$H$3:$H$6)</f>
        <v>Clear</v>
      </c>
      <c r="X347" t="str">
        <f>_xlfn.XLOOKUP(E347,Lookup!$J$3:$J$14,Lookup!$K$3:$K$14)</f>
        <v>December</v>
      </c>
      <c r="Y347" t="str">
        <f>_xlfn.XLOOKUP(G347,Lookup!$M$3:$M$9,Lookup!$N$3:$N$9)</f>
        <v>Monday</v>
      </c>
    </row>
    <row r="348" spans="1:25" x14ac:dyDescent="0.3">
      <c r="A348">
        <v>347</v>
      </c>
      <c r="B348" s="1">
        <v>40890</v>
      </c>
      <c r="C348">
        <v>4</v>
      </c>
      <c r="D348">
        <v>0</v>
      </c>
      <c r="E348">
        <v>12</v>
      </c>
      <c r="F348">
        <v>0</v>
      </c>
      <c r="G348">
        <v>2</v>
      </c>
      <c r="H348">
        <v>1</v>
      </c>
      <c r="I348">
        <v>1</v>
      </c>
      <c r="J348">
        <v>0.28249999999999997</v>
      </c>
      <c r="K348">
        <v>0.30113800000000002</v>
      </c>
      <c r="L348">
        <v>0.59</v>
      </c>
      <c r="M348">
        <v>0.14055000000000001</v>
      </c>
      <c r="N348">
        <v>155</v>
      </c>
      <c r="O348">
        <v>3368</v>
      </c>
      <c r="P348">
        <v>3523</v>
      </c>
      <c r="Q348">
        <f t="shared" si="20"/>
        <v>5.2774999999999981</v>
      </c>
      <c r="R348">
        <f t="shared" si="21"/>
        <v>3.8751080000000009</v>
      </c>
      <c r="S348">
        <f t="shared" si="22"/>
        <v>59</v>
      </c>
      <c r="T348">
        <f t="shared" si="23"/>
        <v>9.4168500000000002</v>
      </c>
      <c r="U348" t="str">
        <f>_xlfn.XLOOKUP(C348,Lookup!$A$3:$A$6,Lookup!$B$3:$B$6)</f>
        <v>Fall</v>
      </c>
      <c r="V348">
        <f>_xlfn.XLOOKUP(D348,Lookup!$D$3:$D$4,Lookup!$E$3:$E$4)</f>
        <v>2011</v>
      </c>
      <c r="W348" t="str">
        <f>_xlfn.XLOOKUP(I348,Lookup!$G$3:$G$6,Lookup!$H$3:$H$6)</f>
        <v>Clear</v>
      </c>
      <c r="X348" t="str">
        <f>_xlfn.XLOOKUP(E348,Lookup!$J$3:$J$14,Lookup!$K$3:$K$14)</f>
        <v>December</v>
      </c>
      <c r="Y348" t="str">
        <f>_xlfn.XLOOKUP(G348,Lookup!$M$3:$M$9,Lookup!$N$3:$N$9)</f>
        <v>Tuesday</v>
      </c>
    </row>
    <row r="349" spans="1:25" x14ac:dyDescent="0.3">
      <c r="A349">
        <v>348</v>
      </c>
      <c r="B349" s="1">
        <v>40891</v>
      </c>
      <c r="C349">
        <v>4</v>
      </c>
      <c r="D349">
        <v>0</v>
      </c>
      <c r="E349">
        <v>12</v>
      </c>
      <c r="F349">
        <v>0</v>
      </c>
      <c r="G349">
        <v>3</v>
      </c>
      <c r="H349">
        <v>1</v>
      </c>
      <c r="I349">
        <v>2</v>
      </c>
      <c r="J349">
        <v>0.3175</v>
      </c>
      <c r="K349">
        <v>0.338362</v>
      </c>
      <c r="L349">
        <v>0.66374999999999995</v>
      </c>
      <c r="M349">
        <v>6.09583E-2</v>
      </c>
      <c r="N349">
        <v>178</v>
      </c>
      <c r="O349">
        <v>3562</v>
      </c>
      <c r="P349">
        <v>3740</v>
      </c>
      <c r="Q349">
        <f t="shared" si="20"/>
        <v>6.9224999999999994</v>
      </c>
      <c r="R349">
        <f t="shared" si="21"/>
        <v>6.3318919999999999</v>
      </c>
      <c r="S349">
        <f t="shared" si="22"/>
        <v>66.375</v>
      </c>
      <c r="T349">
        <f t="shared" si="23"/>
        <v>4.0842061000000003</v>
      </c>
      <c r="U349" t="str">
        <f>_xlfn.XLOOKUP(C349,Lookup!$A$3:$A$6,Lookup!$B$3:$B$6)</f>
        <v>Fall</v>
      </c>
      <c r="V349">
        <f>_xlfn.XLOOKUP(D349,Lookup!$D$3:$D$4,Lookup!$E$3:$E$4)</f>
        <v>2011</v>
      </c>
      <c r="W349" t="str">
        <f>_xlfn.XLOOKUP(I349,Lookup!$G$3:$G$6,Lookup!$H$3:$H$6)</f>
        <v>Misty/Cloudy</v>
      </c>
      <c r="X349" t="str">
        <f>_xlfn.XLOOKUP(E349,Lookup!$J$3:$J$14,Lookup!$K$3:$K$14)</f>
        <v>December</v>
      </c>
      <c r="Y349" t="str">
        <f>_xlfn.XLOOKUP(G349,Lookup!$M$3:$M$9,Lookup!$N$3:$N$9)</f>
        <v>Wednesday</v>
      </c>
    </row>
    <row r="350" spans="1:25" x14ac:dyDescent="0.3">
      <c r="A350">
        <v>349</v>
      </c>
      <c r="B350" s="1">
        <v>40892</v>
      </c>
      <c r="C350">
        <v>4</v>
      </c>
      <c r="D350">
        <v>0</v>
      </c>
      <c r="E350">
        <v>12</v>
      </c>
      <c r="F350">
        <v>0</v>
      </c>
      <c r="G350">
        <v>4</v>
      </c>
      <c r="H350">
        <v>1</v>
      </c>
      <c r="I350">
        <v>2</v>
      </c>
      <c r="J350">
        <v>0.42249999999999999</v>
      </c>
      <c r="K350">
        <v>0.41223700000000002</v>
      </c>
      <c r="L350">
        <v>0.63416700000000004</v>
      </c>
      <c r="M350">
        <v>0.268042</v>
      </c>
      <c r="N350">
        <v>181</v>
      </c>
      <c r="O350">
        <v>3528</v>
      </c>
      <c r="P350">
        <v>3709</v>
      </c>
      <c r="Q350">
        <f t="shared" si="20"/>
        <v>11.857499999999998</v>
      </c>
      <c r="R350">
        <f t="shared" si="21"/>
        <v>11.207642</v>
      </c>
      <c r="S350">
        <f t="shared" si="22"/>
        <v>63.416700000000006</v>
      </c>
      <c r="T350">
        <f t="shared" si="23"/>
        <v>17.958814</v>
      </c>
      <c r="U350" t="str">
        <f>_xlfn.XLOOKUP(C350,Lookup!$A$3:$A$6,Lookup!$B$3:$B$6)</f>
        <v>Fall</v>
      </c>
      <c r="V350">
        <f>_xlfn.XLOOKUP(D350,Lookup!$D$3:$D$4,Lookup!$E$3:$E$4)</f>
        <v>2011</v>
      </c>
      <c r="W350" t="str">
        <f>_xlfn.XLOOKUP(I350,Lookup!$G$3:$G$6,Lookup!$H$3:$H$6)</f>
        <v>Misty/Cloudy</v>
      </c>
      <c r="X350" t="str">
        <f>_xlfn.XLOOKUP(E350,Lookup!$J$3:$J$14,Lookup!$K$3:$K$14)</f>
        <v>December</v>
      </c>
      <c r="Y350" t="str">
        <f>_xlfn.XLOOKUP(G350,Lookup!$M$3:$M$9,Lookup!$N$3:$N$9)</f>
        <v>Thursday</v>
      </c>
    </row>
    <row r="351" spans="1:25" x14ac:dyDescent="0.3">
      <c r="A351">
        <v>350</v>
      </c>
      <c r="B351" s="1">
        <v>40893</v>
      </c>
      <c r="C351">
        <v>4</v>
      </c>
      <c r="D351">
        <v>0</v>
      </c>
      <c r="E351">
        <v>12</v>
      </c>
      <c r="F351">
        <v>0</v>
      </c>
      <c r="G351">
        <v>5</v>
      </c>
      <c r="H351">
        <v>1</v>
      </c>
      <c r="I351">
        <v>2</v>
      </c>
      <c r="J351">
        <v>0.375</v>
      </c>
      <c r="K351">
        <v>0.35982500000000001</v>
      </c>
      <c r="L351">
        <v>0.500417</v>
      </c>
      <c r="M351">
        <v>0.260575</v>
      </c>
      <c r="N351">
        <v>178</v>
      </c>
      <c r="O351">
        <v>3399</v>
      </c>
      <c r="P351">
        <v>3577</v>
      </c>
      <c r="Q351">
        <f t="shared" si="20"/>
        <v>9.625</v>
      </c>
      <c r="R351">
        <f t="shared" si="21"/>
        <v>7.7484500000000018</v>
      </c>
      <c r="S351">
        <f t="shared" si="22"/>
        <v>50.041699999999999</v>
      </c>
      <c r="T351">
        <f t="shared" si="23"/>
        <v>17.458525000000002</v>
      </c>
      <c r="U351" t="str">
        <f>_xlfn.XLOOKUP(C351,Lookup!$A$3:$A$6,Lookup!$B$3:$B$6)</f>
        <v>Fall</v>
      </c>
      <c r="V351">
        <f>_xlfn.XLOOKUP(D351,Lookup!$D$3:$D$4,Lookup!$E$3:$E$4)</f>
        <v>2011</v>
      </c>
      <c r="W351" t="str">
        <f>_xlfn.XLOOKUP(I351,Lookup!$G$3:$G$6,Lookup!$H$3:$H$6)</f>
        <v>Misty/Cloudy</v>
      </c>
      <c r="X351" t="str">
        <f>_xlfn.XLOOKUP(E351,Lookup!$J$3:$J$14,Lookup!$K$3:$K$14)</f>
        <v>December</v>
      </c>
      <c r="Y351" t="str">
        <f>_xlfn.XLOOKUP(G351,Lookup!$M$3:$M$9,Lookup!$N$3:$N$9)</f>
        <v>Friday</v>
      </c>
    </row>
    <row r="352" spans="1:25" x14ac:dyDescent="0.3">
      <c r="A352">
        <v>351</v>
      </c>
      <c r="B352" s="1">
        <v>40894</v>
      </c>
      <c r="C352">
        <v>4</v>
      </c>
      <c r="D352">
        <v>0</v>
      </c>
      <c r="E352">
        <v>12</v>
      </c>
      <c r="F352">
        <v>0</v>
      </c>
      <c r="G352">
        <v>6</v>
      </c>
      <c r="H352">
        <v>0</v>
      </c>
      <c r="I352">
        <v>2</v>
      </c>
      <c r="J352">
        <v>0.25833299999999998</v>
      </c>
      <c r="K352">
        <v>0.24937100000000001</v>
      </c>
      <c r="L352">
        <v>0.56083300000000003</v>
      </c>
      <c r="M352">
        <v>0.24316699999999999</v>
      </c>
      <c r="N352">
        <v>275</v>
      </c>
      <c r="O352">
        <v>2464</v>
      </c>
      <c r="P352">
        <v>2739</v>
      </c>
      <c r="Q352">
        <f t="shared" si="20"/>
        <v>4.1416509999999995</v>
      </c>
      <c r="R352">
        <f t="shared" si="21"/>
        <v>0.45848600000000062</v>
      </c>
      <c r="S352">
        <f t="shared" si="22"/>
        <v>56.083300000000001</v>
      </c>
      <c r="T352">
        <f t="shared" si="23"/>
        <v>16.292189</v>
      </c>
      <c r="U352" t="str">
        <f>_xlfn.XLOOKUP(C352,Lookup!$A$3:$A$6,Lookup!$B$3:$B$6)</f>
        <v>Fall</v>
      </c>
      <c r="V352">
        <f>_xlfn.XLOOKUP(D352,Lookup!$D$3:$D$4,Lookup!$E$3:$E$4)</f>
        <v>2011</v>
      </c>
      <c r="W352" t="str">
        <f>_xlfn.XLOOKUP(I352,Lookup!$G$3:$G$6,Lookup!$H$3:$H$6)</f>
        <v>Misty/Cloudy</v>
      </c>
      <c r="X352" t="str">
        <f>_xlfn.XLOOKUP(E352,Lookup!$J$3:$J$14,Lookup!$K$3:$K$14)</f>
        <v>December</v>
      </c>
      <c r="Y352" t="str">
        <f>_xlfn.XLOOKUP(G352,Lookup!$M$3:$M$9,Lookup!$N$3:$N$9)</f>
        <v>Saturday</v>
      </c>
    </row>
    <row r="353" spans="1:25" x14ac:dyDescent="0.3">
      <c r="A353">
        <v>352</v>
      </c>
      <c r="B353" s="1">
        <v>40895</v>
      </c>
      <c r="C353">
        <v>4</v>
      </c>
      <c r="D353">
        <v>0</v>
      </c>
      <c r="E353">
        <v>12</v>
      </c>
      <c r="F353">
        <v>0</v>
      </c>
      <c r="G353">
        <v>0</v>
      </c>
      <c r="H353">
        <v>0</v>
      </c>
      <c r="I353">
        <v>1</v>
      </c>
      <c r="J353">
        <v>0.23833299999999999</v>
      </c>
      <c r="K353">
        <v>0.24557899999999999</v>
      </c>
      <c r="L353">
        <v>0.58625000000000005</v>
      </c>
      <c r="M353">
        <v>0.16977900000000001</v>
      </c>
      <c r="N353">
        <v>220</v>
      </c>
      <c r="O353">
        <v>2211</v>
      </c>
      <c r="P353">
        <v>2431</v>
      </c>
      <c r="Q353">
        <f t="shared" si="20"/>
        <v>3.201651</v>
      </c>
      <c r="R353">
        <f t="shared" si="21"/>
        <v>0.20821399999999812</v>
      </c>
      <c r="S353">
        <f t="shared" si="22"/>
        <v>58.625000000000007</v>
      </c>
      <c r="T353">
        <f t="shared" si="23"/>
        <v>11.375193000000001</v>
      </c>
      <c r="U353" t="str">
        <f>_xlfn.XLOOKUP(C353,Lookup!$A$3:$A$6,Lookup!$B$3:$B$6)</f>
        <v>Fall</v>
      </c>
      <c r="V353">
        <f>_xlfn.XLOOKUP(D353,Lookup!$D$3:$D$4,Lookup!$E$3:$E$4)</f>
        <v>2011</v>
      </c>
      <c r="W353" t="str">
        <f>_xlfn.XLOOKUP(I353,Lookup!$G$3:$G$6,Lookup!$H$3:$H$6)</f>
        <v>Clear</v>
      </c>
      <c r="X353" t="str">
        <f>_xlfn.XLOOKUP(E353,Lookup!$J$3:$J$14,Lookup!$K$3:$K$14)</f>
        <v>December</v>
      </c>
      <c r="Y353" t="str">
        <f>_xlfn.XLOOKUP(G353,Lookup!$M$3:$M$9,Lookup!$N$3:$N$9)</f>
        <v>Sunday</v>
      </c>
    </row>
    <row r="354" spans="1:25" x14ac:dyDescent="0.3">
      <c r="A354">
        <v>353</v>
      </c>
      <c r="B354" s="1">
        <v>40896</v>
      </c>
      <c r="C354">
        <v>4</v>
      </c>
      <c r="D354">
        <v>0</v>
      </c>
      <c r="E354">
        <v>12</v>
      </c>
      <c r="F354">
        <v>0</v>
      </c>
      <c r="G354">
        <v>1</v>
      </c>
      <c r="H354">
        <v>1</v>
      </c>
      <c r="I354">
        <v>1</v>
      </c>
      <c r="J354">
        <v>0.276667</v>
      </c>
      <c r="K354">
        <v>0.28093299999999999</v>
      </c>
      <c r="L354">
        <v>0.63749999999999996</v>
      </c>
      <c r="M354">
        <v>0.17289599999999999</v>
      </c>
      <c r="N354">
        <v>260</v>
      </c>
      <c r="O354">
        <v>3143</v>
      </c>
      <c r="P354">
        <v>3403</v>
      </c>
      <c r="Q354">
        <f t="shared" si="20"/>
        <v>5.003349</v>
      </c>
      <c r="R354">
        <f t="shared" si="21"/>
        <v>2.5415779999999977</v>
      </c>
      <c r="S354">
        <f t="shared" si="22"/>
        <v>63.749999999999993</v>
      </c>
      <c r="T354">
        <f t="shared" si="23"/>
        <v>11.584031999999999</v>
      </c>
      <c r="U354" t="str">
        <f>_xlfn.XLOOKUP(C354,Lookup!$A$3:$A$6,Lookup!$B$3:$B$6)</f>
        <v>Fall</v>
      </c>
      <c r="V354">
        <f>_xlfn.XLOOKUP(D354,Lookup!$D$3:$D$4,Lookup!$E$3:$E$4)</f>
        <v>2011</v>
      </c>
      <c r="W354" t="str">
        <f>_xlfn.XLOOKUP(I354,Lookup!$G$3:$G$6,Lookup!$H$3:$H$6)</f>
        <v>Clear</v>
      </c>
      <c r="X354" t="str">
        <f>_xlfn.XLOOKUP(E354,Lookup!$J$3:$J$14,Lookup!$K$3:$K$14)</f>
        <v>December</v>
      </c>
      <c r="Y354" t="str">
        <f>_xlfn.XLOOKUP(G354,Lookup!$M$3:$M$9,Lookup!$N$3:$N$9)</f>
        <v>Monday</v>
      </c>
    </row>
    <row r="355" spans="1:25" x14ac:dyDescent="0.3">
      <c r="A355">
        <v>354</v>
      </c>
      <c r="B355" s="1">
        <v>40897</v>
      </c>
      <c r="C355">
        <v>4</v>
      </c>
      <c r="D355">
        <v>0</v>
      </c>
      <c r="E355">
        <v>12</v>
      </c>
      <c r="F355">
        <v>0</v>
      </c>
      <c r="G355">
        <v>2</v>
      </c>
      <c r="H355">
        <v>1</v>
      </c>
      <c r="I355">
        <v>2</v>
      </c>
      <c r="J355">
        <v>0.38583299999999998</v>
      </c>
      <c r="K355">
        <v>0.39645399999999997</v>
      </c>
      <c r="L355">
        <v>0.59541699999999997</v>
      </c>
      <c r="M355">
        <v>6.1570800000000002E-2</v>
      </c>
      <c r="N355">
        <v>216</v>
      </c>
      <c r="O355">
        <v>3534</v>
      </c>
      <c r="P355">
        <v>3750</v>
      </c>
      <c r="Q355">
        <f t="shared" si="20"/>
        <v>10.134150999999999</v>
      </c>
      <c r="R355">
        <f t="shared" si="21"/>
        <v>10.165963999999999</v>
      </c>
      <c r="S355">
        <f t="shared" si="22"/>
        <v>59.541699999999999</v>
      </c>
      <c r="T355">
        <f t="shared" si="23"/>
        <v>4.1252436000000001</v>
      </c>
      <c r="U355" t="str">
        <f>_xlfn.XLOOKUP(C355,Lookup!$A$3:$A$6,Lookup!$B$3:$B$6)</f>
        <v>Fall</v>
      </c>
      <c r="V355">
        <f>_xlfn.XLOOKUP(D355,Lookup!$D$3:$D$4,Lookup!$E$3:$E$4)</f>
        <v>2011</v>
      </c>
      <c r="W355" t="str">
        <f>_xlfn.XLOOKUP(I355,Lookup!$G$3:$G$6,Lookup!$H$3:$H$6)</f>
        <v>Misty/Cloudy</v>
      </c>
      <c r="X355" t="str">
        <f>_xlfn.XLOOKUP(E355,Lookup!$J$3:$J$14,Lookup!$K$3:$K$14)</f>
        <v>December</v>
      </c>
      <c r="Y355" t="str">
        <f>_xlfn.XLOOKUP(G355,Lookup!$M$3:$M$9,Lookup!$N$3:$N$9)</f>
        <v>Tuesday</v>
      </c>
    </row>
    <row r="356" spans="1:25" x14ac:dyDescent="0.3">
      <c r="A356">
        <v>355</v>
      </c>
      <c r="B356" s="1">
        <v>40898</v>
      </c>
      <c r="C356">
        <v>1</v>
      </c>
      <c r="D356">
        <v>0</v>
      </c>
      <c r="E356">
        <v>12</v>
      </c>
      <c r="F356">
        <v>0</v>
      </c>
      <c r="G356">
        <v>3</v>
      </c>
      <c r="H356">
        <v>1</v>
      </c>
      <c r="I356">
        <v>2</v>
      </c>
      <c r="J356">
        <v>0.42833300000000002</v>
      </c>
      <c r="K356">
        <v>0.42801699999999998</v>
      </c>
      <c r="L356">
        <v>0.85833300000000001</v>
      </c>
      <c r="M356">
        <v>0.22140000000000001</v>
      </c>
      <c r="N356">
        <v>107</v>
      </c>
      <c r="O356">
        <v>2553</v>
      </c>
      <c r="P356">
        <v>2660</v>
      </c>
      <c r="Q356">
        <f t="shared" si="20"/>
        <v>12.131651000000002</v>
      </c>
      <c r="R356">
        <f t="shared" si="21"/>
        <v>12.249122</v>
      </c>
      <c r="S356">
        <f t="shared" si="22"/>
        <v>85.833300000000008</v>
      </c>
      <c r="T356">
        <f t="shared" si="23"/>
        <v>14.8338</v>
      </c>
      <c r="U356" t="str">
        <f>_xlfn.XLOOKUP(C356,Lookup!$A$3:$A$6,Lookup!$B$3:$B$6)</f>
        <v>Winter</v>
      </c>
      <c r="V356">
        <f>_xlfn.XLOOKUP(D356,Lookup!$D$3:$D$4,Lookup!$E$3:$E$4)</f>
        <v>2011</v>
      </c>
      <c r="W356" t="str">
        <f>_xlfn.XLOOKUP(I356,Lookup!$G$3:$G$6,Lookup!$H$3:$H$6)</f>
        <v>Misty/Cloudy</v>
      </c>
      <c r="X356" t="str">
        <f>_xlfn.XLOOKUP(E356,Lookup!$J$3:$J$14,Lookup!$K$3:$K$14)</f>
        <v>December</v>
      </c>
      <c r="Y356" t="str">
        <f>_xlfn.XLOOKUP(G356,Lookup!$M$3:$M$9,Lookup!$N$3:$N$9)</f>
        <v>Wednesday</v>
      </c>
    </row>
    <row r="357" spans="1:25" x14ac:dyDescent="0.3">
      <c r="A357">
        <v>356</v>
      </c>
      <c r="B357" s="1">
        <v>40899</v>
      </c>
      <c r="C357">
        <v>1</v>
      </c>
      <c r="D357">
        <v>0</v>
      </c>
      <c r="E357">
        <v>12</v>
      </c>
      <c r="F357">
        <v>0</v>
      </c>
      <c r="G357">
        <v>4</v>
      </c>
      <c r="H357">
        <v>1</v>
      </c>
      <c r="I357">
        <v>2</v>
      </c>
      <c r="J357">
        <v>0.42333300000000001</v>
      </c>
      <c r="K357">
        <v>0.42612100000000003</v>
      </c>
      <c r="L357">
        <v>0.75749999999999995</v>
      </c>
      <c r="M357">
        <v>4.7274999999999998E-2</v>
      </c>
      <c r="N357">
        <v>227</v>
      </c>
      <c r="O357">
        <v>2841</v>
      </c>
      <c r="P357">
        <v>3068</v>
      </c>
      <c r="Q357">
        <f t="shared" si="20"/>
        <v>11.896651000000002</v>
      </c>
      <c r="R357">
        <f t="shared" si="21"/>
        <v>12.123986000000002</v>
      </c>
      <c r="S357">
        <f t="shared" si="22"/>
        <v>75.75</v>
      </c>
      <c r="T357">
        <f t="shared" si="23"/>
        <v>3.1674249999999997</v>
      </c>
      <c r="U357" t="str">
        <f>_xlfn.XLOOKUP(C357,Lookup!$A$3:$A$6,Lookup!$B$3:$B$6)</f>
        <v>Winter</v>
      </c>
      <c r="V357">
        <f>_xlfn.XLOOKUP(D357,Lookup!$D$3:$D$4,Lookup!$E$3:$E$4)</f>
        <v>2011</v>
      </c>
      <c r="W357" t="str">
        <f>_xlfn.XLOOKUP(I357,Lookup!$G$3:$G$6,Lookup!$H$3:$H$6)</f>
        <v>Misty/Cloudy</v>
      </c>
      <c r="X357" t="str">
        <f>_xlfn.XLOOKUP(E357,Lookup!$J$3:$J$14,Lookup!$K$3:$K$14)</f>
        <v>December</v>
      </c>
      <c r="Y357" t="str">
        <f>_xlfn.XLOOKUP(G357,Lookup!$M$3:$M$9,Lookup!$N$3:$N$9)</f>
        <v>Thursday</v>
      </c>
    </row>
    <row r="358" spans="1:25" x14ac:dyDescent="0.3">
      <c r="A358">
        <v>357</v>
      </c>
      <c r="B358" s="1">
        <v>40900</v>
      </c>
      <c r="C358">
        <v>1</v>
      </c>
      <c r="D358">
        <v>0</v>
      </c>
      <c r="E358">
        <v>12</v>
      </c>
      <c r="F358">
        <v>0</v>
      </c>
      <c r="G358">
        <v>5</v>
      </c>
      <c r="H358">
        <v>1</v>
      </c>
      <c r="I358">
        <v>1</v>
      </c>
      <c r="J358">
        <v>0.37333300000000003</v>
      </c>
      <c r="K358">
        <v>0.37751299999999999</v>
      </c>
      <c r="L358">
        <v>0.68625000000000003</v>
      </c>
      <c r="M358">
        <v>0.27424599999999999</v>
      </c>
      <c r="N358">
        <v>163</v>
      </c>
      <c r="O358">
        <v>2046</v>
      </c>
      <c r="P358">
        <v>2209</v>
      </c>
      <c r="Q358">
        <f t="shared" si="20"/>
        <v>9.5466510000000007</v>
      </c>
      <c r="R358">
        <f t="shared" si="21"/>
        <v>8.9158580000000001</v>
      </c>
      <c r="S358">
        <f t="shared" si="22"/>
        <v>68.625</v>
      </c>
      <c r="T358">
        <f t="shared" si="23"/>
        <v>18.374482</v>
      </c>
      <c r="U358" t="str">
        <f>_xlfn.XLOOKUP(C358,Lookup!$A$3:$A$6,Lookup!$B$3:$B$6)</f>
        <v>Winter</v>
      </c>
      <c r="V358">
        <f>_xlfn.XLOOKUP(D358,Lookup!$D$3:$D$4,Lookup!$E$3:$E$4)</f>
        <v>2011</v>
      </c>
      <c r="W358" t="str">
        <f>_xlfn.XLOOKUP(I358,Lookup!$G$3:$G$6,Lookup!$H$3:$H$6)</f>
        <v>Clear</v>
      </c>
      <c r="X358" t="str">
        <f>_xlfn.XLOOKUP(E358,Lookup!$J$3:$J$14,Lookup!$K$3:$K$14)</f>
        <v>December</v>
      </c>
      <c r="Y358" t="str">
        <f>_xlfn.XLOOKUP(G358,Lookup!$M$3:$M$9,Lookup!$N$3:$N$9)</f>
        <v>Friday</v>
      </c>
    </row>
    <row r="359" spans="1:25" x14ac:dyDescent="0.3">
      <c r="A359">
        <v>358</v>
      </c>
      <c r="B359" s="1">
        <v>40901</v>
      </c>
      <c r="C359">
        <v>1</v>
      </c>
      <c r="D359">
        <v>0</v>
      </c>
      <c r="E359">
        <v>12</v>
      </c>
      <c r="F359">
        <v>0</v>
      </c>
      <c r="G359">
        <v>6</v>
      </c>
      <c r="H359">
        <v>0</v>
      </c>
      <c r="I359">
        <v>1</v>
      </c>
      <c r="J359">
        <v>0.30249999999999999</v>
      </c>
      <c r="K359">
        <v>0.29924200000000001</v>
      </c>
      <c r="L359">
        <v>0.54249999999999998</v>
      </c>
      <c r="M359">
        <v>0.190304</v>
      </c>
      <c r="N359">
        <v>155</v>
      </c>
      <c r="O359">
        <v>856</v>
      </c>
      <c r="P359">
        <v>1011</v>
      </c>
      <c r="Q359">
        <f t="shared" si="20"/>
        <v>6.2174999999999994</v>
      </c>
      <c r="R359">
        <f t="shared" si="21"/>
        <v>3.7499719999999996</v>
      </c>
      <c r="S359">
        <f t="shared" si="22"/>
        <v>54.25</v>
      </c>
      <c r="T359">
        <f t="shared" si="23"/>
        <v>12.750368</v>
      </c>
      <c r="U359" t="str">
        <f>_xlfn.XLOOKUP(C359,Lookup!$A$3:$A$6,Lookup!$B$3:$B$6)</f>
        <v>Winter</v>
      </c>
      <c r="V359">
        <f>_xlfn.XLOOKUP(D359,Lookup!$D$3:$D$4,Lookup!$E$3:$E$4)</f>
        <v>2011</v>
      </c>
      <c r="W359" t="str">
        <f>_xlfn.XLOOKUP(I359,Lookup!$G$3:$G$6,Lookup!$H$3:$H$6)</f>
        <v>Clear</v>
      </c>
      <c r="X359" t="str">
        <f>_xlfn.XLOOKUP(E359,Lookup!$J$3:$J$14,Lookup!$K$3:$K$14)</f>
        <v>December</v>
      </c>
      <c r="Y359" t="str">
        <f>_xlfn.XLOOKUP(G359,Lookup!$M$3:$M$9,Lookup!$N$3:$N$9)</f>
        <v>Saturday</v>
      </c>
    </row>
    <row r="360" spans="1:25" x14ac:dyDescent="0.3">
      <c r="A360">
        <v>359</v>
      </c>
      <c r="B360" s="1">
        <v>40902</v>
      </c>
      <c r="C360">
        <v>1</v>
      </c>
      <c r="D360">
        <v>0</v>
      </c>
      <c r="E360">
        <v>12</v>
      </c>
      <c r="F360">
        <v>0</v>
      </c>
      <c r="G360">
        <v>0</v>
      </c>
      <c r="H360">
        <v>0</v>
      </c>
      <c r="I360">
        <v>1</v>
      </c>
      <c r="J360">
        <v>0.274783</v>
      </c>
      <c r="K360">
        <v>0.27996100000000002</v>
      </c>
      <c r="L360">
        <v>0.68130400000000002</v>
      </c>
      <c r="M360">
        <v>0.15509100000000001</v>
      </c>
      <c r="N360">
        <v>303</v>
      </c>
      <c r="O360">
        <v>451</v>
      </c>
      <c r="P360">
        <v>754</v>
      </c>
      <c r="Q360">
        <f t="shared" si="20"/>
        <v>4.9148010000000006</v>
      </c>
      <c r="R360">
        <f t="shared" si="21"/>
        <v>2.4774260000000012</v>
      </c>
      <c r="S360">
        <f t="shared" si="22"/>
        <v>68.130400000000009</v>
      </c>
      <c r="T360">
        <f t="shared" si="23"/>
        <v>10.391097</v>
      </c>
      <c r="U360" t="str">
        <f>_xlfn.XLOOKUP(C360,Lookup!$A$3:$A$6,Lookup!$B$3:$B$6)</f>
        <v>Winter</v>
      </c>
      <c r="V360">
        <f>_xlfn.XLOOKUP(D360,Lookup!$D$3:$D$4,Lookup!$E$3:$E$4)</f>
        <v>2011</v>
      </c>
      <c r="W360" t="str">
        <f>_xlfn.XLOOKUP(I360,Lookup!$G$3:$G$6,Lookup!$H$3:$H$6)</f>
        <v>Clear</v>
      </c>
      <c r="X360" t="str">
        <f>_xlfn.XLOOKUP(E360,Lookup!$J$3:$J$14,Lookup!$K$3:$K$14)</f>
        <v>December</v>
      </c>
      <c r="Y360" t="str">
        <f>_xlfn.XLOOKUP(G360,Lookup!$M$3:$M$9,Lookup!$N$3:$N$9)</f>
        <v>Sunday</v>
      </c>
    </row>
    <row r="361" spans="1:25" x14ac:dyDescent="0.3">
      <c r="A361">
        <v>360</v>
      </c>
      <c r="B361" s="1">
        <v>40903</v>
      </c>
      <c r="C361">
        <v>1</v>
      </c>
      <c r="D361">
        <v>0</v>
      </c>
      <c r="E361">
        <v>12</v>
      </c>
      <c r="F361">
        <v>1</v>
      </c>
      <c r="G361">
        <v>1</v>
      </c>
      <c r="H361">
        <v>0</v>
      </c>
      <c r="I361">
        <v>1</v>
      </c>
      <c r="J361">
        <v>0.321739</v>
      </c>
      <c r="K361">
        <v>0.31553500000000001</v>
      </c>
      <c r="L361">
        <v>0.50695699999999999</v>
      </c>
      <c r="M361">
        <v>0.23946500000000001</v>
      </c>
      <c r="N361">
        <v>430</v>
      </c>
      <c r="O361">
        <v>887</v>
      </c>
      <c r="P361">
        <v>1317</v>
      </c>
      <c r="Q361">
        <f t="shared" si="20"/>
        <v>7.121732999999999</v>
      </c>
      <c r="R361">
        <f t="shared" si="21"/>
        <v>4.8253100000000018</v>
      </c>
      <c r="S361">
        <f t="shared" si="22"/>
        <v>50.695700000000002</v>
      </c>
      <c r="T361">
        <f t="shared" si="23"/>
        <v>16.044155</v>
      </c>
      <c r="U361" t="str">
        <f>_xlfn.XLOOKUP(C361,Lookup!$A$3:$A$6,Lookup!$B$3:$B$6)</f>
        <v>Winter</v>
      </c>
      <c r="V361">
        <f>_xlfn.XLOOKUP(D361,Lookup!$D$3:$D$4,Lookup!$E$3:$E$4)</f>
        <v>2011</v>
      </c>
      <c r="W361" t="str">
        <f>_xlfn.XLOOKUP(I361,Lookup!$G$3:$G$6,Lookup!$H$3:$H$6)</f>
        <v>Clear</v>
      </c>
      <c r="X361" t="str">
        <f>_xlfn.XLOOKUP(E361,Lookup!$J$3:$J$14,Lookup!$K$3:$K$14)</f>
        <v>December</v>
      </c>
      <c r="Y361" t="str">
        <f>_xlfn.XLOOKUP(G361,Lookup!$M$3:$M$9,Lookup!$N$3:$N$9)</f>
        <v>Monday</v>
      </c>
    </row>
    <row r="362" spans="1:25" x14ac:dyDescent="0.3">
      <c r="A362">
        <v>361</v>
      </c>
      <c r="B362" s="1">
        <v>40904</v>
      </c>
      <c r="C362">
        <v>1</v>
      </c>
      <c r="D362">
        <v>0</v>
      </c>
      <c r="E362">
        <v>12</v>
      </c>
      <c r="F362">
        <v>0</v>
      </c>
      <c r="G362">
        <v>2</v>
      </c>
      <c r="H362">
        <v>1</v>
      </c>
      <c r="I362">
        <v>2</v>
      </c>
      <c r="J362">
        <v>0.32500000000000001</v>
      </c>
      <c r="K362">
        <v>0.32763300000000001</v>
      </c>
      <c r="L362">
        <v>0.76249999999999996</v>
      </c>
      <c r="M362">
        <v>0.18845000000000001</v>
      </c>
      <c r="N362">
        <v>103</v>
      </c>
      <c r="O362">
        <v>1059</v>
      </c>
      <c r="P362">
        <v>1162</v>
      </c>
      <c r="Q362">
        <f t="shared" si="20"/>
        <v>7.2750000000000004</v>
      </c>
      <c r="R362">
        <f t="shared" si="21"/>
        <v>5.6237780000000015</v>
      </c>
      <c r="S362">
        <f t="shared" si="22"/>
        <v>76.25</v>
      </c>
      <c r="T362">
        <f t="shared" si="23"/>
        <v>12.626150000000001</v>
      </c>
      <c r="U362" t="str">
        <f>_xlfn.XLOOKUP(C362,Lookup!$A$3:$A$6,Lookup!$B$3:$B$6)</f>
        <v>Winter</v>
      </c>
      <c r="V362">
        <f>_xlfn.XLOOKUP(D362,Lookup!$D$3:$D$4,Lookup!$E$3:$E$4)</f>
        <v>2011</v>
      </c>
      <c r="W362" t="str">
        <f>_xlfn.XLOOKUP(I362,Lookup!$G$3:$G$6,Lookup!$H$3:$H$6)</f>
        <v>Misty/Cloudy</v>
      </c>
      <c r="X362" t="str">
        <f>_xlfn.XLOOKUP(E362,Lookup!$J$3:$J$14,Lookup!$K$3:$K$14)</f>
        <v>December</v>
      </c>
      <c r="Y362" t="str">
        <f>_xlfn.XLOOKUP(G362,Lookup!$M$3:$M$9,Lookup!$N$3:$N$9)</f>
        <v>Tuesday</v>
      </c>
    </row>
    <row r="363" spans="1:25" x14ac:dyDescent="0.3">
      <c r="A363">
        <v>362</v>
      </c>
      <c r="B363" s="1">
        <v>40905</v>
      </c>
      <c r="C363">
        <v>1</v>
      </c>
      <c r="D363">
        <v>0</v>
      </c>
      <c r="E363">
        <v>12</v>
      </c>
      <c r="F363">
        <v>0</v>
      </c>
      <c r="G363">
        <v>3</v>
      </c>
      <c r="H363">
        <v>1</v>
      </c>
      <c r="I363">
        <v>1</v>
      </c>
      <c r="J363">
        <v>0.29913000000000001</v>
      </c>
      <c r="K363">
        <v>0.279974</v>
      </c>
      <c r="L363">
        <v>0.50391300000000006</v>
      </c>
      <c r="M363">
        <v>0.29396099999999997</v>
      </c>
      <c r="N363">
        <v>255</v>
      </c>
      <c r="O363">
        <v>2047</v>
      </c>
      <c r="P363">
        <v>2302</v>
      </c>
      <c r="Q363">
        <f t="shared" si="20"/>
        <v>6.0591100000000004</v>
      </c>
      <c r="R363">
        <f t="shared" si="21"/>
        <v>2.4782839999999986</v>
      </c>
      <c r="S363">
        <f t="shared" si="22"/>
        <v>50.391300000000008</v>
      </c>
      <c r="T363">
        <f t="shared" si="23"/>
        <v>19.695386999999997</v>
      </c>
      <c r="U363" t="str">
        <f>_xlfn.XLOOKUP(C363,Lookup!$A$3:$A$6,Lookup!$B$3:$B$6)</f>
        <v>Winter</v>
      </c>
      <c r="V363">
        <f>_xlfn.XLOOKUP(D363,Lookup!$D$3:$D$4,Lookup!$E$3:$E$4)</f>
        <v>2011</v>
      </c>
      <c r="W363" t="str">
        <f>_xlfn.XLOOKUP(I363,Lookup!$G$3:$G$6,Lookup!$H$3:$H$6)</f>
        <v>Clear</v>
      </c>
      <c r="X363" t="str">
        <f>_xlfn.XLOOKUP(E363,Lookup!$J$3:$J$14,Lookup!$K$3:$K$14)</f>
        <v>December</v>
      </c>
      <c r="Y363" t="str">
        <f>_xlfn.XLOOKUP(G363,Lookup!$M$3:$M$9,Lookup!$N$3:$N$9)</f>
        <v>Wednesday</v>
      </c>
    </row>
    <row r="364" spans="1:25" x14ac:dyDescent="0.3">
      <c r="A364">
        <v>363</v>
      </c>
      <c r="B364" s="1">
        <v>40906</v>
      </c>
      <c r="C364">
        <v>1</v>
      </c>
      <c r="D364">
        <v>0</v>
      </c>
      <c r="E364">
        <v>12</v>
      </c>
      <c r="F364">
        <v>0</v>
      </c>
      <c r="G364">
        <v>4</v>
      </c>
      <c r="H364">
        <v>1</v>
      </c>
      <c r="I364">
        <v>1</v>
      </c>
      <c r="J364">
        <v>0.248333</v>
      </c>
      <c r="K364">
        <v>0.26389200000000002</v>
      </c>
      <c r="L364">
        <v>0.57416699999999998</v>
      </c>
      <c r="M364">
        <v>0.119412</v>
      </c>
      <c r="N364">
        <v>254</v>
      </c>
      <c r="O364">
        <v>2169</v>
      </c>
      <c r="P364">
        <v>2423</v>
      </c>
      <c r="Q364">
        <f t="shared" si="20"/>
        <v>3.6716510000000007</v>
      </c>
      <c r="R364">
        <f t="shared" si="21"/>
        <v>1.4168720000000015</v>
      </c>
      <c r="S364">
        <f t="shared" si="22"/>
        <v>57.416699999999999</v>
      </c>
      <c r="T364">
        <f t="shared" si="23"/>
        <v>8.0006040000000009</v>
      </c>
      <c r="U364" t="str">
        <f>_xlfn.XLOOKUP(C364,Lookup!$A$3:$A$6,Lookup!$B$3:$B$6)</f>
        <v>Winter</v>
      </c>
      <c r="V364">
        <f>_xlfn.XLOOKUP(D364,Lookup!$D$3:$D$4,Lookup!$E$3:$E$4)</f>
        <v>2011</v>
      </c>
      <c r="W364" t="str">
        <f>_xlfn.XLOOKUP(I364,Lookup!$G$3:$G$6,Lookup!$H$3:$H$6)</f>
        <v>Clear</v>
      </c>
      <c r="X364" t="str">
        <f>_xlfn.XLOOKUP(E364,Lookup!$J$3:$J$14,Lookup!$K$3:$K$14)</f>
        <v>December</v>
      </c>
      <c r="Y364" t="str">
        <f>_xlfn.XLOOKUP(G364,Lookup!$M$3:$M$9,Lookup!$N$3:$N$9)</f>
        <v>Thursday</v>
      </c>
    </row>
    <row r="365" spans="1:25" x14ac:dyDescent="0.3">
      <c r="A365">
        <v>364</v>
      </c>
      <c r="B365" s="1">
        <v>40907</v>
      </c>
      <c r="C365">
        <v>1</v>
      </c>
      <c r="D365">
        <v>0</v>
      </c>
      <c r="E365">
        <v>12</v>
      </c>
      <c r="F365">
        <v>0</v>
      </c>
      <c r="G365">
        <v>5</v>
      </c>
      <c r="H365">
        <v>1</v>
      </c>
      <c r="I365">
        <v>1</v>
      </c>
      <c r="J365">
        <v>0.31166700000000003</v>
      </c>
      <c r="K365">
        <v>0.31881199999999998</v>
      </c>
      <c r="L365">
        <v>0.63666699999999998</v>
      </c>
      <c r="M365">
        <v>0.13433700000000001</v>
      </c>
      <c r="N365">
        <v>491</v>
      </c>
      <c r="O365">
        <v>2508</v>
      </c>
      <c r="P365">
        <v>2999</v>
      </c>
      <c r="Q365">
        <f t="shared" si="20"/>
        <v>6.6483490000000014</v>
      </c>
      <c r="R365">
        <f t="shared" si="21"/>
        <v>5.0415919999999979</v>
      </c>
      <c r="S365">
        <f t="shared" si="22"/>
        <v>63.666699999999999</v>
      </c>
      <c r="T365">
        <f t="shared" si="23"/>
        <v>9.0005790000000001</v>
      </c>
      <c r="U365" t="str">
        <f>_xlfn.XLOOKUP(C365,Lookup!$A$3:$A$6,Lookup!$B$3:$B$6)</f>
        <v>Winter</v>
      </c>
      <c r="V365">
        <f>_xlfn.XLOOKUP(D365,Lookup!$D$3:$D$4,Lookup!$E$3:$E$4)</f>
        <v>2011</v>
      </c>
      <c r="W365" t="str">
        <f>_xlfn.XLOOKUP(I365,Lookup!$G$3:$G$6,Lookup!$H$3:$H$6)</f>
        <v>Clear</v>
      </c>
      <c r="X365" t="str">
        <f>_xlfn.XLOOKUP(E365,Lookup!$J$3:$J$14,Lookup!$K$3:$K$14)</f>
        <v>December</v>
      </c>
      <c r="Y365" t="str">
        <f>_xlfn.XLOOKUP(G365,Lookup!$M$3:$M$9,Lookup!$N$3:$N$9)</f>
        <v>Friday</v>
      </c>
    </row>
    <row r="366" spans="1:25" x14ac:dyDescent="0.3">
      <c r="A366">
        <v>365</v>
      </c>
      <c r="B366" s="1">
        <v>40908</v>
      </c>
      <c r="C366">
        <v>1</v>
      </c>
      <c r="D366">
        <v>0</v>
      </c>
      <c r="E366">
        <v>12</v>
      </c>
      <c r="F366">
        <v>0</v>
      </c>
      <c r="G366">
        <v>6</v>
      </c>
      <c r="H366">
        <v>0</v>
      </c>
      <c r="I366">
        <v>1</v>
      </c>
      <c r="J366">
        <v>0.41</v>
      </c>
      <c r="K366">
        <v>0.41412100000000002</v>
      </c>
      <c r="L366">
        <v>0.61583299999999996</v>
      </c>
      <c r="M366">
        <v>0.22015399999999999</v>
      </c>
      <c r="N366">
        <v>665</v>
      </c>
      <c r="O366">
        <v>1820</v>
      </c>
      <c r="P366">
        <v>2485</v>
      </c>
      <c r="Q366">
        <f t="shared" si="20"/>
        <v>11.27</v>
      </c>
      <c r="R366">
        <f t="shared" si="21"/>
        <v>11.331986000000001</v>
      </c>
      <c r="S366">
        <f t="shared" si="22"/>
        <v>61.583299999999994</v>
      </c>
      <c r="T366">
        <f t="shared" si="23"/>
        <v>14.750318</v>
      </c>
      <c r="U366" t="str">
        <f>_xlfn.XLOOKUP(C366,Lookup!$A$3:$A$6,Lookup!$B$3:$B$6)</f>
        <v>Winter</v>
      </c>
      <c r="V366">
        <f>_xlfn.XLOOKUP(D366,Lookup!$D$3:$D$4,Lookup!$E$3:$E$4)</f>
        <v>2011</v>
      </c>
      <c r="W366" t="str">
        <f>_xlfn.XLOOKUP(I366,Lookup!$G$3:$G$6,Lookup!$H$3:$H$6)</f>
        <v>Clear</v>
      </c>
      <c r="X366" t="str">
        <f>_xlfn.XLOOKUP(E366,Lookup!$J$3:$J$14,Lookup!$K$3:$K$14)</f>
        <v>December</v>
      </c>
      <c r="Y366" t="str">
        <f>_xlfn.XLOOKUP(G366,Lookup!$M$3:$M$9,Lookup!$N$3:$N$9)</f>
        <v>Saturday</v>
      </c>
    </row>
    <row r="367" spans="1:25" x14ac:dyDescent="0.3">
      <c r="A367">
        <v>366</v>
      </c>
      <c r="B367" s="1">
        <v>40909</v>
      </c>
      <c r="C367">
        <v>1</v>
      </c>
      <c r="D367">
        <v>1</v>
      </c>
      <c r="E367">
        <v>1</v>
      </c>
      <c r="F367">
        <v>0</v>
      </c>
      <c r="G367">
        <v>0</v>
      </c>
      <c r="H367">
        <v>0</v>
      </c>
      <c r="I367">
        <v>1</v>
      </c>
      <c r="J367">
        <v>0.37</v>
      </c>
      <c r="K367">
        <v>0.37562099999999998</v>
      </c>
      <c r="L367">
        <v>0.6925</v>
      </c>
      <c r="M367">
        <v>0.192167</v>
      </c>
      <c r="N367">
        <v>686</v>
      </c>
      <c r="O367">
        <v>1608</v>
      </c>
      <c r="P367">
        <v>2294</v>
      </c>
      <c r="Q367">
        <f t="shared" si="20"/>
        <v>9.39</v>
      </c>
      <c r="R367">
        <f t="shared" si="21"/>
        <v>8.7909860000000002</v>
      </c>
      <c r="S367">
        <f t="shared" si="22"/>
        <v>69.25</v>
      </c>
      <c r="T367">
        <f t="shared" si="23"/>
        <v>12.875189000000001</v>
      </c>
      <c r="U367" t="str">
        <f>_xlfn.XLOOKUP(C367,Lookup!$A$3:$A$6,Lookup!$B$3:$B$6)</f>
        <v>Winter</v>
      </c>
      <c r="V367">
        <f>_xlfn.XLOOKUP(D367,Lookup!$D$3:$D$4,Lookup!$E$3:$E$4)</f>
        <v>2012</v>
      </c>
      <c r="W367" t="str">
        <f>_xlfn.XLOOKUP(I367,Lookup!$G$3:$G$6,Lookup!$H$3:$H$6)</f>
        <v>Clear</v>
      </c>
      <c r="X367" t="str">
        <f>_xlfn.XLOOKUP(E367,Lookup!$J$3:$J$14,Lookup!$K$3:$K$14)</f>
        <v>January</v>
      </c>
      <c r="Y367" t="str">
        <f>_xlfn.XLOOKUP(G367,Lookup!$M$3:$M$9,Lookup!$N$3:$N$9)</f>
        <v>Sunday</v>
      </c>
    </row>
    <row r="368" spans="1:25" x14ac:dyDescent="0.3">
      <c r="A368">
        <v>367</v>
      </c>
      <c r="B368" s="1">
        <v>40910</v>
      </c>
      <c r="C368">
        <v>1</v>
      </c>
      <c r="D368">
        <v>1</v>
      </c>
      <c r="E368">
        <v>1</v>
      </c>
      <c r="F368">
        <v>1</v>
      </c>
      <c r="G368">
        <v>1</v>
      </c>
      <c r="H368">
        <v>0</v>
      </c>
      <c r="I368">
        <v>1</v>
      </c>
      <c r="J368">
        <v>0.27304299999999998</v>
      </c>
      <c r="K368">
        <v>0.25230399999999997</v>
      </c>
      <c r="L368">
        <v>0.38130399999999998</v>
      </c>
      <c r="M368">
        <v>0.32966499999999999</v>
      </c>
      <c r="N368">
        <v>244</v>
      </c>
      <c r="O368">
        <v>1707</v>
      </c>
      <c r="P368">
        <v>1951</v>
      </c>
      <c r="Q368">
        <f t="shared" si="20"/>
        <v>4.8330209999999987</v>
      </c>
      <c r="R368">
        <f t="shared" si="21"/>
        <v>0.65206399999999931</v>
      </c>
      <c r="S368">
        <f t="shared" si="22"/>
        <v>38.130399999999995</v>
      </c>
      <c r="T368">
        <f t="shared" si="23"/>
        <v>22.087554999999998</v>
      </c>
      <c r="U368" t="str">
        <f>_xlfn.XLOOKUP(C368,Lookup!$A$3:$A$6,Lookup!$B$3:$B$6)</f>
        <v>Winter</v>
      </c>
      <c r="V368">
        <f>_xlfn.XLOOKUP(D368,Lookup!$D$3:$D$4,Lookup!$E$3:$E$4)</f>
        <v>2012</v>
      </c>
      <c r="W368" t="str">
        <f>_xlfn.XLOOKUP(I368,Lookup!$G$3:$G$6,Lookup!$H$3:$H$6)</f>
        <v>Clear</v>
      </c>
      <c r="X368" t="str">
        <f>_xlfn.XLOOKUP(E368,Lookup!$J$3:$J$14,Lookup!$K$3:$K$14)</f>
        <v>January</v>
      </c>
      <c r="Y368" t="str">
        <f>_xlfn.XLOOKUP(G368,Lookup!$M$3:$M$9,Lookup!$N$3:$N$9)</f>
        <v>Monday</v>
      </c>
    </row>
    <row r="369" spans="1:25" x14ac:dyDescent="0.3">
      <c r="A369">
        <v>368</v>
      </c>
      <c r="B369" s="1">
        <v>40911</v>
      </c>
      <c r="C369">
        <v>1</v>
      </c>
      <c r="D369">
        <v>1</v>
      </c>
      <c r="E369">
        <v>1</v>
      </c>
      <c r="F369">
        <v>0</v>
      </c>
      <c r="G369">
        <v>2</v>
      </c>
      <c r="H369">
        <v>1</v>
      </c>
      <c r="I369">
        <v>1</v>
      </c>
      <c r="J369">
        <v>0.15</v>
      </c>
      <c r="K369">
        <v>0.126275</v>
      </c>
      <c r="L369">
        <v>0.44124999999999998</v>
      </c>
      <c r="M369">
        <v>0.36567100000000002</v>
      </c>
      <c r="N369">
        <v>89</v>
      </c>
      <c r="O369">
        <v>2147</v>
      </c>
      <c r="P369">
        <v>2236</v>
      </c>
      <c r="Q369">
        <f t="shared" si="20"/>
        <v>-0.95000000000000018</v>
      </c>
      <c r="R369">
        <f t="shared" si="21"/>
        <v>-7.6658500000000007</v>
      </c>
      <c r="S369">
        <f t="shared" si="22"/>
        <v>44.125</v>
      </c>
      <c r="T369">
        <f t="shared" si="23"/>
        <v>24.499957000000002</v>
      </c>
      <c r="U369" t="str">
        <f>_xlfn.XLOOKUP(C369,Lookup!$A$3:$A$6,Lookup!$B$3:$B$6)</f>
        <v>Winter</v>
      </c>
      <c r="V369">
        <f>_xlfn.XLOOKUP(D369,Lookup!$D$3:$D$4,Lookup!$E$3:$E$4)</f>
        <v>2012</v>
      </c>
      <c r="W369" t="str">
        <f>_xlfn.XLOOKUP(I369,Lookup!$G$3:$G$6,Lookup!$H$3:$H$6)</f>
        <v>Clear</v>
      </c>
      <c r="X369" t="str">
        <f>_xlfn.XLOOKUP(E369,Lookup!$J$3:$J$14,Lookup!$K$3:$K$14)</f>
        <v>January</v>
      </c>
      <c r="Y369" t="str">
        <f>_xlfn.XLOOKUP(G369,Lookup!$M$3:$M$9,Lookup!$N$3:$N$9)</f>
        <v>Tuesday</v>
      </c>
    </row>
    <row r="370" spans="1:25" x14ac:dyDescent="0.3">
      <c r="A370">
        <v>369</v>
      </c>
      <c r="B370" s="1">
        <v>40912</v>
      </c>
      <c r="C370">
        <v>1</v>
      </c>
      <c r="D370">
        <v>1</v>
      </c>
      <c r="E370">
        <v>1</v>
      </c>
      <c r="F370">
        <v>0</v>
      </c>
      <c r="G370">
        <v>3</v>
      </c>
      <c r="H370">
        <v>1</v>
      </c>
      <c r="I370">
        <v>2</v>
      </c>
      <c r="J370">
        <v>0.1075</v>
      </c>
      <c r="K370">
        <v>0.119337</v>
      </c>
      <c r="L370">
        <v>0.41458299999999998</v>
      </c>
      <c r="M370">
        <v>0.1847</v>
      </c>
      <c r="N370">
        <v>95</v>
      </c>
      <c r="O370">
        <v>2273</v>
      </c>
      <c r="P370">
        <v>2368</v>
      </c>
      <c r="Q370">
        <f t="shared" si="20"/>
        <v>-2.9474999999999998</v>
      </c>
      <c r="R370">
        <f t="shared" si="21"/>
        <v>-8.1237580000000005</v>
      </c>
      <c r="S370">
        <f t="shared" si="22"/>
        <v>41.458300000000001</v>
      </c>
      <c r="T370">
        <f t="shared" si="23"/>
        <v>12.3749</v>
      </c>
      <c r="U370" t="str">
        <f>_xlfn.XLOOKUP(C370,Lookup!$A$3:$A$6,Lookup!$B$3:$B$6)</f>
        <v>Winter</v>
      </c>
      <c r="V370">
        <f>_xlfn.XLOOKUP(D370,Lookup!$D$3:$D$4,Lookup!$E$3:$E$4)</f>
        <v>2012</v>
      </c>
      <c r="W370" t="str">
        <f>_xlfn.XLOOKUP(I370,Lookup!$G$3:$G$6,Lookup!$H$3:$H$6)</f>
        <v>Misty/Cloudy</v>
      </c>
      <c r="X370" t="str">
        <f>_xlfn.XLOOKUP(E370,Lookup!$J$3:$J$14,Lookup!$K$3:$K$14)</f>
        <v>January</v>
      </c>
      <c r="Y370" t="str">
        <f>_xlfn.XLOOKUP(G370,Lookup!$M$3:$M$9,Lookup!$N$3:$N$9)</f>
        <v>Wednesday</v>
      </c>
    </row>
    <row r="371" spans="1:25" x14ac:dyDescent="0.3">
      <c r="A371">
        <v>370</v>
      </c>
      <c r="B371" s="1">
        <v>40913</v>
      </c>
      <c r="C371">
        <v>1</v>
      </c>
      <c r="D371">
        <v>1</v>
      </c>
      <c r="E371">
        <v>1</v>
      </c>
      <c r="F371">
        <v>0</v>
      </c>
      <c r="G371">
        <v>4</v>
      </c>
      <c r="H371">
        <v>1</v>
      </c>
      <c r="I371">
        <v>1</v>
      </c>
      <c r="J371">
        <v>0.26583299999999999</v>
      </c>
      <c r="K371">
        <v>0.27841199999999999</v>
      </c>
      <c r="L371">
        <v>0.52416700000000005</v>
      </c>
      <c r="M371">
        <v>0.12998699999999999</v>
      </c>
      <c r="N371">
        <v>140</v>
      </c>
      <c r="O371">
        <v>3132</v>
      </c>
      <c r="P371">
        <v>3272</v>
      </c>
      <c r="Q371">
        <f t="shared" si="20"/>
        <v>4.4941509999999987</v>
      </c>
      <c r="R371">
        <f t="shared" si="21"/>
        <v>2.3751919999999984</v>
      </c>
      <c r="S371">
        <f t="shared" si="22"/>
        <v>52.416700000000006</v>
      </c>
      <c r="T371">
        <f t="shared" si="23"/>
        <v>8.709128999999999</v>
      </c>
      <c r="U371" t="str">
        <f>_xlfn.XLOOKUP(C371,Lookup!$A$3:$A$6,Lookup!$B$3:$B$6)</f>
        <v>Winter</v>
      </c>
      <c r="V371">
        <f>_xlfn.XLOOKUP(D371,Lookup!$D$3:$D$4,Lookup!$E$3:$E$4)</f>
        <v>2012</v>
      </c>
      <c r="W371" t="str">
        <f>_xlfn.XLOOKUP(I371,Lookup!$G$3:$G$6,Lookup!$H$3:$H$6)</f>
        <v>Clear</v>
      </c>
      <c r="X371" t="str">
        <f>_xlfn.XLOOKUP(E371,Lookup!$J$3:$J$14,Lookup!$K$3:$K$14)</f>
        <v>January</v>
      </c>
      <c r="Y371" t="str">
        <f>_xlfn.XLOOKUP(G371,Lookup!$M$3:$M$9,Lookup!$N$3:$N$9)</f>
        <v>Thursday</v>
      </c>
    </row>
    <row r="372" spans="1:25" x14ac:dyDescent="0.3">
      <c r="A372">
        <v>371</v>
      </c>
      <c r="B372" s="1">
        <v>40914</v>
      </c>
      <c r="C372">
        <v>1</v>
      </c>
      <c r="D372">
        <v>1</v>
      </c>
      <c r="E372">
        <v>1</v>
      </c>
      <c r="F372">
        <v>0</v>
      </c>
      <c r="G372">
        <v>5</v>
      </c>
      <c r="H372">
        <v>1</v>
      </c>
      <c r="I372">
        <v>1</v>
      </c>
      <c r="J372">
        <v>0.33416699999999999</v>
      </c>
      <c r="K372">
        <v>0.34026699999999999</v>
      </c>
      <c r="L372">
        <v>0.54208299999999998</v>
      </c>
      <c r="M372">
        <v>0.167908</v>
      </c>
      <c r="N372">
        <v>307</v>
      </c>
      <c r="O372">
        <v>3791</v>
      </c>
      <c r="P372">
        <v>4098</v>
      </c>
      <c r="Q372">
        <f t="shared" si="20"/>
        <v>7.7058489999999988</v>
      </c>
      <c r="R372">
        <f t="shared" si="21"/>
        <v>6.4576220000000006</v>
      </c>
      <c r="S372">
        <f t="shared" si="22"/>
        <v>54.208300000000001</v>
      </c>
      <c r="T372">
        <f t="shared" si="23"/>
        <v>11.249836</v>
      </c>
      <c r="U372" t="str">
        <f>_xlfn.XLOOKUP(C372,Lookup!$A$3:$A$6,Lookup!$B$3:$B$6)</f>
        <v>Winter</v>
      </c>
      <c r="V372">
        <f>_xlfn.XLOOKUP(D372,Lookup!$D$3:$D$4,Lookup!$E$3:$E$4)</f>
        <v>2012</v>
      </c>
      <c r="W372" t="str">
        <f>_xlfn.XLOOKUP(I372,Lookup!$G$3:$G$6,Lookup!$H$3:$H$6)</f>
        <v>Clear</v>
      </c>
      <c r="X372" t="str">
        <f>_xlfn.XLOOKUP(E372,Lookup!$J$3:$J$14,Lookup!$K$3:$K$14)</f>
        <v>January</v>
      </c>
      <c r="Y372" t="str">
        <f>_xlfn.XLOOKUP(G372,Lookup!$M$3:$M$9,Lookup!$N$3:$N$9)</f>
        <v>Friday</v>
      </c>
    </row>
    <row r="373" spans="1:25" x14ac:dyDescent="0.3">
      <c r="A373">
        <v>372</v>
      </c>
      <c r="B373" s="1">
        <v>40915</v>
      </c>
      <c r="C373">
        <v>1</v>
      </c>
      <c r="D373">
        <v>1</v>
      </c>
      <c r="E373">
        <v>1</v>
      </c>
      <c r="F373">
        <v>0</v>
      </c>
      <c r="G373">
        <v>6</v>
      </c>
      <c r="H373">
        <v>0</v>
      </c>
      <c r="I373">
        <v>1</v>
      </c>
      <c r="J373">
        <v>0.39333299999999999</v>
      </c>
      <c r="K373">
        <v>0.39077899999999999</v>
      </c>
      <c r="L373">
        <v>0.531667</v>
      </c>
      <c r="M373">
        <v>0.174758</v>
      </c>
      <c r="N373">
        <v>1070</v>
      </c>
      <c r="O373">
        <v>3451</v>
      </c>
      <c r="P373">
        <v>4521</v>
      </c>
      <c r="Q373">
        <f t="shared" si="20"/>
        <v>10.486650999999998</v>
      </c>
      <c r="R373">
        <f t="shared" si="21"/>
        <v>9.7914139999999996</v>
      </c>
      <c r="S373">
        <f t="shared" si="22"/>
        <v>53.166699999999999</v>
      </c>
      <c r="T373">
        <f t="shared" si="23"/>
        <v>11.708786</v>
      </c>
      <c r="U373" t="str">
        <f>_xlfn.XLOOKUP(C373,Lookup!$A$3:$A$6,Lookup!$B$3:$B$6)</f>
        <v>Winter</v>
      </c>
      <c r="V373">
        <f>_xlfn.XLOOKUP(D373,Lookup!$D$3:$D$4,Lookup!$E$3:$E$4)</f>
        <v>2012</v>
      </c>
      <c r="W373" t="str">
        <f>_xlfn.XLOOKUP(I373,Lookup!$G$3:$G$6,Lookup!$H$3:$H$6)</f>
        <v>Clear</v>
      </c>
      <c r="X373" t="str">
        <f>_xlfn.XLOOKUP(E373,Lookup!$J$3:$J$14,Lookup!$K$3:$K$14)</f>
        <v>January</v>
      </c>
      <c r="Y373" t="str">
        <f>_xlfn.XLOOKUP(G373,Lookup!$M$3:$M$9,Lookup!$N$3:$N$9)</f>
        <v>Saturday</v>
      </c>
    </row>
    <row r="374" spans="1:25" x14ac:dyDescent="0.3">
      <c r="A374">
        <v>373</v>
      </c>
      <c r="B374" s="1">
        <v>40916</v>
      </c>
      <c r="C374">
        <v>1</v>
      </c>
      <c r="D374">
        <v>1</v>
      </c>
      <c r="E374">
        <v>1</v>
      </c>
      <c r="F374">
        <v>0</v>
      </c>
      <c r="G374">
        <v>0</v>
      </c>
      <c r="H374">
        <v>0</v>
      </c>
      <c r="I374">
        <v>1</v>
      </c>
      <c r="J374">
        <v>0.33750000000000002</v>
      </c>
      <c r="K374">
        <v>0.340258</v>
      </c>
      <c r="L374">
        <v>0.46500000000000002</v>
      </c>
      <c r="M374">
        <v>0.19154199999999999</v>
      </c>
      <c r="N374">
        <v>599</v>
      </c>
      <c r="O374">
        <v>2826</v>
      </c>
      <c r="P374">
        <v>3425</v>
      </c>
      <c r="Q374">
        <f t="shared" si="20"/>
        <v>7.8625000000000007</v>
      </c>
      <c r="R374">
        <f t="shared" si="21"/>
        <v>6.4570280000000011</v>
      </c>
      <c r="S374">
        <f t="shared" si="22"/>
        <v>46.5</v>
      </c>
      <c r="T374">
        <f t="shared" si="23"/>
        <v>12.833314</v>
      </c>
      <c r="U374" t="str">
        <f>_xlfn.XLOOKUP(C374,Lookup!$A$3:$A$6,Lookup!$B$3:$B$6)</f>
        <v>Winter</v>
      </c>
      <c r="V374">
        <f>_xlfn.XLOOKUP(D374,Lookup!$D$3:$D$4,Lookup!$E$3:$E$4)</f>
        <v>2012</v>
      </c>
      <c r="W374" t="str">
        <f>_xlfn.XLOOKUP(I374,Lookup!$G$3:$G$6,Lookup!$H$3:$H$6)</f>
        <v>Clear</v>
      </c>
      <c r="X374" t="str">
        <f>_xlfn.XLOOKUP(E374,Lookup!$J$3:$J$14,Lookup!$K$3:$K$14)</f>
        <v>January</v>
      </c>
      <c r="Y374" t="str">
        <f>_xlfn.XLOOKUP(G374,Lookup!$M$3:$M$9,Lookup!$N$3:$N$9)</f>
        <v>Sunday</v>
      </c>
    </row>
    <row r="375" spans="1:25" x14ac:dyDescent="0.3">
      <c r="A375">
        <v>374</v>
      </c>
      <c r="B375" s="1">
        <v>40917</v>
      </c>
      <c r="C375">
        <v>1</v>
      </c>
      <c r="D375">
        <v>1</v>
      </c>
      <c r="E375">
        <v>1</v>
      </c>
      <c r="F375">
        <v>0</v>
      </c>
      <c r="G375">
        <v>1</v>
      </c>
      <c r="H375">
        <v>1</v>
      </c>
      <c r="I375">
        <v>2</v>
      </c>
      <c r="J375">
        <v>0.22416700000000001</v>
      </c>
      <c r="K375">
        <v>0.247479</v>
      </c>
      <c r="L375">
        <v>0.70166700000000004</v>
      </c>
      <c r="M375">
        <v>9.8900000000000002E-2</v>
      </c>
      <c r="N375">
        <v>106</v>
      </c>
      <c r="O375">
        <v>2270</v>
      </c>
      <c r="P375">
        <v>2376</v>
      </c>
      <c r="Q375">
        <f t="shared" si="20"/>
        <v>2.5358490000000007</v>
      </c>
      <c r="R375">
        <f t="shared" si="21"/>
        <v>0.33361400000000074</v>
      </c>
      <c r="S375">
        <f t="shared" si="22"/>
        <v>70.166700000000006</v>
      </c>
      <c r="T375">
        <f t="shared" si="23"/>
        <v>6.6263000000000005</v>
      </c>
      <c r="U375" t="str">
        <f>_xlfn.XLOOKUP(C375,Lookup!$A$3:$A$6,Lookup!$B$3:$B$6)</f>
        <v>Winter</v>
      </c>
      <c r="V375">
        <f>_xlfn.XLOOKUP(D375,Lookup!$D$3:$D$4,Lookup!$E$3:$E$4)</f>
        <v>2012</v>
      </c>
      <c r="W375" t="str">
        <f>_xlfn.XLOOKUP(I375,Lookup!$G$3:$G$6,Lookup!$H$3:$H$6)</f>
        <v>Misty/Cloudy</v>
      </c>
      <c r="X375" t="str">
        <f>_xlfn.XLOOKUP(E375,Lookup!$J$3:$J$14,Lookup!$K$3:$K$14)</f>
        <v>January</v>
      </c>
      <c r="Y375" t="str">
        <f>_xlfn.XLOOKUP(G375,Lookup!$M$3:$M$9,Lookup!$N$3:$N$9)</f>
        <v>Monday</v>
      </c>
    </row>
    <row r="376" spans="1:25" x14ac:dyDescent="0.3">
      <c r="A376">
        <v>375</v>
      </c>
      <c r="B376" s="1">
        <v>40918</v>
      </c>
      <c r="C376">
        <v>1</v>
      </c>
      <c r="D376">
        <v>1</v>
      </c>
      <c r="E376">
        <v>1</v>
      </c>
      <c r="F376">
        <v>0</v>
      </c>
      <c r="G376">
        <v>2</v>
      </c>
      <c r="H376">
        <v>1</v>
      </c>
      <c r="I376">
        <v>1</v>
      </c>
      <c r="J376">
        <v>0.30869600000000003</v>
      </c>
      <c r="K376">
        <v>0.318826</v>
      </c>
      <c r="L376">
        <v>0.64652200000000004</v>
      </c>
      <c r="M376">
        <v>0.187552</v>
      </c>
      <c r="N376">
        <v>173</v>
      </c>
      <c r="O376">
        <v>3425</v>
      </c>
      <c r="P376">
        <v>3598</v>
      </c>
      <c r="Q376">
        <f t="shared" si="20"/>
        <v>6.5087120000000009</v>
      </c>
      <c r="R376">
        <f t="shared" si="21"/>
        <v>5.0425159999999991</v>
      </c>
      <c r="S376">
        <f t="shared" si="22"/>
        <v>64.652200000000008</v>
      </c>
      <c r="T376">
        <f t="shared" si="23"/>
        <v>12.565984</v>
      </c>
      <c r="U376" t="str">
        <f>_xlfn.XLOOKUP(C376,Lookup!$A$3:$A$6,Lookup!$B$3:$B$6)</f>
        <v>Winter</v>
      </c>
      <c r="V376">
        <f>_xlfn.XLOOKUP(D376,Lookup!$D$3:$D$4,Lookup!$E$3:$E$4)</f>
        <v>2012</v>
      </c>
      <c r="W376" t="str">
        <f>_xlfn.XLOOKUP(I376,Lookup!$G$3:$G$6,Lookup!$H$3:$H$6)</f>
        <v>Clear</v>
      </c>
      <c r="X376" t="str">
        <f>_xlfn.XLOOKUP(E376,Lookup!$J$3:$J$14,Lookup!$K$3:$K$14)</f>
        <v>January</v>
      </c>
      <c r="Y376" t="str">
        <f>_xlfn.XLOOKUP(G376,Lookup!$M$3:$M$9,Lookup!$N$3:$N$9)</f>
        <v>Tuesday</v>
      </c>
    </row>
    <row r="377" spans="1:25" x14ac:dyDescent="0.3">
      <c r="A377">
        <v>376</v>
      </c>
      <c r="B377" s="1">
        <v>40919</v>
      </c>
      <c r="C377">
        <v>1</v>
      </c>
      <c r="D377">
        <v>1</v>
      </c>
      <c r="E377">
        <v>1</v>
      </c>
      <c r="F377">
        <v>0</v>
      </c>
      <c r="G377">
        <v>3</v>
      </c>
      <c r="H377">
        <v>1</v>
      </c>
      <c r="I377">
        <v>2</v>
      </c>
      <c r="J377">
        <v>0.27416699999999999</v>
      </c>
      <c r="K377">
        <v>0.28282099999999999</v>
      </c>
      <c r="L377">
        <v>0.84750000000000003</v>
      </c>
      <c r="M377">
        <v>0.131221</v>
      </c>
      <c r="N377">
        <v>92</v>
      </c>
      <c r="O377">
        <v>2085</v>
      </c>
      <c r="P377">
        <v>2177</v>
      </c>
      <c r="Q377">
        <f t="shared" si="20"/>
        <v>4.8858490000000003</v>
      </c>
      <c r="R377">
        <f t="shared" si="21"/>
        <v>2.6661859999999997</v>
      </c>
      <c r="S377">
        <f t="shared" si="22"/>
        <v>84.75</v>
      </c>
      <c r="T377">
        <f t="shared" si="23"/>
        <v>8.7918070000000004</v>
      </c>
      <c r="U377" t="str">
        <f>_xlfn.XLOOKUP(C377,Lookup!$A$3:$A$6,Lookup!$B$3:$B$6)</f>
        <v>Winter</v>
      </c>
      <c r="V377">
        <f>_xlfn.XLOOKUP(D377,Lookup!$D$3:$D$4,Lookup!$E$3:$E$4)</f>
        <v>2012</v>
      </c>
      <c r="W377" t="str">
        <f>_xlfn.XLOOKUP(I377,Lookup!$G$3:$G$6,Lookup!$H$3:$H$6)</f>
        <v>Misty/Cloudy</v>
      </c>
      <c r="X377" t="str">
        <f>_xlfn.XLOOKUP(E377,Lookup!$J$3:$J$14,Lookup!$K$3:$K$14)</f>
        <v>January</v>
      </c>
      <c r="Y377" t="str">
        <f>_xlfn.XLOOKUP(G377,Lookup!$M$3:$M$9,Lookup!$N$3:$N$9)</f>
        <v>Wednesday</v>
      </c>
    </row>
    <row r="378" spans="1:25" x14ac:dyDescent="0.3">
      <c r="A378">
        <v>377</v>
      </c>
      <c r="B378" s="1">
        <v>40920</v>
      </c>
      <c r="C378">
        <v>1</v>
      </c>
      <c r="D378">
        <v>1</v>
      </c>
      <c r="E378">
        <v>1</v>
      </c>
      <c r="F378">
        <v>0</v>
      </c>
      <c r="G378">
        <v>4</v>
      </c>
      <c r="H378">
        <v>1</v>
      </c>
      <c r="I378">
        <v>2</v>
      </c>
      <c r="J378">
        <v>0.38250000000000001</v>
      </c>
      <c r="K378">
        <v>0.381938</v>
      </c>
      <c r="L378">
        <v>0.80291699999999999</v>
      </c>
      <c r="M378">
        <v>0.18096699999999999</v>
      </c>
      <c r="N378">
        <v>269</v>
      </c>
      <c r="O378">
        <v>3828</v>
      </c>
      <c r="P378">
        <v>4097</v>
      </c>
      <c r="Q378">
        <f t="shared" si="20"/>
        <v>9.9774999999999991</v>
      </c>
      <c r="R378">
        <f t="shared" si="21"/>
        <v>9.2079079999999998</v>
      </c>
      <c r="S378">
        <f t="shared" si="22"/>
        <v>80.291700000000006</v>
      </c>
      <c r="T378">
        <f t="shared" si="23"/>
        <v>12.124789</v>
      </c>
      <c r="U378" t="str">
        <f>_xlfn.XLOOKUP(C378,Lookup!$A$3:$A$6,Lookup!$B$3:$B$6)</f>
        <v>Winter</v>
      </c>
      <c r="V378">
        <f>_xlfn.XLOOKUP(D378,Lookup!$D$3:$D$4,Lookup!$E$3:$E$4)</f>
        <v>2012</v>
      </c>
      <c r="W378" t="str">
        <f>_xlfn.XLOOKUP(I378,Lookup!$G$3:$G$6,Lookup!$H$3:$H$6)</f>
        <v>Misty/Cloudy</v>
      </c>
      <c r="X378" t="str">
        <f>_xlfn.XLOOKUP(E378,Lookup!$J$3:$J$14,Lookup!$K$3:$K$14)</f>
        <v>January</v>
      </c>
      <c r="Y378" t="str">
        <f>_xlfn.XLOOKUP(G378,Lookup!$M$3:$M$9,Lookup!$N$3:$N$9)</f>
        <v>Thursday</v>
      </c>
    </row>
    <row r="379" spans="1:25" x14ac:dyDescent="0.3">
      <c r="A379">
        <v>378</v>
      </c>
      <c r="B379" s="1">
        <v>40921</v>
      </c>
      <c r="C379">
        <v>1</v>
      </c>
      <c r="D379">
        <v>1</v>
      </c>
      <c r="E379">
        <v>1</v>
      </c>
      <c r="F379">
        <v>0</v>
      </c>
      <c r="G379">
        <v>5</v>
      </c>
      <c r="H379">
        <v>1</v>
      </c>
      <c r="I379">
        <v>1</v>
      </c>
      <c r="J379">
        <v>0.27416699999999999</v>
      </c>
      <c r="K379">
        <v>0.249362</v>
      </c>
      <c r="L379">
        <v>0.50749999999999995</v>
      </c>
      <c r="M379">
        <v>0.378108</v>
      </c>
      <c r="N379">
        <v>174</v>
      </c>
      <c r="O379">
        <v>3040</v>
      </c>
      <c r="P379">
        <v>3214</v>
      </c>
      <c r="Q379">
        <f t="shared" si="20"/>
        <v>4.8858490000000003</v>
      </c>
      <c r="R379">
        <f t="shared" si="21"/>
        <v>0.45789200000000108</v>
      </c>
      <c r="S379">
        <f t="shared" si="22"/>
        <v>50.749999999999993</v>
      </c>
      <c r="T379">
        <f t="shared" si="23"/>
        <v>25.333235999999999</v>
      </c>
      <c r="U379" t="str">
        <f>_xlfn.XLOOKUP(C379,Lookup!$A$3:$A$6,Lookup!$B$3:$B$6)</f>
        <v>Winter</v>
      </c>
      <c r="V379">
        <f>_xlfn.XLOOKUP(D379,Lookup!$D$3:$D$4,Lookup!$E$3:$E$4)</f>
        <v>2012</v>
      </c>
      <c r="W379" t="str">
        <f>_xlfn.XLOOKUP(I379,Lookup!$G$3:$G$6,Lookup!$H$3:$H$6)</f>
        <v>Clear</v>
      </c>
      <c r="X379" t="str">
        <f>_xlfn.XLOOKUP(E379,Lookup!$J$3:$J$14,Lookup!$K$3:$K$14)</f>
        <v>January</v>
      </c>
      <c r="Y379" t="str">
        <f>_xlfn.XLOOKUP(G379,Lookup!$M$3:$M$9,Lookup!$N$3:$N$9)</f>
        <v>Friday</v>
      </c>
    </row>
    <row r="380" spans="1:25" x14ac:dyDescent="0.3">
      <c r="A380">
        <v>379</v>
      </c>
      <c r="B380" s="1">
        <v>40922</v>
      </c>
      <c r="C380">
        <v>1</v>
      </c>
      <c r="D380">
        <v>1</v>
      </c>
      <c r="E380">
        <v>1</v>
      </c>
      <c r="F380">
        <v>0</v>
      </c>
      <c r="G380">
        <v>6</v>
      </c>
      <c r="H380">
        <v>0</v>
      </c>
      <c r="I380">
        <v>1</v>
      </c>
      <c r="J380">
        <v>0.18</v>
      </c>
      <c r="K380">
        <v>0.183087</v>
      </c>
      <c r="L380">
        <v>0.45750000000000002</v>
      </c>
      <c r="M380">
        <v>0.18718299999999999</v>
      </c>
      <c r="N380">
        <v>333</v>
      </c>
      <c r="O380">
        <v>2160</v>
      </c>
      <c r="P380">
        <v>2493</v>
      </c>
      <c r="Q380">
        <f t="shared" si="20"/>
        <v>0.45999999999999908</v>
      </c>
      <c r="R380">
        <f t="shared" si="21"/>
        <v>-3.9162579999999991</v>
      </c>
      <c r="S380">
        <f t="shared" si="22"/>
        <v>45.75</v>
      </c>
      <c r="T380">
        <f t="shared" si="23"/>
        <v>12.541260999999999</v>
      </c>
      <c r="U380" t="str">
        <f>_xlfn.XLOOKUP(C380,Lookup!$A$3:$A$6,Lookup!$B$3:$B$6)</f>
        <v>Winter</v>
      </c>
      <c r="V380">
        <f>_xlfn.XLOOKUP(D380,Lookup!$D$3:$D$4,Lookup!$E$3:$E$4)</f>
        <v>2012</v>
      </c>
      <c r="W380" t="str">
        <f>_xlfn.XLOOKUP(I380,Lookup!$G$3:$G$6,Lookup!$H$3:$H$6)</f>
        <v>Clear</v>
      </c>
      <c r="X380" t="str">
        <f>_xlfn.XLOOKUP(E380,Lookup!$J$3:$J$14,Lookup!$K$3:$K$14)</f>
        <v>January</v>
      </c>
      <c r="Y380" t="str">
        <f>_xlfn.XLOOKUP(G380,Lookup!$M$3:$M$9,Lookup!$N$3:$N$9)</f>
        <v>Saturday</v>
      </c>
    </row>
    <row r="381" spans="1:25" x14ac:dyDescent="0.3">
      <c r="A381">
        <v>380</v>
      </c>
      <c r="B381" s="1">
        <v>40923</v>
      </c>
      <c r="C381">
        <v>1</v>
      </c>
      <c r="D381">
        <v>1</v>
      </c>
      <c r="E381">
        <v>1</v>
      </c>
      <c r="F381">
        <v>0</v>
      </c>
      <c r="G381">
        <v>0</v>
      </c>
      <c r="H381">
        <v>0</v>
      </c>
      <c r="I381">
        <v>1</v>
      </c>
      <c r="J381">
        <v>0.16666700000000001</v>
      </c>
      <c r="K381">
        <v>0.16162499999999999</v>
      </c>
      <c r="L381">
        <v>0.41916700000000001</v>
      </c>
      <c r="M381">
        <v>0.25125799999999998</v>
      </c>
      <c r="N381">
        <v>284</v>
      </c>
      <c r="O381">
        <v>2027</v>
      </c>
      <c r="P381">
        <v>2311</v>
      </c>
      <c r="Q381">
        <f t="shared" si="20"/>
        <v>-0.16665099999999988</v>
      </c>
      <c r="R381">
        <f t="shared" si="21"/>
        <v>-5.3327500000000008</v>
      </c>
      <c r="S381">
        <f t="shared" si="22"/>
        <v>41.916699999999999</v>
      </c>
      <c r="T381">
        <f t="shared" si="23"/>
        <v>16.834285999999999</v>
      </c>
      <c r="U381" t="str">
        <f>_xlfn.XLOOKUP(C381,Lookup!$A$3:$A$6,Lookup!$B$3:$B$6)</f>
        <v>Winter</v>
      </c>
      <c r="V381">
        <f>_xlfn.XLOOKUP(D381,Lookup!$D$3:$D$4,Lookup!$E$3:$E$4)</f>
        <v>2012</v>
      </c>
      <c r="W381" t="str">
        <f>_xlfn.XLOOKUP(I381,Lookup!$G$3:$G$6,Lookup!$H$3:$H$6)</f>
        <v>Clear</v>
      </c>
      <c r="X381" t="str">
        <f>_xlfn.XLOOKUP(E381,Lookup!$J$3:$J$14,Lookup!$K$3:$K$14)</f>
        <v>January</v>
      </c>
      <c r="Y381" t="str">
        <f>_xlfn.XLOOKUP(G381,Lookup!$M$3:$M$9,Lookup!$N$3:$N$9)</f>
        <v>Sunday</v>
      </c>
    </row>
    <row r="382" spans="1:25" x14ac:dyDescent="0.3">
      <c r="A382">
        <v>381</v>
      </c>
      <c r="B382" s="1">
        <v>40924</v>
      </c>
      <c r="C382">
        <v>1</v>
      </c>
      <c r="D382">
        <v>1</v>
      </c>
      <c r="E382">
        <v>1</v>
      </c>
      <c r="F382">
        <v>1</v>
      </c>
      <c r="G382">
        <v>1</v>
      </c>
      <c r="H382">
        <v>0</v>
      </c>
      <c r="I382">
        <v>1</v>
      </c>
      <c r="J382">
        <v>0.19</v>
      </c>
      <c r="K382">
        <v>0.190663</v>
      </c>
      <c r="L382">
        <v>0.52249999999999996</v>
      </c>
      <c r="M382">
        <v>0.23135800000000001</v>
      </c>
      <c r="N382">
        <v>217</v>
      </c>
      <c r="O382">
        <v>2081</v>
      </c>
      <c r="P382">
        <v>2298</v>
      </c>
      <c r="Q382">
        <f t="shared" si="20"/>
        <v>0.92999999999999972</v>
      </c>
      <c r="R382">
        <f t="shared" si="21"/>
        <v>-3.4162420000000004</v>
      </c>
      <c r="S382">
        <f t="shared" si="22"/>
        <v>52.25</v>
      </c>
      <c r="T382">
        <f t="shared" si="23"/>
        <v>15.500986000000001</v>
      </c>
      <c r="U382" t="str">
        <f>_xlfn.XLOOKUP(C382,Lookup!$A$3:$A$6,Lookup!$B$3:$B$6)</f>
        <v>Winter</v>
      </c>
      <c r="V382">
        <f>_xlfn.XLOOKUP(D382,Lookup!$D$3:$D$4,Lookup!$E$3:$E$4)</f>
        <v>2012</v>
      </c>
      <c r="W382" t="str">
        <f>_xlfn.XLOOKUP(I382,Lookup!$G$3:$G$6,Lookup!$H$3:$H$6)</f>
        <v>Clear</v>
      </c>
      <c r="X382" t="str">
        <f>_xlfn.XLOOKUP(E382,Lookup!$J$3:$J$14,Lookup!$K$3:$K$14)</f>
        <v>January</v>
      </c>
      <c r="Y382" t="str">
        <f>_xlfn.XLOOKUP(G382,Lookup!$M$3:$M$9,Lookup!$N$3:$N$9)</f>
        <v>Monday</v>
      </c>
    </row>
    <row r="383" spans="1:25" x14ac:dyDescent="0.3">
      <c r="A383">
        <v>382</v>
      </c>
      <c r="B383" s="1">
        <v>40925</v>
      </c>
      <c r="C383">
        <v>1</v>
      </c>
      <c r="D383">
        <v>1</v>
      </c>
      <c r="E383">
        <v>1</v>
      </c>
      <c r="F383">
        <v>0</v>
      </c>
      <c r="G383">
        <v>2</v>
      </c>
      <c r="H383">
        <v>1</v>
      </c>
      <c r="I383">
        <v>2</v>
      </c>
      <c r="J383">
        <v>0.37304300000000001</v>
      </c>
      <c r="K383">
        <v>0.36427799999999999</v>
      </c>
      <c r="L383">
        <v>0.71608700000000003</v>
      </c>
      <c r="M383">
        <v>0.34913</v>
      </c>
      <c r="N383">
        <v>127</v>
      </c>
      <c r="O383">
        <v>2808</v>
      </c>
      <c r="P383">
        <v>2935</v>
      </c>
      <c r="Q383">
        <f t="shared" si="20"/>
        <v>9.5330210000000015</v>
      </c>
      <c r="R383">
        <f t="shared" si="21"/>
        <v>8.0423480000000005</v>
      </c>
      <c r="S383">
        <f t="shared" si="22"/>
        <v>71.608699999999999</v>
      </c>
      <c r="T383">
        <f t="shared" si="23"/>
        <v>23.39171</v>
      </c>
      <c r="U383" t="str">
        <f>_xlfn.XLOOKUP(C383,Lookup!$A$3:$A$6,Lookup!$B$3:$B$6)</f>
        <v>Winter</v>
      </c>
      <c r="V383">
        <f>_xlfn.XLOOKUP(D383,Lookup!$D$3:$D$4,Lookup!$E$3:$E$4)</f>
        <v>2012</v>
      </c>
      <c r="W383" t="str">
        <f>_xlfn.XLOOKUP(I383,Lookup!$G$3:$G$6,Lookup!$H$3:$H$6)</f>
        <v>Misty/Cloudy</v>
      </c>
      <c r="X383" t="str">
        <f>_xlfn.XLOOKUP(E383,Lookup!$J$3:$J$14,Lookup!$K$3:$K$14)</f>
        <v>January</v>
      </c>
      <c r="Y383" t="str">
        <f>_xlfn.XLOOKUP(G383,Lookup!$M$3:$M$9,Lookup!$N$3:$N$9)</f>
        <v>Tuesday</v>
      </c>
    </row>
    <row r="384" spans="1:25" x14ac:dyDescent="0.3">
      <c r="A384">
        <v>383</v>
      </c>
      <c r="B384" s="1">
        <v>40926</v>
      </c>
      <c r="C384">
        <v>1</v>
      </c>
      <c r="D384">
        <v>1</v>
      </c>
      <c r="E384">
        <v>1</v>
      </c>
      <c r="F384">
        <v>0</v>
      </c>
      <c r="G384">
        <v>3</v>
      </c>
      <c r="H384">
        <v>1</v>
      </c>
      <c r="I384">
        <v>1</v>
      </c>
      <c r="J384">
        <v>0.30333300000000002</v>
      </c>
      <c r="K384">
        <v>0.275254</v>
      </c>
      <c r="L384">
        <v>0.44333299999999998</v>
      </c>
      <c r="M384">
        <v>0.41542899999999999</v>
      </c>
      <c r="N384">
        <v>109</v>
      </c>
      <c r="O384">
        <v>3267</v>
      </c>
      <c r="P384">
        <v>3376</v>
      </c>
      <c r="Q384">
        <f t="shared" si="20"/>
        <v>6.2566510000000015</v>
      </c>
      <c r="R384">
        <f t="shared" si="21"/>
        <v>2.1667640000000006</v>
      </c>
      <c r="S384">
        <f t="shared" si="22"/>
        <v>44.333299999999994</v>
      </c>
      <c r="T384">
        <f t="shared" si="23"/>
        <v>27.833742999999998</v>
      </c>
      <c r="U384" t="str">
        <f>_xlfn.XLOOKUP(C384,Lookup!$A$3:$A$6,Lookup!$B$3:$B$6)</f>
        <v>Winter</v>
      </c>
      <c r="V384">
        <f>_xlfn.XLOOKUP(D384,Lookup!$D$3:$D$4,Lookup!$E$3:$E$4)</f>
        <v>2012</v>
      </c>
      <c r="W384" t="str">
        <f>_xlfn.XLOOKUP(I384,Lookup!$G$3:$G$6,Lookup!$H$3:$H$6)</f>
        <v>Clear</v>
      </c>
      <c r="X384" t="str">
        <f>_xlfn.XLOOKUP(E384,Lookup!$J$3:$J$14,Lookup!$K$3:$K$14)</f>
        <v>January</v>
      </c>
      <c r="Y384" t="str">
        <f>_xlfn.XLOOKUP(G384,Lookup!$M$3:$M$9,Lookup!$N$3:$N$9)</f>
        <v>Wednesday</v>
      </c>
    </row>
    <row r="385" spans="1:25" x14ac:dyDescent="0.3">
      <c r="A385">
        <v>384</v>
      </c>
      <c r="B385" s="1">
        <v>40927</v>
      </c>
      <c r="C385">
        <v>1</v>
      </c>
      <c r="D385">
        <v>1</v>
      </c>
      <c r="E385">
        <v>1</v>
      </c>
      <c r="F385">
        <v>0</v>
      </c>
      <c r="G385">
        <v>4</v>
      </c>
      <c r="H385">
        <v>1</v>
      </c>
      <c r="I385">
        <v>1</v>
      </c>
      <c r="J385">
        <v>0.19</v>
      </c>
      <c r="K385">
        <v>0.19003800000000001</v>
      </c>
      <c r="L385">
        <v>0.4975</v>
      </c>
      <c r="M385">
        <v>0.22015799999999999</v>
      </c>
      <c r="N385">
        <v>130</v>
      </c>
      <c r="O385">
        <v>3162</v>
      </c>
      <c r="P385">
        <v>3292</v>
      </c>
      <c r="Q385">
        <f t="shared" si="20"/>
        <v>0.92999999999999972</v>
      </c>
      <c r="R385">
        <f t="shared" si="21"/>
        <v>-3.4574919999999985</v>
      </c>
      <c r="S385">
        <f t="shared" si="22"/>
        <v>49.75</v>
      </c>
      <c r="T385">
        <f t="shared" si="23"/>
        <v>14.750586</v>
      </c>
      <c r="U385" t="str">
        <f>_xlfn.XLOOKUP(C385,Lookup!$A$3:$A$6,Lookup!$B$3:$B$6)</f>
        <v>Winter</v>
      </c>
      <c r="V385">
        <f>_xlfn.XLOOKUP(D385,Lookup!$D$3:$D$4,Lookup!$E$3:$E$4)</f>
        <v>2012</v>
      </c>
      <c r="W385" t="str">
        <f>_xlfn.XLOOKUP(I385,Lookup!$G$3:$G$6,Lookup!$H$3:$H$6)</f>
        <v>Clear</v>
      </c>
      <c r="X385" t="str">
        <f>_xlfn.XLOOKUP(E385,Lookup!$J$3:$J$14,Lookup!$K$3:$K$14)</f>
        <v>January</v>
      </c>
      <c r="Y385" t="str">
        <f>_xlfn.XLOOKUP(G385,Lookup!$M$3:$M$9,Lookup!$N$3:$N$9)</f>
        <v>Thursday</v>
      </c>
    </row>
    <row r="386" spans="1:25" x14ac:dyDescent="0.3">
      <c r="A386">
        <v>385</v>
      </c>
      <c r="B386" s="1">
        <v>40928</v>
      </c>
      <c r="C386">
        <v>1</v>
      </c>
      <c r="D386">
        <v>1</v>
      </c>
      <c r="E386">
        <v>1</v>
      </c>
      <c r="F386">
        <v>0</v>
      </c>
      <c r="G386">
        <v>5</v>
      </c>
      <c r="H386">
        <v>1</v>
      </c>
      <c r="I386">
        <v>2</v>
      </c>
      <c r="J386">
        <v>0.2175</v>
      </c>
      <c r="K386">
        <v>0.22095799999999999</v>
      </c>
      <c r="L386">
        <v>0.45</v>
      </c>
      <c r="M386">
        <v>0.20275000000000001</v>
      </c>
      <c r="N386">
        <v>115</v>
      </c>
      <c r="O386">
        <v>3048</v>
      </c>
      <c r="P386">
        <v>3163</v>
      </c>
      <c r="Q386">
        <f t="shared" si="20"/>
        <v>2.2225000000000001</v>
      </c>
      <c r="R386">
        <f t="shared" si="21"/>
        <v>-1.4167720000000017</v>
      </c>
      <c r="S386">
        <f t="shared" si="22"/>
        <v>45</v>
      </c>
      <c r="T386">
        <f t="shared" si="23"/>
        <v>13.584250000000001</v>
      </c>
      <c r="U386" t="str">
        <f>_xlfn.XLOOKUP(C386,Lookup!$A$3:$A$6,Lookup!$B$3:$B$6)</f>
        <v>Winter</v>
      </c>
      <c r="V386">
        <f>_xlfn.XLOOKUP(D386,Lookup!$D$3:$D$4,Lookup!$E$3:$E$4)</f>
        <v>2012</v>
      </c>
      <c r="W386" t="str">
        <f>_xlfn.XLOOKUP(I386,Lookup!$G$3:$G$6,Lookup!$H$3:$H$6)</f>
        <v>Misty/Cloudy</v>
      </c>
      <c r="X386" t="str">
        <f>_xlfn.XLOOKUP(E386,Lookup!$J$3:$J$14,Lookup!$K$3:$K$14)</f>
        <v>January</v>
      </c>
      <c r="Y386" t="str">
        <f>_xlfn.XLOOKUP(G386,Lookup!$M$3:$M$9,Lookup!$N$3:$N$9)</f>
        <v>Friday</v>
      </c>
    </row>
    <row r="387" spans="1:25" x14ac:dyDescent="0.3">
      <c r="A387">
        <v>386</v>
      </c>
      <c r="B387" s="1">
        <v>40929</v>
      </c>
      <c r="C387">
        <v>1</v>
      </c>
      <c r="D387">
        <v>1</v>
      </c>
      <c r="E387">
        <v>1</v>
      </c>
      <c r="F387">
        <v>0</v>
      </c>
      <c r="G387">
        <v>6</v>
      </c>
      <c r="H387">
        <v>0</v>
      </c>
      <c r="I387">
        <v>2</v>
      </c>
      <c r="J387">
        <v>0.17333299999999999</v>
      </c>
      <c r="K387">
        <v>0.174875</v>
      </c>
      <c r="L387">
        <v>0.83125000000000004</v>
      </c>
      <c r="M387">
        <v>0.22264200000000001</v>
      </c>
      <c r="N387">
        <v>67</v>
      </c>
      <c r="O387">
        <v>1234</v>
      </c>
      <c r="P387">
        <v>1301</v>
      </c>
      <c r="Q387">
        <f t="shared" ref="Q387:Q450" si="24">J387*47-8</f>
        <v>0.14665099999999853</v>
      </c>
      <c r="R387">
        <f t="shared" ref="R387:R450" si="25">K387*66-16</f>
        <v>-4.4582499999999996</v>
      </c>
      <c r="S387">
        <f t="shared" ref="S387:S450" si="26">L387*100</f>
        <v>83.125</v>
      </c>
      <c r="T387">
        <f t="shared" ref="T387:T450" si="27">M387*67</f>
        <v>14.917014</v>
      </c>
      <c r="U387" t="str">
        <f>_xlfn.XLOOKUP(C387,Lookup!$A$3:$A$6,Lookup!$B$3:$B$6)</f>
        <v>Winter</v>
      </c>
      <c r="V387">
        <f>_xlfn.XLOOKUP(D387,Lookup!$D$3:$D$4,Lookup!$E$3:$E$4)</f>
        <v>2012</v>
      </c>
      <c r="W387" t="str">
        <f>_xlfn.XLOOKUP(I387,Lookup!$G$3:$G$6,Lookup!$H$3:$H$6)</f>
        <v>Misty/Cloudy</v>
      </c>
      <c r="X387" t="str">
        <f>_xlfn.XLOOKUP(E387,Lookup!$J$3:$J$14,Lookup!$K$3:$K$14)</f>
        <v>January</v>
      </c>
      <c r="Y387" t="str">
        <f>_xlfn.XLOOKUP(G387,Lookup!$M$3:$M$9,Lookup!$N$3:$N$9)</f>
        <v>Saturday</v>
      </c>
    </row>
    <row r="388" spans="1:25" x14ac:dyDescent="0.3">
      <c r="A388">
        <v>387</v>
      </c>
      <c r="B388" s="1">
        <v>40930</v>
      </c>
      <c r="C388">
        <v>1</v>
      </c>
      <c r="D388">
        <v>1</v>
      </c>
      <c r="E388">
        <v>1</v>
      </c>
      <c r="F388">
        <v>0</v>
      </c>
      <c r="G388">
        <v>0</v>
      </c>
      <c r="H388">
        <v>0</v>
      </c>
      <c r="I388">
        <v>2</v>
      </c>
      <c r="J388">
        <v>0.16250000000000001</v>
      </c>
      <c r="K388">
        <v>0.16225000000000001</v>
      </c>
      <c r="L388">
        <v>0.79625000000000001</v>
      </c>
      <c r="M388">
        <v>0.19963800000000001</v>
      </c>
      <c r="N388">
        <v>196</v>
      </c>
      <c r="O388">
        <v>1781</v>
      </c>
      <c r="P388">
        <v>1977</v>
      </c>
      <c r="Q388">
        <f t="shared" si="24"/>
        <v>-0.36249999999999982</v>
      </c>
      <c r="R388">
        <f t="shared" si="25"/>
        <v>-5.2914999999999992</v>
      </c>
      <c r="S388">
        <f t="shared" si="26"/>
        <v>79.625</v>
      </c>
      <c r="T388">
        <f t="shared" si="27"/>
        <v>13.375746000000001</v>
      </c>
      <c r="U388" t="str">
        <f>_xlfn.XLOOKUP(C388,Lookup!$A$3:$A$6,Lookup!$B$3:$B$6)</f>
        <v>Winter</v>
      </c>
      <c r="V388">
        <f>_xlfn.XLOOKUP(D388,Lookup!$D$3:$D$4,Lookup!$E$3:$E$4)</f>
        <v>2012</v>
      </c>
      <c r="W388" t="str">
        <f>_xlfn.XLOOKUP(I388,Lookup!$G$3:$G$6,Lookup!$H$3:$H$6)</f>
        <v>Misty/Cloudy</v>
      </c>
      <c r="X388" t="str">
        <f>_xlfn.XLOOKUP(E388,Lookup!$J$3:$J$14,Lookup!$K$3:$K$14)</f>
        <v>January</v>
      </c>
      <c r="Y388" t="str">
        <f>_xlfn.XLOOKUP(G388,Lookup!$M$3:$M$9,Lookup!$N$3:$N$9)</f>
        <v>Sunday</v>
      </c>
    </row>
    <row r="389" spans="1:25" x14ac:dyDescent="0.3">
      <c r="A389">
        <v>388</v>
      </c>
      <c r="B389" s="1">
        <v>40931</v>
      </c>
      <c r="C389">
        <v>1</v>
      </c>
      <c r="D389">
        <v>1</v>
      </c>
      <c r="E389">
        <v>1</v>
      </c>
      <c r="F389">
        <v>0</v>
      </c>
      <c r="G389">
        <v>1</v>
      </c>
      <c r="H389">
        <v>1</v>
      </c>
      <c r="I389">
        <v>2</v>
      </c>
      <c r="J389">
        <v>0.218333</v>
      </c>
      <c r="K389">
        <v>0.243058</v>
      </c>
      <c r="L389">
        <v>0.91125</v>
      </c>
      <c r="M389">
        <v>0.110708</v>
      </c>
      <c r="N389">
        <v>145</v>
      </c>
      <c r="O389">
        <v>2287</v>
      </c>
      <c r="P389">
        <v>2432</v>
      </c>
      <c r="Q389">
        <f t="shared" si="24"/>
        <v>2.2616510000000005</v>
      </c>
      <c r="R389">
        <f t="shared" si="25"/>
        <v>4.1827999999998866E-2</v>
      </c>
      <c r="S389">
        <f t="shared" si="26"/>
        <v>91.125</v>
      </c>
      <c r="T389">
        <f t="shared" si="27"/>
        <v>7.4174360000000004</v>
      </c>
      <c r="U389" t="str">
        <f>_xlfn.XLOOKUP(C389,Lookup!$A$3:$A$6,Lookup!$B$3:$B$6)</f>
        <v>Winter</v>
      </c>
      <c r="V389">
        <f>_xlfn.XLOOKUP(D389,Lookup!$D$3:$D$4,Lookup!$E$3:$E$4)</f>
        <v>2012</v>
      </c>
      <c r="W389" t="str">
        <f>_xlfn.XLOOKUP(I389,Lookup!$G$3:$G$6,Lookup!$H$3:$H$6)</f>
        <v>Misty/Cloudy</v>
      </c>
      <c r="X389" t="str">
        <f>_xlfn.XLOOKUP(E389,Lookup!$J$3:$J$14,Lookup!$K$3:$K$14)</f>
        <v>January</v>
      </c>
      <c r="Y389" t="str">
        <f>_xlfn.XLOOKUP(G389,Lookup!$M$3:$M$9,Lookup!$N$3:$N$9)</f>
        <v>Monday</v>
      </c>
    </row>
    <row r="390" spans="1:25" x14ac:dyDescent="0.3">
      <c r="A390">
        <v>389</v>
      </c>
      <c r="B390" s="1">
        <v>40932</v>
      </c>
      <c r="C390">
        <v>1</v>
      </c>
      <c r="D390">
        <v>1</v>
      </c>
      <c r="E390">
        <v>1</v>
      </c>
      <c r="F390">
        <v>0</v>
      </c>
      <c r="G390">
        <v>2</v>
      </c>
      <c r="H390">
        <v>1</v>
      </c>
      <c r="I390">
        <v>1</v>
      </c>
      <c r="J390">
        <v>0.34250000000000003</v>
      </c>
      <c r="K390">
        <v>0.34910799999999997</v>
      </c>
      <c r="L390">
        <v>0.83583300000000005</v>
      </c>
      <c r="M390">
        <v>0.123767</v>
      </c>
      <c r="N390">
        <v>439</v>
      </c>
      <c r="O390">
        <v>3900</v>
      </c>
      <c r="P390">
        <v>4339</v>
      </c>
      <c r="Q390">
        <f t="shared" si="24"/>
        <v>8.0975000000000001</v>
      </c>
      <c r="R390">
        <f t="shared" si="25"/>
        <v>7.0411279999999969</v>
      </c>
      <c r="S390">
        <f t="shared" si="26"/>
        <v>83.583300000000008</v>
      </c>
      <c r="T390">
        <f t="shared" si="27"/>
        <v>8.292389</v>
      </c>
      <c r="U390" t="str">
        <f>_xlfn.XLOOKUP(C390,Lookup!$A$3:$A$6,Lookup!$B$3:$B$6)</f>
        <v>Winter</v>
      </c>
      <c r="V390">
        <f>_xlfn.XLOOKUP(D390,Lookup!$D$3:$D$4,Lookup!$E$3:$E$4)</f>
        <v>2012</v>
      </c>
      <c r="W390" t="str">
        <f>_xlfn.XLOOKUP(I390,Lookup!$G$3:$G$6,Lookup!$H$3:$H$6)</f>
        <v>Clear</v>
      </c>
      <c r="X390" t="str">
        <f>_xlfn.XLOOKUP(E390,Lookup!$J$3:$J$14,Lookup!$K$3:$K$14)</f>
        <v>January</v>
      </c>
      <c r="Y390" t="str">
        <f>_xlfn.XLOOKUP(G390,Lookup!$M$3:$M$9,Lookup!$N$3:$N$9)</f>
        <v>Tuesday</v>
      </c>
    </row>
    <row r="391" spans="1:25" x14ac:dyDescent="0.3">
      <c r="A391">
        <v>390</v>
      </c>
      <c r="B391" s="1">
        <v>40933</v>
      </c>
      <c r="C391">
        <v>1</v>
      </c>
      <c r="D391">
        <v>1</v>
      </c>
      <c r="E391">
        <v>1</v>
      </c>
      <c r="F391">
        <v>0</v>
      </c>
      <c r="G391">
        <v>3</v>
      </c>
      <c r="H391">
        <v>1</v>
      </c>
      <c r="I391">
        <v>1</v>
      </c>
      <c r="J391">
        <v>0.29416700000000001</v>
      </c>
      <c r="K391">
        <v>0.294821</v>
      </c>
      <c r="L391">
        <v>0.64375000000000004</v>
      </c>
      <c r="M391">
        <v>0.16107099999999999</v>
      </c>
      <c r="N391">
        <v>467</v>
      </c>
      <c r="O391">
        <v>3803</v>
      </c>
      <c r="P391">
        <v>4270</v>
      </c>
      <c r="Q391">
        <f t="shared" si="24"/>
        <v>5.8258489999999998</v>
      </c>
      <c r="R391">
        <f t="shared" si="25"/>
        <v>3.4581860000000013</v>
      </c>
      <c r="S391">
        <f t="shared" si="26"/>
        <v>64.375</v>
      </c>
      <c r="T391">
        <f t="shared" si="27"/>
        <v>10.791756999999999</v>
      </c>
      <c r="U391" t="str">
        <f>_xlfn.XLOOKUP(C391,Lookup!$A$3:$A$6,Lookup!$B$3:$B$6)</f>
        <v>Winter</v>
      </c>
      <c r="V391">
        <f>_xlfn.XLOOKUP(D391,Lookup!$D$3:$D$4,Lookup!$E$3:$E$4)</f>
        <v>2012</v>
      </c>
      <c r="W391" t="str">
        <f>_xlfn.XLOOKUP(I391,Lookup!$G$3:$G$6,Lookup!$H$3:$H$6)</f>
        <v>Clear</v>
      </c>
      <c r="X391" t="str">
        <f>_xlfn.XLOOKUP(E391,Lookup!$J$3:$J$14,Lookup!$K$3:$K$14)</f>
        <v>January</v>
      </c>
      <c r="Y391" t="str">
        <f>_xlfn.XLOOKUP(G391,Lookup!$M$3:$M$9,Lookup!$N$3:$N$9)</f>
        <v>Wednesday</v>
      </c>
    </row>
    <row r="392" spans="1:25" x14ac:dyDescent="0.3">
      <c r="A392">
        <v>391</v>
      </c>
      <c r="B392" s="1">
        <v>40934</v>
      </c>
      <c r="C392">
        <v>1</v>
      </c>
      <c r="D392">
        <v>1</v>
      </c>
      <c r="E392">
        <v>1</v>
      </c>
      <c r="F392">
        <v>0</v>
      </c>
      <c r="G392">
        <v>4</v>
      </c>
      <c r="H392">
        <v>1</v>
      </c>
      <c r="I392">
        <v>2</v>
      </c>
      <c r="J392">
        <v>0.341667</v>
      </c>
      <c r="K392">
        <v>0.35604999999999998</v>
      </c>
      <c r="L392">
        <v>0.76958300000000002</v>
      </c>
      <c r="M392">
        <v>7.3395799999999997E-2</v>
      </c>
      <c r="N392">
        <v>244</v>
      </c>
      <c r="O392">
        <v>3831</v>
      </c>
      <c r="P392">
        <v>4075</v>
      </c>
      <c r="Q392">
        <f t="shared" si="24"/>
        <v>8.0583489999999998</v>
      </c>
      <c r="R392">
        <f t="shared" si="25"/>
        <v>7.4992999999999981</v>
      </c>
      <c r="S392">
        <f t="shared" si="26"/>
        <v>76.958300000000008</v>
      </c>
      <c r="T392">
        <f t="shared" si="27"/>
        <v>4.9175186000000002</v>
      </c>
      <c r="U392" t="str">
        <f>_xlfn.XLOOKUP(C392,Lookup!$A$3:$A$6,Lookup!$B$3:$B$6)</f>
        <v>Winter</v>
      </c>
      <c r="V392">
        <f>_xlfn.XLOOKUP(D392,Lookup!$D$3:$D$4,Lookup!$E$3:$E$4)</f>
        <v>2012</v>
      </c>
      <c r="W392" t="str">
        <f>_xlfn.XLOOKUP(I392,Lookup!$G$3:$G$6,Lookup!$H$3:$H$6)</f>
        <v>Misty/Cloudy</v>
      </c>
      <c r="X392" t="str">
        <f>_xlfn.XLOOKUP(E392,Lookup!$J$3:$J$14,Lookup!$K$3:$K$14)</f>
        <v>January</v>
      </c>
      <c r="Y392" t="str">
        <f>_xlfn.XLOOKUP(G392,Lookup!$M$3:$M$9,Lookup!$N$3:$N$9)</f>
        <v>Thursday</v>
      </c>
    </row>
    <row r="393" spans="1:25" x14ac:dyDescent="0.3">
      <c r="A393">
        <v>392</v>
      </c>
      <c r="B393" s="1">
        <v>40935</v>
      </c>
      <c r="C393">
        <v>1</v>
      </c>
      <c r="D393">
        <v>1</v>
      </c>
      <c r="E393">
        <v>1</v>
      </c>
      <c r="F393">
        <v>0</v>
      </c>
      <c r="G393">
        <v>5</v>
      </c>
      <c r="H393">
        <v>1</v>
      </c>
      <c r="I393">
        <v>2</v>
      </c>
      <c r="J393">
        <v>0.42499999999999999</v>
      </c>
      <c r="K393">
        <v>0.415383</v>
      </c>
      <c r="L393">
        <v>0.74124999999999996</v>
      </c>
      <c r="M393">
        <v>0.342667</v>
      </c>
      <c r="N393">
        <v>269</v>
      </c>
      <c r="O393">
        <v>3187</v>
      </c>
      <c r="P393">
        <v>3456</v>
      </c>
      <c r="Q393">
        <f t="shared" si="24"/>
        <v>11.974999999999998</v>
      </c>
      <c r="R393">
        <f t="shared" si="25"/>
        <v>11.415278000000001</v>
      </c>
      <c r="S393">
        <f t="shared" si="26"/>
        <v>74.125</v>
      </c>
      <c r="T393">
        <f t="shared" si="27"/>
        <v>22.958689</v>
      </c>
      <c r="U393" t="str">
        <f>_xlfn.XLOOKUP(C393,Lookup!$A$3:$A$6,Lookup!$B$3:$B$6)</f>
        <v>Winter</v>
      </c>
      <c r="V393">
        <f>_xlfn.XLOOKUP(D393,Lookup!$D$3:$D$4,Lookup!$E$3:$E$4)</f>
        <v>2012</v>
      </c>
      <c r="W393" t="str">
        <f>_xlfn.XLOOKUP(I393,Lookup!$G$3:$G$6,Lookup!$H$3:$H$6)</f>
        <v>Misty/Cloudy</v>
      </c>
      <c r="X393" t="str">
        <f>_xlfn.XLOOKUP(E393,Lookup!$J$3:$J$14,Lookup!$K$3:$K$14)</f>
        <v>January</v>
      </c>
      <c r="Y393" t="str">
        <f>_xlfn.XLOOKUP(G393,Lookup!$M$3:$M$9,Lookup!$N$3:$N$9)</f>
        <v>Friday</v>
      </c>
    </row>
    <row r="394" spans="1:25" x14ac:dyDescent="0.3">
      <c r="A394">
        <v>393</v>
      </c>
      <c r="B394" s="1">
        <v>40936</v>
      </c>
      <c r="C394">
        <v>1</v>
      </c>
      <c r="D394">
        <v>1</v>
      </c>
      <c r="E394">
        <v>1</v>
      </c>
      <c r="F394">
        <v>0</v>
      </c>
      <c r="G394">
        <v>6</v>
      </c>
      <c r="H394">
        <v>0</v>
      </c>
      <c r="I394">
        <v>1</v>
      </c>
      <c r="J394">
        <v>0.31583299999999997</v>
      </c>
      <c r="K394">
        <v>0.32637899999999997</v>
      </c>
      <c r="L394">
        <v>0.54333299999999995</v>
      </c>
      <c r="M394">
        <v>0.21082899999999999</v>
      </c>
      <c r="N394">
        <v>775</v>
      </c>
      <c r="O394">
        <v>3248</v>
      </c>
      <c r="P394">
        <v>4023</v>
      </c>
      <c r="Q394">
        <f t="shared" si="24"/>
        <v>6.8441509999999983</v>
      </c>
      <c r="R394">
        <f t="shared" si="25"/>
        <v>5.541013999999997</v>
      </c>
      <c r="S394">
        <f t="shared" si="26"/>
        <v>54.333299999999994</v>
      </c>
      <c r="T394">
        <f t="shared" si="27"/>
        <v>14.125542999999999</v>
      </c>
      <c r="U394" t="str">
        <f>_xlfn.XLOOKUP(C394,Lookup!$A$3:$A$6,Lookup!$B$3:$B$6)</f>
        <v>Winter</v>
      </c>
      <c r="V394">
        <f>_xlfn.XLOOKUP(D394,Lookup!$D$3:$D$4,Lookup!$E$3:$E$4)</f>
        <v>2012</v>
      </c>
      <c r="W394" t="str">
        <f>_xlfn.XLOOKUP(I394,Lookup!$G$3:$G$6,Lookup!$H$3:$H$6)</f>
        <v>Clear</v>
      </c>
      <c r="X394" t="str">
        <f>_xlfn.XLOOKUP(E394,Lookup!$J$3:$J$14,Lookup!$K$3:$K$14)</f>
        <v>January</v>
      </c>
      <c r="Y394" t="str">
        <f>_xlfn.XLOOKUP(G394,Lookup!$M$3:$M$9,Lookup!$N$3:$N$9)</f>
        <v>Saturday</v>
      </c>
    </row>
    <row r="395" spans="1:25" x14ac:dyDescent="0.3">
      <c r="A395">
        <v>394</v>
      </c>
      <c r="B395" s="1">
        <v>40937</v>
      </c>
      <c r="C395">
        <v>1</v>
      </c>
      <c r="D395">
        <v>1</v>
      </c>
      <c r="E395">
        <v>1</v>
      </c>
      <c r="F395">
        <v>0</v>
      </c>
      <c r="G395">
        <v>0</v>
      </c>
      <c r="H395">
        <v>0</v>
      </c>
      <c r="I395">
        <v>1</v>
      </c>
      <c r="J395">
        <v>0.28249999999999997</v>
      </c>
      <c r="K395">
        <v>0.27272099999999999</v>
      </c>
      <c r="L395">
        <v>0.31125000000000003</v>
      </c>
      <c r="M395">
        <v>0.24005000000000001</v>
      </c>
      <c r="N395">
        <v>558</v>
      </c>
      <c r="O395">
        <v>2685</v>
      </c>
      <c r="P395">
        <v>3243</v>
      </c>
      <c r="Q395">
        <f t="shared" si="24"/>
        <v>5.2774999999999981</v>
      </c>
      <c r="R395">
        <f t="shared" si="25"/>
        <v>1.9995860000000008</v>
      </c>
      <c r="S395">
        <f t="shared" si="26"/>
        <v>31.125000000000004</v>
      </c>
      <c r="T395">
        <f t="shared" si="27"/>
        <v>16.083349999999999</v>
      </c>
      <c r="U395" t="str">
        <f>_xlfn.XLOOKUP(C395,Lookup!$A$3:$A$6,Lookup!$B$3:$B$6)</f>
        <v>Winter</v>
      </c>
      <c r="V395">
        <f>_xlfn.XLOOKUP(D395,Lookup!$D$3:$D$4,Lookup!$E$3:$E$4)</f>
        <v>2012</v>
      </c>
      <c r="W395" t="str">
        <f>_xlfn.XLOOKUP(I395,Lookup!$G$3:$G$6,Lookup!$H$3:$H$6)</f>
        <v>Clear</v>
      </c>
      <c r="X395" t="str">
        <f>_xlfn.XLOOKUP(E395,Lookup!$J$3:$J$14,Lookup!$K$3:$K$14)</f>
        <v>January</v>
      </c>
      <c r="Y395" t="str">
        <f>_xlfn.XLOOKUP(G395,Lookup!$M$3:$M$9,Lookup!$N$3:$N$9)</f>
        <v>Sunday</v>
      </c>
    </row>
    <row r="396" spans="1:25" x14ac:dyDescent="0.3">
      <c r="A396">
        <v>395</v>
      </c>
      <c r="B396" s="1">
        <v>40938</v>
      </c>
      <c r="C396">
        <v>1</v>
      </c>
      <c r="D396">
        <v>1</v>
      </c>
      <c r="E396">
        <v>1</v>
      </c>
      <c r="F396">
        <v>0</v>
      </c>
      <c r="G396">
        <v>1</v>
      </c>
      <c r="H396">
        <v>1</v>
      </c>
      <c r="I396">
        <v>1</v>
      </c>
      <c r="J396">
        <v>0.26916699999999999</v>
      </c>
      <c r="K396">
        <v>0.262625</v>
      </c>
      <c r="L396">
        <v>0.40083299999999999</v>
      </c>
      <c r="M396">
        <v>0.21579200000000001</v>
      </c>
      <c r="N396">
        <v>126</v>
      </c>
      <c r="O396">
        <v>3498</v>
      </c>
      <c r="P396">
        <v>3624</v>
      </c>
      <c r="Q396">
        <f t="shared" si="24"/>
        <v>4.6508489999999991</v>
      </c>
      <c r="R396">
        <f t="shared" si="25"/>
        <v>1.3332499999999996</v>
      </c>
      <c r="S396">
        <f t="shared" si="26"/>
        <v>40.083300000000001</v>
      </c>
      <c r="T396">
        <f t="shared" si="27"/>
        <v>14.458064</v>
      </c>
      <c r="U396" t="str">
        <f>_xlfn.XLOOKUP(C396,Lookup!$A$3:$A$6,Lookup!$B$3:$B$6)</f>
        <v>Winter</v>
      </c>
      <c r="V396">
        <f>_xlfn.XLOOKUP(D396,Lookup!$D$3:$D$4,Lookup!$E$3:$E$4)</f>
        <v>2012</v>
      </c>
      <c r="W396" t="str">
        <f>_xlfn.XLOOKUP(I396,Lookup!$G$3:$G$6,Lookup!$H$3:$H$6)</f>
        <v>Clear</v>
      </c>
      <c r="X396" t="str">
        <f>_xlfn.XLOOKUP(E396,Lookup!$J$3:$J$14,Lookup!$K$3:$K$14)</f>
        <v>January</v>
      </c>
      <c r="Y396" t="str">
        <f>_xlfn.XLOOKUP(G396,Lookup!$M$3:$M$9,Lookup!$N$3:$N$9)</f>
        <v>Monday</v>
      </c>
    </row>
    <row r="397" spans="1:25" x14ac:dyDescent="0.3">
      <c r="A397">
        <v>396</v>
      </c>
      <c r="B397" s="1">
        <v>40939</v>
      </c>
      <c r="C397">
        <v>1</v>
      </c>
      <c r="D397">
        <v>1</v>
      </c>
      <c r="E397">
        <v>1</v>
      </c>
      <c r="F397">
        <v>0</v>
      </c>
      <c r="G397">
        <v>2</v>
      </c>
      <c r="H397">
        <v>1</v>
      </c>
      <c r="I397">
        <v>1</v>
      </c>
      <c r="J397">
        <v>0.39</v>
      </c>
      <c r="K397">
        <v>0.38131700000000002</v>
      </c>
      <c r="L397">
        <v>0.41666700000000001</v>
      </c>
      <c r="M397">
        <v>0.26181700000000002</v>
      </c>
      <c r="N397">
        <v>324</v>
      </c>
      <c r="O397">
        <v>4185</v>
      </c>
      <c r="P397">
        <v>4509</v>
      </c>
      <c r="Q397">
        <f t="shared" si="24"/>
        <v>10.330000000000002</v>
      </c>
      <c r="R397">
        <f t="shared" si="25"/>
        <v>9.1669219999999996</v>
      </c>
      <c r="S397">
        <f t="shared" si="26"/>
        <v>41.666699999999999</v>
      </c>
      <c r="T397">
        <f t="shared" si="27"/>
        <v>17.541739</v>
      </c>
      <c r="U397" t="str">
        <f>_xlfn.XLOOKUP(C397,Lookup!$A$3:$A$6,Lookup!$B$3:$B$6)</f>
        <v>Winter</v>
      </c>
      <c r="V397">
        <f>_xlfn.XLOOKUP(D397,Lookup!$D$3:$D$4,Lookup!$E$3:$E$4)</f>
        <v>2012</v>
      </c>
      <c r="W397" t="str">
        <f>_xlfn.XLOOKUP(I397,Lookup!$G$3:$G$6,Lookup!$H$3:$H$6)</f>
        <v>Clear</v>
      </c>
      <c r="X397" t="str">
        <f>_xlfn.XLOOKUP(E397,Lookup!$J$3:$J$14,Lookup!$K$3:$K$14)</f>
        <v>January</v>
      </c>
      <c r="Y397" t="str">
        <f>_xlfn.XLOOKUP(G397,Lookup!$M$3:$M$9,Lookup!$N$3:$N$9)</f>
        <v>Tuesday</v>
      </c>
    </row>
    <row r="398" spans="1:25" x14ac:dyDescent="0.3">
      <c r="A398">
        <v>397</v>
      </c>
      <c r="B398" s="1">
        <v>40940</v>
      </c>
      <c r="C398">
        <v>1</v>
      </c>
      <c r="D398">
        <v>1</v>
      </c>
      <c r="E398">
        <v>2</v>
      </c>
      <c r="F398">
        <v>0</v>
      </c>
      <c r="G398">
        <v>3</v>
      </c>
      <c r="H398">
        <v>1</v>
      </c>
      <c r="I398">
        <v>1</v>
      </c>
      <c r="J398">
        <v>0.469167</v>
      </c>
      <c r="K398">
        <v>0.46653800000000001</v>
      </c>
      <c r="L398">
        <v>0.50791699999999995</v>
      </c>
      <c r="M398">
        <v>0.18906700000000001</v>
      </c>
      <c r="N398">
        <v>304</v>
      </c>
      <c r="O398">
        <v>4275</v>
      </c>
      <c r="P398">
        <v>4579</v>
      </c>
      <c r="Q398">
        <f t="shared" si="24"/>
        <v>14.050848999999999</v>
      </c>
      <c r="R398">
        <f t="shared" si="25"/>
        <v>14.791508</v>
      </c>
      <c r="S398">
        <f t="shared" si="26"/>
        <v>50.791699999999992</v>
      </c>
      <c r="T398">
        <f t="shared" si="27"/>
        <v>12.667489000000002</v>
      </c>
      <c r="U398" t="str">
        <f>_xlfn.XLOOKUP(C398,Lookup!$A$3:$A$6,Lookup!$B$3:$B$6)</f>
        <v>Winter</v>
      </c>
      <c r="V398">
        <f>_xlfn.XLOOKUP(D398,Lookup!$D$3:$D$4,Lookup!$E$3:$E$4)</f>
        <v>2012</v>
      </c>
      <c r="W398" t="str">
        <f>_xlfn.XLOOKUP(I398,Lookup!$G$3:$G$6,Lookup!$H$3:$H$6)</f>
        <v>Clear</v>
      </c>
      <c r="X398" t="str">
        <f>_xlfn.XLOOKUP(E398,Lookup!$J$3:$J$14,Lookup!$K$3:$K$14)</f>
        <v>February</v>
      </c>
      <c r="Y398" t="str">
        <f>_xlfn.XLOOKUP(G398,Lookup!$M$3:$M$9,Lookup!$N$3:$N$9)</f>
        <v>Wednesday</v>
      </c>
    </row>
    <row r="399" spans="1:25" x14ac:dyDescent="0.3">
      <c r="A399">
        <v>398</v>
      </c>
      <c r="B399" s="1">
        <v>40941</v>
      </c>
      <c r="C399">
        <v>1</v>
      </c>
      <c r="D399">
        <v>1</v>
      </c>
      <c r="E399">
        <v>2</v>
      </c>
      <c r="F399">
        <v>0</v>
      </c>
      <c r="G399">
        <v>4</v>
      </c>
      <c r="H399">
        <v>1</v>
      </c>
      <c r="I399">
        <v>2</v>
      </c>
      <c r="J399">
        <v>0.39916699999999999</v>
      </c>
      <c r="K399">
        <v>0.39897100000000002</v>
      </c>
      <c r="L399">
        <v>0.67291699999999999</v>
      </c>
      <c r="M399">
        <v>0.18718699999999999</v>
      </c>
      <c r="N399">
        <v>190</v>
      </c>
      <c r="O399">
        <v>3571</v>
      </c>
      <c r="P399">
        <v>3761</v>
      </c>
      <c r="Q399">
        <f t="shared" si="24"/>
        <v>10.760849</v>
      </c>
      <c r="R399">
        <f t="shared" si="25"/>
        <v>10.332086</v>
      </c>
      <c r="S399">
        <f t="shared" si="26"/>
        <v>67.291699999999992</v>
      </c>
      <c r="T399">
        <f t="shared" si="27"/>
        <v>12.541528999999999</v>
      </c>
      <c r="U399" t="str">
        <f>_xlfn.XLOOKUP(C399,Lookup!$A$3:$A$6,Lookup!$B$3:$B$6)</f>
        <v>Winter</v>
      </c>
      <c r="V399">
        <f>_xlfn.XLOOKUP(D399,Lookup!$D$3:$D$4,Lookup!$E$3:$E$4)</f>
        <v>2012</v>
      </c>
      <c r="W399" t="str">
        <f>_xlfn.XLOOKUP(I399,Lookup!$G$3:$G$6,Lookup!$H$3:$H$6)</f>
        <v>Misty/Cloudy</v>
      </c>
      <c r="X399" t="str">
        <f>_xlfn.XLOOKUP(E399,Lookup!$J$3:$J$14,Lookup!$K$3:$K$14)</f>
        <v>February</v>
      </c>
      <c r="Y399" t="str">
        <f>_xlfn.XLOOKUP(G399,Lookup!$M$3:$M$9,Lookup!$N$3:$N$9)</f>
        <v>Thursday</v>
      </c>
    </row>
    <row r="400" spans="1:25" x14ac:dyDescent="0.3">
      <c r="A400">
        <v>399</v>
      </c>
      <c r="B400" s="1">
        <v>40942</v>
      </c>
      <c r="C400">
        <v>1</v>
      </c>
      <c r="D400">
        <v>1</v>
      </c>
      <c r="E400">
        <v>2</v>
      </c>
      <c r="F400">
        <v>0</v>
      </c>
      <c r="G400">
        <v>5</v>
      </c>
      <c r="H400">
        <v>1</v>
      </c>
      <c r="I400">
        <v>1</v>
      </c>
      <c r="J400">
        <v>0.31333299999999997</v>
      </c>
      <c r="K400">
        <v>0.30934600000000001</v>
      </c>
      <c r="L400">
        <v>0.526667</v>
      </c>
      <c r="M400">
        <v>0.17849599999999999</v>
      </c>
      <c r="N400">
        <v>310</v>
      </c>
      <c r="O400">
        <v>3841</v>
      </c>
      <c r="P400">
        <v>4151</v>
      </c>
      <c r="Q400">
        <f t="shared" si="24"/>
        <v>6.7266509999999986</v>
      </c>
      <c r="R400">
        <f t="shared" si="25"/>
        <v>4.416836</v>
      </c>
      <c r="S400">
        <f t="shared" si="26"/>
        <v>52.666699999999999</v>
      </c>
      <c r="T400">
        <f t="shared" si="27"/>
        <v>11.959232</v>
      </c>
      <c r="U400" t="str">
        <f>_xlfn.XLOOKUP(C400,Lookup!$A$3:$A$6,Lookup!$B$3:$B$6)</f>
        <v>Winter</v>
      </c>
      <c r="V400">
        <f>_xlfn.XLOOKUP(D400,Lookup!$D$3:$D$4,Lookup!$E$3:$E$4)</f>
        <v>2012</v>
      </c>
      <c r="W400" t="str">
        <f>_xlfn.XLOOKUP(I400,Lookup!$G$3:$G$6,Lookup!$H$3:$H$6)</f>
        <v>Clear</v>
      </c>
      <c r="X400" t="str">
        <f>_xlfn.XLOOKUP(E400,Lookup!$J$3:$J$14,Lookup!$K$3:$K$14)</f>
        <v>February</v>
      </c>
      <c r="Y400" t="str">
        <f>_xlfn.XLOOKUP(G400,Lookup!$M$3:$M$9,Lookup!$N$3:$N$9)</f>
        <v>Friday</v>
      </c>
    </row>
    <row r="401" spans="1:25" x14ac:dyDescent="0.3">
      <c r="A401">
        <v>400</v>
      </c>
      <c r="B401" s="1">
        <v>40943</v>
      </c>
      <c r="C401">
        <v>1</v>
      </c>
      <c r="D401">
        <v>1</v>
      </c>
      <c r="E401">
        <v>2</v>
      </c>
      <c r="F401">
        <v>0</v>
      </c>
      <c r="G401">
        <v>6</v>
      </c>
      <c r="H401">
        <v>0</v>
      </c>
      <c r="I401">
        <v>2</v>
      </c>
      <c r="J401">
        <v>0.26416699999999999</v>
      </c>
      <c r="K401">
        <v>0.272725</v>
      </c>
      <c r="L401">
        <v>0.77958300000000003</v>
      </c>
      <c r="M401">
        <v>0.121896</v>
      </c>
      <c r="N401">
        <v>384</v>
      </c>
      <c r="O401">
        <v>2448</v>
      </c>
      <c r="P401">
        <v>2832</v>
      </c>
      <c r="Q401">
        <f t="shared" si="24"/>
        <v>4.4158489999999997</v>
      </c>
      <c r="R401">
        <f t="shared" si="25"/>
        <v>1.9998499999999986</v>
      </c>
      <c r="S401">
        <f t="shared" si="26"/>
        <v>77.958300000000008</v>
      </c>
      <c r="T401">
        <f t="shared" si="27"/>
        <v>8.1670320000000007</v>
      </c>
      <c r="U401" t="str">
        <f>_xlfn.XLOOKUP(C401,Lookup!$A$3:$A$6,Lookup!$B$3:$B$6)</f>
        <v>Winter</v>
      </c>
      <c r="V401">
        <f>_xlfn.XLOOKUP(D401,Lookup!$D$3:$D$4,Lookup!$E$3:$E$4)</f>
        <v>2012</v>
      </c>
      <c r="W401" t="str">
        <f>_xlfn.XLOOKUP(I401,Lookup!$G$3:$G$6,Lookup!$H$3:$H$6)</f>
        <v>Misty/Cloudy</v>
      </c>
      <c r="X401" t="str">
        <f>_xlfn.XLOOKUP(E401,Lookup!$J$3:$J$14,Lookup!$K$3:$K$14)</f>
        <v>February</v>
      </c>
      <c r="Y401" t="str">
        <f>_xlfn.XLOOKUP(G401,Lookup!$M$3:$M$9,Lookup!$N$3:$N$9)</f>
        <v>Saturday</v>
      </c>
    </row>
    <row r="402" spans="1:25" x14ac:dyDescent="0.3">
      <c r="A402">
        <v>401</v>
      </c>
      <c r="B402" s="1">
        <v>40944</v>
      </c>
      <c r="C402">
        <v>1</v>
      </c>
      <c r="D402">
        <v>1</v>
      </c>
      <c r="E402">
        <v>2</v>
      </c>
      <c r="F402">
        <v>0</v>
      </c>
      <c r="G402">
        <v>0</v>
      </c>
      <c r="H402">
        <v>0</v>
      </c>
      <c r="I402">
        <v>2</v>
      </c>
      <c r="J402">
        <v>0.26583299999999999</v>
      </c>
      <c r="K402">
        <v>0.26452100000000001</v>
      </c>
      <c r="L402">
        <v>0.687917</v>
      </c>
      <c r="M402">
        <v>0.17599600000000001</v>
      </c>
      <c r="N402">
        <v>318</v>
      </c>
      <c r="O402">
        <v>2629</v>
      </c>
      <c r="P402">
        <v>2947</v>
      </c>
      <c r="Q402">
        <f t="shared" si="24"/>
        <v>4.4941509999999987</v>
      </c>
      <c r="R402">
        <f t="shared" si="25"/>
        <v>1.4583860000000008</v>
      </c>
      <c r="S402">
        <f t="shared" si="26"/>
        <v>68.791700000000006</v>
      </c>
      <c r="T402">
        <f t="shared" si="27"/>
        <v>11.791732000000001</v>
      </c>
      <c r="U402" t="str">
        <f>_xlfn.XLOOKUP(C402,Lookup!$A$3:$A$6,Lookup!$B$3:$B$6)</f>
        <v>Winter</v>
      </c>
      <c r="V402">
        <f>_xlfn.XLOOKUP(D402,Lookup!$D$3:$D$4,Lookup!$E$3:$E$4)</f>
        <v>2012</v>
      </c>
      <c r="W402" t="str">
        <f>_xlfn.XLOOKUP(I402,Lookup!$G$3:$G$6,Lookup!$H$3:$H$6)</f>
        <v>Misty/Cloudy</v>
      </c>
      <c r="X402" t="str">
        <f>_xlfn.XLOOKUP(E402,Lookup!$J$3:$J$14,Lookup!$K$3:$K$14)</f>
        <v>February</v>
      </c>
      <c r="Y402" t="str">
        <f>_xlfn.XLOOKUP(G402,Lookup!$M$3:$M$9,Lookup!$N$3:$N$9)</f>
        <v>Sunday</v>
      </c>
    </row>
    <row r="403" spans="1:25" x14ac:dyDescent="0.3">
      <c r="A403">
        <v>402</v>
      </c>
      <c r="B403" s="1">
        <v>40945</v>
      </c>
      <c r="C403">
        <v>1</v>
      </c>
      <c r="D403">
        <v>1</v>
      </c>
      <c r="E403">
        <v>2</v>
      </c>
      <c r="F403">
        <v>0</v>
      </c>
      <c r="G403">
        <v>1</v>
      </c>
      <c r="H403">
        <v>1</v>
      </c>
      <c r="I403">
        <v>1</v>
      </c>
      <c r="J403">
        <v>0.282609</v>
      </c>
      <c r="K403">
        <v>0.29642600000000002</v>
      </c>
      <c r="L403">
        <v>0.622174</v>
      </c>
      <c r="M403">
        <v>0.15379999999999999</v>
      </c>
      <c r="N403">
        <v>206</v>
      </c>
      <c r="O403">
        <v>3578</v>
      </c>
      <c r="P403">
        <v>3784</v>
      </c>
      <c r="Q403">
        <f t="shared" si="24"/>
        <v>5.2826229999999992</v>
      </c>
      <c r="R403">
        <f t="shared" si="25"/>
        <v>3.5641160000000021</v>
      </c>
      <c r="S403">
        <f t="shared" si="26"/>
        <v>62.217399999999998</v>
      </c>
      <c r="T403">
        <f t="shared" si="27"/>
        <v>10.304599999999999</v>
      </c>
      <c r="U403" t="str">
        <f>_xlfn.XLOOKUP(C403,Lookup!$A$3:$A$6,Lookup!$B$3:$B$6)</f>
        <v>Winter</v>
      </c>
      <c r="V403">
        <f>_xlfn.XLOOKUP(D403,Lookup!$D$3:$D$4,Lookup!$E$3:$E$4)</f>
        <v>2012</v>
      </c>
      <c r="W403" t="str">
        <f>_xlfn.XLOOKUP(I403,Lookup!$G$3:$G$6,Lookup!$H$3:$H$6)</f>
        <v>Clear</v>
      </c>
      <c r="X403" t="str">
        <f>_xlfn.XLOOKUP(E403,Lookup!$J$3:$J$14,Lookup!$K$3:$K$14)</f>
        <v>February</v>
      </c>
      <c r="Y403" t="str">
        <f>_xlfn.XLOOKUP(G403,Lookup!$M$3:$M$9,Lookup!$N$3:$N$9)</f>
        <v>Monday</v>
      </c>
    </row>
    <row r="404" spans="1:25" x14ac:dyDescent="0.3">
      <c r="A404">
        <v>403</v>
      </c>
      <c r="B404" s="1">
        <v>40946</v>
      </c>
      <c r="C404">
        <v>1</v>
      </c>
      <c r="D404">
        <v>1</v>
      </c>
      <c r="E404">
        <v>2</v>
      </c>
      <c r="F404">
        <v>0</v>
      </c>
      <c r="G404">
        <v>2</v>
      </c>
      <c r="H404">
        <v>1</v>
      </c>
      <c r="I404">
        <v>1</v>
      </c>
      <c r="J404">
        <v>0.35416700000000001</v>
      </c>
      <c r="K404">
        <v>0.36110399999999998</v>
      </c>
      <c r="L404">
        <v>0.49625000000000002</v>
      </c>
      <c r="M404">
        <v>0.14737900000000001</v>
      </c>
      <c r="N404">
        <v>199</v>
      </c>
      <c r="O404">
        <v>4176</v>
      </c>
      <c r="P404">
        <v>4375</v>
      </c>
      <c r="Q404">
        <f t="shared" si="24"/>
        <v>8.6458490000000019</v>
      </c>
      <c r="R404">
        <f t="shared" si="25"/>
        <v>7.8328639999999972</v>
      </c>
      <c r="S404">
        <f t="shared" si="26"/>
        <v>49.625</v>
      </c>
      <c r="T404">
        <f t="shared" si="27"/>
        <v>9.8743930000000013</v>
      </c>
      <c r="U404" t="str">
        <f>_xlfn.XLOOKUP(C404,Lookup!$A$3:$A$6,Lookup!$B$3:$B$6)</f>
        <v>Winter</v>
      </c>
      <c r="V404">
        <f>_xlfn.XLOOKUP(D404,Lookup!$D$3:$D$4,Lookup!$E$3:$E$4)</f>
        <v>2012</v>
      </c>
      <c r="W404" t="str">
        <f>_xlfn.XLOOKUP(I404,Lookup!$G$3:$G$6,Lookup!$H$3:$H$6)</f>
        <v>Clear</v>
      </c>
      <c r="X404" t="str">
        <f>_xlfn.XLOOKUP(E404,Lookup!$J$3:$J$14,Lookup!$K$3:$K$14)</f>
        <v>February</v>
      </c>
      <c r="Y404" t="str">
        <f>_xlfn.XLOOKUP(G404,Lookup!$M$3:$M$9,Lookup!$N$3:$N$9)</f>
        <v>Tuesday</v>
      </c>
    </row>
    <row r="405" spans="1:25" x14ac:dyDescent="0.3">
      <c r="A405">
        <v>404</v>
      </c>
      <c r="B405" s="1">
        <v>40947</v>
      </c>
      <c r="C405">
        <v>1</v>
      </c>
      <c r="D405">
        <v>1</v>
      </c>
      <c r="E405">
        <v>2</v>
      </c>
      <c r="F405">
        <v>0</v>
      </c>
      <c r="G405">
        <v>3</v>
      </c>
      <c r="H405">
        <v>1</v>
      </c>
      <c r="I405">
        <v>2</v>
      </c>
      <c r="J405">
        <v>0.25666699999999998</v>
      </c>
      <c r="K405">
        <v>0.26642100000000002</v>
      </c>
      <c r="L405">
        <v>0.72291700000000003</v>
      </c>
      <c r="M405">
        <v>0.13372100000000001</v>
      </c>
      <c r="N405">
        <v>109</v>
      </c>
      <c r="O405">
        <v>2693</v>
      </c>
      <c r="P405">
        <v>2802</v>
      </c>
      <c r="Q405">
        <f t="shared" si="24"/>
        <v>4.0633489999999988</v>
      </c>
      <c r="R405">
        <f t="shared" si="25"/>
        <v>1.5837859999999999</v>
      </c>
      <c r="S405">
        <f t="shared" si="26"/>
        <v>72.291700000000006</v>
      </c>
      <c r="T405">
        <f t="shared" si="27"/>
        <v>8.9593070000000008</v>
      </c>
      <c r="U405" t="str">
        <f>_xlfn.XLOOKUP(C405,Lookup!$A$3:$A$6,Lookup!$B$3:$B$6)</f>
        <v>Winter</v>
      </c>
      <c r="V405">
        <f>_xlfn.XLOOKUP(D405,Lookup!$D$3:$D$4,Lookup!$E$3:$E$4)</f>
        <v>2012</v>
      </c>
      <c r="W405" t="str">
        <f>_xlfn.XLOOKUP(I405,Lookup!$G$3:$G$6,Lookup!$H$3:$H$6)</f>
        <v>Misty/Cloudy</v>
      </c>
      <c r="X405" t="str">
        <f>_xlfn.XLOOKUP(E405,Lookup!$J$3:$J$14,Lookup!$K$3:$K$14)</f>
        <v>February</v>
      </c>
      <c r="Y405" t="str">
        <f>_xlfn.XLOOKUP(G405,Lookup!$M$3:$M$9,Lookup!$N$3:$N$9)</f>
        <v>Wednesday</v>
      </c>
    </row>
    <row r="406" spans="1:25" x14ac:dyDescent="0.3">
      <c r="A406">
        <v>405</v>
      </c>
      <c r="B406" s="1">
        <v>40948</v>
      </c>
      <c r="C406">
        <v>1</v>
      </c>
      <c r="D406">
        <v>1</v>
      </c>
      <c r="E406">
        <v>2</v>
      </c>
      <c r="F406">
        <v>0</v>
      </c>
      <c r="G406">
        <v>4</v>
      </c>
      <c r="H406">
        <v>1</v>
      </c>
      <c r="I406">
        <v>1</v>
      </c>
      <c r="J406">
        <v>0.26500000000000001</v>
      </c>
      <c r="K406">
        <v>0.261988</v>
      </c>
      <c r="L406">
        <v>0.562083</v>
      </c>
      <c r="M406">
        <v>0.19403699999999999</v>
      </c>
      <c r="N406">
        <v>163</v>
      </c>
      <c r="O406">
        <v>3667</v>
      </c>
      <c r="P406">
        <v>3830</v>
      </c>
      <c r="Q406">
        <f t="shared" si="24"/>
        <v>4.4550000000000001</v>
      </c>
      <c r="R406">
        <f t="shared" si="25"/>
        <v>1.291208000000001</v>
      </c>
      <c r="S406">
        <f t="shared" si="26"/>
        <v>56.208300000000001</v>
      </c>
      <c r="T406">
        <f t="shared" si="27"/>
        <v>13.000478999999999</v>
      </c>
      <c r="U406" t="str">
        <f>_xlfn.XLOOKUP(C406,Lookup!$A$3:$A$6,Lookup!$B$3:$B$6)</f>
        <v>Winter</v>
      </c>
      <c r="V406">
        <f>_xlfn.XLOOKUP(D406,Lookup!$D$3:$D$4,Lookup!$E$3:$E$4)</f>
        <v>2012</v>
      </c>
      <c r="W406" t="str">
        <f>_xlfn.XLOOKUP(I406,Lookup!$G$3:$G$6,Lookup!$H$3:$H$6)</f>
        <v>Clear</v>
      </c>
      <c r="X406" t="str">
        <f>_xlfn.XLOOKUP(E406,Lookup!$J$3:$J$14,Lookup!$K$3:$K$14)</f>
        <v>February</v>
      </c>
      <c r="Y406" t="str">
        <f>_xlfn.XLOOKUP(G406,Lookup!$M$3:$M$9,Lookup!$N$3:$N$9)</f>
        <v>Thursday</v>
      </c>
    </row>
    <row r="407" spans="1:25" x14ac:dyDescent="0.3">
      <c r="A407">
        <v>406</v>
      </c>
      <c r="B407" s="1">
        <v>40949</v>
      </c>
      <c r="C407">
        <v>1</v>
      </c>
      <c r="D407">
        <v>1</v>
      </c>
      <c r="E407">
        <v>2</v>
      </c>
      <c r="F407">
        <v>0</v>
      </c>
      <c r="G407">
        <v>5</v>
      </c>
      <c r="H407">
        <v>1</v>
      </c>
      <c r="I407">
        <v>2</v>
      </c>
      <c r="J407">
        <v>0.280833</v>
      </c>
      <c r="K407">
        <v>0.29355799999999999</v>
      </c>
      <c r="L407">
        <v>0.54</v>
      </c>
      <c r="M407">
        <v>0.11692900000000001</v>
      </c>
      <c r="N407">
        <v>227</v>
      </c>
      <c r="O407">
        <v>3604</v>
      </c>
      <c r="P407">
        <v>3831</v>
      </c>
      <c r="Q407">
        <f t="shared" si="24"/>
        <v>5.1991510000000005</v>
      </c>
      <c r="R407">
        <f t="shared" si="25"/>
        <v>3.3748280000000008</v>
      </c>
      <c r="S407">
        <f t="shared" si="26"/>
        <v>54</v>
      </c>
      <c r="T407">
        <f t="shared" si="27"/>
        <v>7.8342430000000007</v>
      </c>
      <c r="U407" t="str">
        <f>_xlfn.XLOOKUP(C407,Lookup!$A$3:$A$6,Lookup!$B$3:$B$6)</f>
        <v>Winter</v>
      </c>
      <c r="V407">
        <f>_xlfn.XLOOKUP(D407,Lookup!$D$3:$D$4,Lookup!$E$3:$E$4)</f>
        <v>2012</v>
      </c>
      <c r="W407" t="str">
        <f>_xlfn.XLOOKUP(I407,Lookup!$G$3:$G$6,Lookup!$H$3:$H$6)</f>
        <v>Misty/Cloudy</v>
      </c>
      <c r="X407" t="str">
        <f>_xlfn.XLOOKUP(E407,Lookup!$J$3:$J$14,Lookup!$K$3:$K$14)</f>
        <v>February</v>
      </c>
      <c r="Y407" t="str">
        <f>_xlfn.XLOOKUP(G407,Lookup!$M$3:$M$9,Lookup!$N$3:$N$9)</f>
        <v>Friday</v>
      </c>
    </row>
    <row r="408" spans="1:25" x14ac:dyDescent="0.3">
      <c r="A408">
        <v>407</v>
      </c>
      <c r="B408" s="1">
        <v>40950</v>
      </c>
      <c r="C408">
        <v>1</v>
      </c>
      <c r="D408">
        <v>1</v>
      </c>
      <c r="E408">
        <v>2</v>
      </c>
      <c r="F408">
        <v>0</v>
      </c>
      <c r="G408">
        <v>6</v>
      </c>
      <c r="H408">
        <v>0</v>
      </c>
      <c r="I408">
        <v>3</v>
      </c>
      <c r="J408">
        <v>0.22416700000000001</v>
      </c>
      <c r="K408">
        <v>0.210867</v>
      </c>
      <c r="L408">
        <v>0.73124999999999996</v>
      </c>
      <c r="M408">
        <v>0.289796</v>
      </c>
      <c r="N408">
        <v>192</v>
      </c>
      <c r="O408">
        <v>1977</v>
      </c>
      <c r="P408">
        <v>2169</v>
      </c>
      <c r="Q408">
        <f t="shared" si="24"/>
        <v>2.5358490000000007</v>
      </c>
      <c r="R408">
        <f t="shared" si="25"/>
        <v>-2.0827779999999994</v>
      </c>
      <c r="S408">
        <f t="shared" si="26"/>
        <v>73.125</v>
      </c>
      <c r="T408">
        <f t="shared" si="27"/>
        <v>19.416332000000001</v>
      </c>
      <c r="U408" t="str">
        <f>_xlfn.XLOOKUP(C408,Lookup!$A$3:$A$6,Lookup!$B$3:$B$6)</f>
        <v>Winter</v>
      </c>
      <c r="V408">
        <f>_xlfn.XLOOKUP(D408,Lookup!$D$3:$D$4,Lookup!$E$3:$E$4)</f>
        <v>2012</v>
      </c>
      <c r="W408" t="str">
        <f>_xlfn.XLOOKUP(I408,Lookup!$G$3:$G$6,Lookup!$H$3:$H$6)</f>
        <v>Light Snow/Rain</v>
      </c>
      <c r="X408" t="str">
        <f>_xlfn.XLOOKUP(E408,Lookup!$J$3:$J$14,Lookup!$K$3:$K$14)</f>
        <v>February</v>
      </c>
      <c r="Y408" t="str">
        <f>_xlfn.XLOOKUP(G408,Lookup!$M$3:$M$9,Lookup!$N$3:$N$9)</f>
        <v>Saturday</v>
      </c>
    </row>
    <row r="409" spans="1:25" x14ac:dyDescent="0.3">
      <c r="A409">
        <v>408</v>
      </c>
      <c r="B409" s="1">
        <v>40951</v>
      </c>
      <c r="C409">
        <v>1</v>
      </c>
      <c r="D409">
        <v>1</v>
      </c>
      <c r="E409">
        <v>2</v>
      </c>
      <c r="F409">
        <v>0</v>
      </c>
      <c r="G409">
        <v>0</v>
      </c>
      <c r="H409">
        <v>0</v>
      </c>
      <c r="I409">
        <v>1</v>
      </c>
      <c r="J409">
        <v>0.1275</v>
      </c>
      <c r="K409">
        <v>0.101658</v>
      </c>
      <c r="L409">
        <v>0.46458300000000002</v>
      </c>
      <c r="M409">
        <v>0.40921200000000002</v>
      </c>
      <c r="N409">
        <v>73</v>
      </c>
      <c r="O409">
        <v>1456</v>
      </c>
      <c r="P409">
        <v>1529</v>
      </c>
      <c r="Q409">
        <f t="shared" si="24"/>
        <v>-2.0075000000000003</v>
      </c>
      <c r="R409">
        <f t="shared" si="25"/>
        <v>-9.2905720000000009</v>
      </c>
      <c r="S409">
        <f t="shared" si="26"/>
        <v>46.458300000000001</v>
      </c>
      <c r="T409">
        <f t="shared" si="27"/>
        <v>27.417204000000002</v>
      </c>
      <c r="U409" t="str">
        <f>_xlfn.XLOOKUP(C409,Lookup!$A$3:$A$6,Lookup!$B$3:$B$6)</f>
        <v>Winter</v>
      </c>
      <c r="V409">
        <f>_xlfn.XLOOKUP(D409,Lookup!$D$3:$D$4,Lookup!$E$3:$E$4)</f>
        <v>2012</v>
      </c>
      <c r="W409" t="str">
        <f>_xlfn.XLOOKUP(I409,Lookup!$G$3:$G$6,Lookup!$H$3:$H$6)</f>
        <v>Clear</v>
      </c>
      <c r="X409" t="str">
        <f>_xlfn.XLOOKUP(E409,Lookup!$J$3:$J$14,Lookup!$K$3:$K$14)</f>
        <v>February</v>
      </c>
      <c r="Y409" t="str">
        <f>_xlfn.XLOOKUP(G409,Lookup!$M$3:$M$9,Lookup!$N$3:$N$9)</f>
        <v>Sunday</v>
      </c>
    </row>
    <row r="410" spans="1:25" x14ac:dyDescent="0.3">
      <c r="A410">
        <v>409</v>
      </c>
      <c r="B410" s="1">
        <v>40952</v>
      </c>
      <c r="C410">
        <v>1</v>
      </c>
      <c r="D410">
        <v>1</v>
      </c>
      <c r="E410">
        <v>2</v>
      </c>
      <c r="F410">
        <v>0</v>
      </c>
      <c r="G410">
        <v>1</v>
      </c>
      <c r="H410">
        <v>1</v>
      </c>
      <c r="I410">
        <v>1</v>
      </c>
      <c r="J410">
        <v>0.2225</v>
      </c>
      <c r="K410">
        <v>0.227913</v>
      </c>
      <c r="L410">
        <v>0.41125</v>
      </c>
      <c r="M410">
        <v>0.16728299999999999</v>
      </c>
      <c r="N410">
        <v>94</v>
      </c>
      <c r="O410">
        <v>3328</v>
      </c>
      <c r="P410">
        <v>3422</v>
      </c>
      <c r="Q410">
        <f t="shared" si="24"/>
        <v>2.4574999999999996</v>
      </c>
      <c r="R410">
        <f t="shared" si="25"/>
        <v>-0.95774199999999965</v>
      </c>
      <c r="S410">
        <f t="shared" si="26"/>
        <v>41.125</v>
      </c>
      <c r="T410">
        <f t="shared" si="27"/>
        <v>11.207960999999999</v>
      </c>
      <c r="U410" t="str">
        <f>_xlfn.XLOOKUP(C410,Lookup!$A$3:$A$6,Lookup!$B$3:$B$6)</f>
        <v>Winter</v>
      </c>
      <c r="V410">
        <f>_xlfn.XLOOKUP(D410,Lookup!$D$3:$D$4,Lookup!$E$3:$E$4)</f>
        <v>2012</v>
      </c>
      <c r="W410" t="str">
        <f>_xlfn.XLOOKUP(I410,Lookup!$G$3:$G$6,Lookup!$H$3:$H$6)</f>
        <v>Clear</v>
      </c>
      <c r="X410" t="str">
        <f>_xlfn.XLOOKUP(E410,Lookup!$J$3:$J$14,Lookup!$K$3:$K$14)</f>
        <v>February</v>
      </c>
      <c r="Y410" t="str">
        <f>_xlfn.XLOOKUP(G410,Lookup!$M$3:$M$9,Lookup!$N$3:$N$9)</f>
        <v>Monday</v>
      </c>
    </row>
    <row r="411" spans="1:25" x14ac:dyDescent="0.3">
      <c r="A411">
        <v>410</v>
      </c>
      <c r="B411" s="1">
        <v>40953</v>
      </c>
      <c r="C411">
        <v>1</v>
      </c>
      <c r="D411">
        <v>1</v>
      </c>
      <c r="E411">
        <v>2</v>
      </c>
      <c r="F411">
        <v>0</v>
      </c>
      <c r="G411">
        <v>2</v>
      </c>
      <c r="H411">
        <v>1</v>
      </c>
      <c r="I411">
        <v>2</v>
      </c>
      <c r="J411">
        <v>0.31916699999999998</v>
      </c>
      <c r="K411">
        <v>0.33394600000000002</v>
      </c>
      <c r="L411">
        <v>0.50875000000000004</v>
      </c>
      <c r="M411">
        <v>0.141179</v>
      </c>
      <c r="N411">
        <v>135</v>
      </c>
      <c r="O411">
        <v>3787</v>
      </c>
      <c r="P411">
        <v>3922</v>
      </c>
      <c r="Q411">
        <f t="shared" si="24"/>
        <v>7.0008489999999988</v>
      </c>
      <c r="R411">
        <f t="shared" si="25"/>
        <v>6.0404359999999997</v>
      </c>
      <c r="S411">
        <f t="shared" si="26"/>
        <v>50.875</v>
      </c>
      <c r="T411">
        <f t="shared" si="27"/>
        <v>9.4589929999999995</v>
      </c>
      <c r="U411" t="str">
        <f>_xlfn.XLOOKUP(C411,Lookup!$A$3:$A$6,Lookup!$B$3:$B$6)</f>
        <v>Winter</v>
      </c>
      <c r="V411">
        <f>_xlfn.XLOOKUP(D411,Lookup!$D$3:$D$4,Lookup!$E$3:$E$4)</f>
        <v>2012</v>
      </c>
      <c r="W411" t="str">
        <f>_xlfn.XLOOKUP(I411,Lookup!$G$3:$G$6,Lookup!$H$3:$H$6)</f>
        <v>Misty/Cloudy</v>
      </c>
      <c r="X411" t="str">
        <f>_xlfn.XLOOKUP(E411,Lookup!$J$3:$J$14,Lookup!$K$3:$K$14)</f>
        <v>February</v>
      </c>
      <c r="Y411" t="str">
        <f>_xlfn.XLOOKUP(G411,Lookup!$M$3:$M$9,Lookup!$N$3:$N$9)</f>
        <v>Tuesday</v>
      </c>
    </row>
    <row r="412" spans="1:25" x14ac:dyDescent="0.3">
      <c r="A412">
        <v>411</v>
      </c>
      <c r="B412" s="1">
        <v>40954</v>
      </c>
      <c r="C412">
        <v>1</v>
      </c>
      <c r="D412">
        <v>1</v>
      </c>
      <c r="E412">
        <v>2</v>
      </c>
      <c r="F412">
        <v>0</v>
      </c>
      <c r="G412">
        <v>3</v>
      </c>
      <c r="H412">
        <v>1</v>
      </c>
      <c r="I412">
        <v>1</v>
      </c>
      <c r="J412">
        <v>0.348333</v>
      </c>
      <c r="K412">
        <v>0.35162900000000002</v>
      </c>
      <c r="L412">
        <v>0.53125</v>
      </c>
      <c r="M412">
        <v>0.18160000000000001</v>
      </c>
      <c r="N412">
        <v>141</v>
      </c>
      <c r="O412">
        <v>4028</v>
      </c>
      <c r="P412">
        <v>4169</v>
      </c>
      <c r="Q412">
        <f t="shared" si="24"/>
        <v>8.371651</v>
      </c>
      <c r="R412">
        <f t="shared" si="25"/>
        <v>7.2075140000000033</v>
      </c>
      <c r="S412">
        <f t="shared" si="26"/>
        <v>53.125</v>
      </c>
      <c r="T412">
        <f t="shared" si="27"/>
        <v>12.167200000000001</v>
      </c>
      <c r="U412" t="str">
        <f>_xlfn.XLOOKUP(C412,Lookup!$A$3:$A$6,Lookup!$B$3:$B$6)</f>
        <v>Winter</v>
      </c>
      <c r="V412">
        <f>_xlfn.XLOOKUP(D412,Lookup!$D$3:$D$4,Lookup!$E$3:$E$4)</f>
        <v>2012</v>
      </c>
      <c r="W412" t="str">
        <f>_xlfn.XLOOKUP(I412,Lookup!$G$3:$G$6,Lookup!$H$3:$H$6)</f>
        <v>Clear</v>
      </c>
      <c r="X412" t="str">
        <f>_xlfn.XLOOKUP(E412,Lookup!$J$3:$J$14,Lookup!$K$3:$K$14)</f>
        <v>February</v>
      </c>
      <c r="Y412" t="str">
        <f>_xlfn.XLOOKUP(G412,Lookup!$M$3:$M$9,Lookup!$N$3:$N$9)</f>
        <v>Wednesday</v>
      </c>
    </row>
    <row r="413" spans="1:25" x14ac:dyDescent="0.3">
      <c r="A413">
        <v>412</v>
      </c>
      <c r="B413" s="1">
        <v>40955</v>
      </c>
      <c r="C413">
        <v>1</v>
      </c>
      <c r="D413">
        <v>1</v>
      </c>
      <c r="E413">
        <v>2</v>
      </c>
      <c r="F413">
        <v>0</v>
      </c>
      <c r="G413">
        <v>4</v>
      </c>
      <c r="H413">
        <v>1</v>
      </c>
      <c r="I413">
        <v>2</v>
      </c>
      <c r="J413">
        <v>0.31666699999999998</v>
      </c>
      <c r="K413">
        <v>0.33016200000000001</v>
      </c>
      <c r="L413">
        <v>0.75291699999999995</v>
      </c>
      <c r="M413">
        <v>9.1425000000000006E-2</v>
      </c>
      <c r="N413">
        <v>74</v>
      </c>
      <c r="O413">
        <v>2931</v>
      </c>
      <c r="P413">
        <v>3005</v>
      </c>
      <c r="Q413">
        <f t="shared" si="24"/>
        <v>6.8833489999999991</v>
      </c>
      <c r="R413">
        <f t="shared" si="25"/>
        <v>5.790692</v>
      </c>
      <c r="S413">
        <f t="shared" si="26"/>
        <v>75.291699999999992</v>
      </c>
      <c r="T413">
        <f t="shared" si="27"/>
        <v>6.1254750000000007</v>
      </c>
      <c r="U413" t="str">
        <f>_xlfn.XLOOKUP(C413,Lookup!$A$3:$A$6,Lookup!$B$3:$B$6)</f>
        <v>Winter</v>
      </c>
      <c r="V413">
        <f>_xlfn.XLOOKUP(D413,Lookup!$D$3:$D$4,Lookup!$E$3:$E$4)</f>
        <v>2012</v>
      </c>
      <c r="W413" t="str">
        <f>_xlfn.XLOOKUP(I413,Lookup!$G$3:$G$6,Lookup!$H$3:$H$6)</f>
        <v>Misty/Cloudy</v>
      </c>
      <c r="X413" t="str">
        <f>_xlfn.XLOOKUP(E413,Lookup!$J$3:$J$14,Lookup!$K$3:$K$14)</f>
        <v>February</v>
      </c>
      <c r="Y413" t="str">
        <f>_xlfn.XLOOKUP(G413,Lookup!$M$3:$M$9,Lookup!$N$3:$N$9)</f>
        <v>Thursday</v>
      </c>
    </row>
    <row r="414" spans="1:25" x14ac:dyDescent="0.3">
      <c r="A414">
        <v>413</v>
      </c>
      <c r="B414" s="1">
        <v>40956</v>
      </c>
      <c r="C414">
        <v>1</v>
      </c>
      <c r="D414">
        <v>1</v>
      </c>
      <c r="E414">
        <v>2</v>
      </c>
      <c r="F414">
        <v>0</v>
      </c>
      <c r="G414">
        <v>5</v>
      </c>
      <c r="H414">
        <v>1</v>
      </c>
      <c r="I414">
        <v>1</v>
      </c>
      <c r="J414">
        <v>0.343333</v>
      </c>
      <c r="K414">
        <v>0.35162900000000002</v>
      </c>
      <c r="L414">
        <v>0.63458300000000001</v>
      </c>
      <c r="M414">
        <v>0.205846</v>
      </c>
      <c r="N414">
        <v>349</v>
      </c>
      <c r="O414">
        <v>3805</v>
      </c>
      <c r="P414">
        <v>4154</v>
      </c>
      <c r="Q414">
        <f t="shared" si="24"/>
        <v>8.1366510000000005</v>
      </c>
      <c r="R414">
        <f t="shared" si="25"/>
        <v>7.2075140000000033</v>
      </c>
      <c r="S414">
        <f t="shared" si="26"/>
        <v>63.458300000000001</v>
      </c>
      <c r="T414">
        <f t="shared" si="27"/>
        <v>13.791682</v>
      </c>
      <c r="U414" t="str">
        <f>_xlfn.XLOOKUP(C414,Lookup!$A$3:$A$6,Lookup!$B$3:$B$6)</f>
        <v>Winter</v>
      </c>
      <c r="V414">
        <f>_xlfn.XLOOKUP(D414,Lookup!$D$3:$D$4,Lookup!$E$3:$E$4)</f>
        <v>2012</v>
      </c>
      <c r="W414" t="str">
        <f>_xlfn.XLOOKUP(I414,Lookup!$G$3:$G$6,Lookup!$H$3:$H$6)</f>
        <v>Clear</v>
      </c>
      <c r="X414" t="str">
        <f>_xlfn.XLOOKUP(E414,Lookup!$J$3:$J$14,Lookup!$K$3:$K$14)</f>
        <v>February</v>
      </c>
      <c r="Y414" t="str">
        <f>_xlfn.XLOOKUP(G414,Lookup!$M$3:$M$9,Lookup!$N$3:$N$9)</f>
        <v>Friday</v>
      </c>
    </row>
    <row r="415" spans="1:25" x14ac:dyDescent="0.3">
      <c r="A415">
        <v>414</v>
      </c>
      <c r="B415" s="1">
        <v>40957</v>
      </c>
      <c r="C415">
        <v>1</v>
      </c>
      <c r="D415">
        <v>1</v>
      </c>
      <c r="E415">
        <v>2</v>
      </c>
      <c r="F415">
        <v>0</v>
      </c>
      <c r="G415">
        <v>6</v>
      </c>
      <c r="H415">
        <v>0</v>
      </c>
      <c r="I415">
        <v>1</v>
      </c>
      <c r="J415">
        <v>0.346667</v>
      </c>
      <c r="K415">
        <v>0.35542499999999999</v>
      </c>
      <c r="L415">
        <v>0.53458300000000003</v>
      </c>
      <c r="M415">
        <v>0.19092899999999999</v>
      </c>
      <c r="N415">
        <v>1435</v>
      </c>
      <c r="O415">
        <v>2883</v>
      </c>
      <c r="P415">
        <v>4318</v>
      </c>
      <c r="Q415">
        <f t="shared" si="24"/>
        <v>8.2933489999999992</v>
      </c>
      <c r="R415">
        <f t="shared" si="25"/>
        <v>7.4580500000000001</v>
      </c>
      <c r="S415">
        <f t="shared" si="26"/>
        <v>53.458300000000001</v>
      </c>
      <c r="T415">
        <f t="shared" si="27"/>
        <v>12.792242999999999</v>
      </c>
      <c r="U415" t="str">
        <f>_xlfn.XLOOKUP(C415,Lookup!$A$3:$A$6,Lookup!$B$3:$B$6)</f>
        <v>Winter</v>
      </c>
      <c r="V415">
        <f>_xlfn.XLOOKUP(D415,Lookup!$D$3:$D$4,Lookup!$E$3:$E$4)</f>
        <v>2012</v>
      </c>
      <c r="W415" t="str">
        <f>_xlfn.XLOOKUP(I415,Lookup!$G$3:$G$6,Lookup!$H$3:$H$6)</f>
        <v>Clear</v>
      </c>
      <c r="X415" t="str">
        <f>_xlfn.XLOOKUP(E415,Lookup!$J$3:$J$14,Lookup!$K$3:$K$14)</f>
        <v>February</v>
      </c>
      <c r="Y415" t="str">
        <f>_xlfn.XLOOKUP(G415,Lookup!$M$3:$M$9,Lookup!$N$3:$N$9)</f>
        <v>Saturday</v>
      </c>
    </row>
    <row r="416" spans="1:25" x14ac:dyDescent="0.3">
      <c r="A416">
        <v>415</v>
      </c>
      <c r="B416" s="1">
        <v>40958</v>
      </c>
      <c r="C416">
        <v>1</v>
      </c>
      <c r="D416">
        <v>1</v>
      </c>
      <c r="E416">
        <v>2</v>
      </c>
      <c r="F416">
        <v>0</v>
      </c>
      <c r="G416">
        <v>0</v>
      </c>
      <c r="H416">
        <v>0</v>
      </c>
      <c r="I416">
        <v>2</v>
      </c>
      <c r="J416">
        <v>0.28000000000000003</v>
      </c>
      <c r="K416">
        <v>0.26578800000000002</v>
      </c>
      <c r="L416">
        <v>0.51583299999999999</v>
      </c>
      <c r="M416">
        <v>0.253112</v>
      </c>
      <c r="N416">
        <v>618</v>
      </c>
      <c r="O416">
        <v>2071</v>
      </c>
      <c r="P416">
        <v>2689</v>
      </c>
      <c r="Q416">
        <f t="shared" si="24"/>
        <v>5.1600000000000019</v>
      </c>
      <c r="R416">
        <f t="shared" si="25"/>
        <v>1.5420080000000027</v>
      </c>
      <c r="S416">
        <f t="shared" si="26"/>
        <v>51.583300000000001</v>
      </c>
      <c r="T416">
        <f t="shared" si="27"/>
        <v>16.958504000000001</v>
      </c>
      <c r="U416" t="str">
        <f>_xlfn.XLOOKUP(C416,Lookup!$A$3:$A$6,Lookup!$B$3:$B$6)</f>
        <v>Winter</v>
      </c>
      <c r="V416">
        <f>_xlfn.XLOOKUP(D416,Lookup!$D$3:$D$4,Lookup!$E$3:$E$4)</f>
        <v>2012</v>
      </c>
      <c r="W416" t="str">
        <f>_xlfn.XLOOKUP(I416,Lookup!$G$3:$G$6,Lookup!$H$3:$H$6)</f>
        <v>Misty/Cloudy</v>
      </c>
      <c r="X416" t="str">
        <f>_xlfn.XLOOKUP(E416,Lookup!$J$3:$J$14,Lookup!$K$3:$K$14)</f>
        <v>February</v>
      </c>
      <c r="Y416" t="str">
        <f>_xlfn.XLOOKUP(G416,Lookup!$M$3:$M$9,Lookup!$N$3:$N$9)</f>
        <v>Sunday</v>
      </c>
    </row>
    <row r="417" spans="1:25" x14ac:dyDescent="0.3">
      <c r="A417">
        <v>416</v>
      </c>
      <c r="B417" s="1">
        <v>40959</v>
      </c>
      <c r="C417">
        <v>1</v>
      </c>
      <c r="D417">
        <v>1</v>
      </c>
      <c r="E417">
        <v>2</v>
      </c>
      <c r="F417">
        <v>1</v>
      </c>
      <c r="G417">
        <v>1</v>
      </c>
      <c r="H417">
        <v>0</v>
      </c>
      <c r="I417">
        <v>1</v>
      </c>
      <c r="J417">
        <v>0.28000000000000003</v>
      </c>
      <c r="K417">
        <v>0.273391</v>
      </c>
      <c r="L417">
        <v>0.507826</v>
      </c>
      <c r="M417">
        <v>0.22908300000000001</v>
      </c>
      <c r="N417">
        <v>502</v>
      </c>
      <c r="O417">
        <v>2627</v>
      </c>
      <c r="P417">
        <v>3129</v>
      </c>
      <c r="Q417">
        <f t="shared" si="24"/>
        <v>5.1600000000000019</v>
      </c>
      <c r="R417">
        <f t="shared" si="25"/>
        <v>2.043806</v>
      </c>
      <c r="S417">
        <f t="shared" si="26"/>
        <v>50.782600000000002</v>
      </c>
      <c r="T417">
        <f t="shared" si="27"/>
        <v>15.348561</v>
      </c>
      <c r="U417" t="str">
        <f>_xlfn.XLOOKUP(C417,Lookup!$A$3:$A$6,Lookup!$B$3:$B$6)</f>
        <v>Winter</v>
      </c>
      <c r="V417">
        <f>_xlfn.XLOOKUP(D417,Lookup!$D$3:$D$4,Lookup!$E$3:$E$4)</f>
        <v>2012</v>
      </c>
      <c r="W417" t="str">
        <f>_xlfn.XLOOKUP(I417,Lookup!$G$3:$G$6,Lookup!$H$3:$H$6)</f>
        <v>Clear</v>
      </c>
      <c r="X417" t="str">
        <f>_xlfn.XLOOKUP(E417,Lookup!$J$3:$J$14,Lookup!$K$3:$K$14)</f>
        <v>February</v>
      </c>
      <c r="Y417" t="str">
        <f>_xlfn.XLOOKUP(G417,Lookup!$M$3:$M$9,Lookup!$N$3:$N$9)</f>
        <v>Monday</v>
      </c>
    </row>
    <row r="418" spans="1:25" x14ac:dyDescent="0.3">
      <c r="A418">
        <v>417</v>
      </c>
      <c r="B418" s="1">
        <v>40960</v>
      </c>
      <c r="C418">
        <v>1</v>
      </c>
      <c r="D418">
        <v>1</v>
      </c>
      <c r="E418">
        <v>2</v>
      </c>
      <c r="F418">
        <v>0</v>
      </c>
      <c r="G418">
        <v>2</v>
      </c>
      <c r="H418">
        <v>1</v>
      </c>
      <c r="I418">
        <v>1</v>
      </c>
      <c r="J418">
        <v>0.28782600000000003</v>
      </c>
      <c r="K418">
        <v>0.29511300000000001</v>
      </c>
      <c r="L418">
        <v>0.59434799999999999</v>
      </c>
      <c r="M418">
        <v>0.20571700000000001</v>
      </c>
      <c r="N418">
        <v>163</v>
      </c>
      <c r="O418">
        <v>3614</v>
      </c>
      <c r="P418">
        <v>3777</v>
      </c>
      <c r="Q418">
        <f t="shared" si="24"/>
        <v>5.5278220000000005</v>
      </c>
      <c r="R418">
        <f t="shared" si="25"/>
        <v>3.4774580000000022</v>
      </c>
      <c r="S418">
        <f t="shared" si="26"/>
        <v>59.434799999999996</v>
      </c>
      <c r="T418">
        <f t="shared" si="27"/>
        <v>13.783039</v>
      </c>
      <c r="U418" t="str">
        <f>_xlfn.XLOOKUP(C418,Lookup!$A$3:$A$6,Lookup!$B$3:$B$6)</f>
        <v>Winter</v>
      </c>
      <c r="V418">
        <f>_xlfn.XLOOKUP(D418,Lookup!$D$3:$D$4,Lookup!$E$3:$E$4)</f>
        <v>2012</v>
      </c>
      <c r="W418" t="str">
        <f>_xlfn.XLOOKUP(I418,Lookup!$G$3:$G$6,Lookup!$H$3:$H$6)</f>
        <v>Clear</v>
      </c>
      <c r="X418" t="str">
        <f>_xlfn.XLOOKUP(E418,Lookup!$J$3:$J$14,Lookup!$K$3:$K$14)</f>
        <v>February</v>
      </c>
      <c r="Y418" t="str">
        <f>_xlfn.XLOOKUP(G418,Lookup!$M$3:$M$9,Lookup!$N$3:$N$9)</f>
        <v>Tuesday</v>
      </c>
    </row>
    <row r="419" spans="1:25" x14ac:dyDescent="0.3">
      <c r="A419">
        <v>418</v>
      </c>
      <c r="B419" s="1">
        <v>40961</v>
      </c>
      <c r="C419">
        <v>1</v>
      </c>
      <c r="D419">
        <v>1</v>
      </c>
      <c r="E419">
        <v>2</v>
      </c>
      <c r="F419">
        <v>0</v>
      </c>
      <c r="G419">
        <v>3</v>
      </c>
      <c r="H419">
        <v>1</v>
      </c>
      <c r="I419">
        <v>1</v>
      </c>
      <c r="J419">
        <v>0.39583299999999999</v>
      </c>
      <c r="K419">
        <v>0.39266699999999999</v>
      </c>
      <c r="L419">
        <v>0.56791700000000001</v>
      </c>
      <c r="M419">
        <v>0.23447100000000001</v>
      </c>
      <c r="N419">
        <v>394</v>
      </c>
      <c r="O419">
        <v>4379</v>
      </c>
      <c r="P419">
        <v>4773</v>
      </c>
      <c r="Q419">
        <f t="shared" si="24"/>
        <v>10.604150999999998</v>
      </c>
      <c r="R419">
        <f t="shared" si="25"/>
        <v>9.9160219999999981</v>
      </c>
      <c r="S419">
        <f t="shared" si="26"/>
        <v>56.791699999999999</v>
      </c>
      <c r="T419">
        <f t="shared" si="27"/>
        <v>15.709557</v>
      </c>
      <c r="U419" t="str">
        <f>_xlfn.XLOOKUP(C419,Lookup!$A$3:$A$6,Lookup!$B$3:$B$6)</f>
        <v>Winter</v>
      </c>
      <c r="V419">
        <f>_xlfn.XLOOKUP(D419,Lookup!$D$3:$D$4,Lookup!$E$3:$E$4)</f>
        <v>2012</v>
      </c>
      <c r="W419" t="str">
        <f>_xlfn.XLOOKUP(I419,Lookup!$G$3:$G$6,Lookup!$H$3:$H$6)</f>
        <v>Clear</v>
      </c>
      <c r="X419" t="str">
        <f>_xlfn.XLOOKUP(E419,Lookup!$J$3:$J$14,Lookup!$K$3:$K$14)</f>
        <v>February</v>
      </c>
      <c r="Y419" t="str">
        <f>_xlfn.XLOOKUP(G419,Lookup!$M$3:$M$9,Lookup!$N$3:$N$9)</f>
        <v>Wednesday</v>
      </c>
    </row>
    <row r="420" spans="1:25" x14ac:dyDescent="0.3">
      <c r="A420">
        <v>419</v>
      </c>
      <c r="B420" s="1">
        <v>40962</v>
      </c>
      <c r="C420">
        <v>1</v>
      </c>
      <c r="D420">
        <v>1</v>
      </c>
      <c r="E420">
        <v>2</v>
      </c>
      <c r="F420">
        <v>0</v>
      </c>
      <c r="G420">
        <v>4</v>
      </c>
      <c r="H420">
        <v>1</v>
      </c>
      <c r="I420">
        <v>1</v>
      </c>
      <c r="J420">
        <v>0.45416699999999999</v>
      </c>
      <c r="K420">
        <v>0.44444600000000001</v>
      </c>
      <c r="L420">
        <v>0.55458300000000005</v>
      </c>
      <c r="M420">
        <v>0.190913</v>
      </c>
      <c r="N420">
        <v>516</v>
      </c>
      <c r="O420">
        <v>4546</v>
      </c>
      <c r="P420">
        <v>5062</v>
      </c>
      <c r="Q420">
        <f t="shared" si="24"/>
        <v>13.345849000000001</v>
      </c>
      <c r="R420">
        <f t="shared" si="25"/>
        <v>13.333435999999999</v>
      </c>
      <c r="S420">
        <f t="shared" si="26"/>
        <v>55.458300000000008</v>
      </c>
      <c r="T420">
        <f t="shared" si="27"/>
        <v>12.791171</v>
      </c>
      <c r="U420" t="str">
        <f>_xlfn.XLOOKUP(C420,Lookup!$A$3:$A$6,Lookup!$B$3:$B$6)</f>
        <v>Winter</v>
      </c>
      <c r="V420">
        <f>_xlfn.XLOOKUP(D420,Lookup!$D$3:$D$4,Lookup!$E$3:$E$4)</f>
        <v>2012</v>
      </c>
      <c r="W420" t="str">
        <f>_xlfn.XLOOKUP(I420,Lookup!$G$3:$G$6,Lookup!$H$3:$H$6)</f>
        <v>Clear</v>
      </c>
      <c r="X420" t="str">
        <f>_xlfn.XLOOKUP(E420,Lookup!$J$3:$J$14,Lookup!$K$3:$K$14)</f>
        <v>February</v>
      </c>
      <c r="Y420" t="str">
        <f>_xlfn.XLOOKUP(G420,Lookup!$M$3:$M$9,Lookup!$N$3:$N$9)</f>
        <v>Thursday</v>
      </c>
    </row>
    <row r="421" spans="1:25" x14ac:dyDescent="0.3">
      <c r="A421">
        <v>420</v>
      </c>
      <c r="B421" s="1">
        <v>40963</v>
      </c>
      <c r="C421">
        <v>1</v>
      </c>
      <c r="D421">
        <v>1</v>
      </c>
      <c r="E421">
        <v>2</v>
      </c>
      <c r="F421">
        <v>0</v>
      </c>
      <c r="G421">
        <v>5</v>
      </c>
      <c r="H421">
        <v>1</v>
      </c>
      <c r="I421">
        <v>2</v>
      </c>
      <c r="J421">
        <v>0.40749999999999997</v>
      </c>
      <c r="K421">
        <v>0.41097099999999998</v>
      </c>
      <c r="L421">
        <v>0.73750000000000004</v>
      </c>
      <c r="M421">
        <v>0.237567</v>
      </c>
      <c r="N421">
        <v>246</v>
      </c>
      <c r="O421">
        <v>3241</v>
      </c>
      <c r="P421">
        <v>3487</v>
      </c>
      <c r="Q421">
        <f t="shared" si="24"/>
        <v>11.1525</v>
      </c>
      <c r="R421">
        <f t="shared" si="25"/>
        <v>11.124085999999998</v>
      </c>
      <c r="S421">
        <f t="shared" si="26"/>
        <v>73.75</v>
      </c>
      <c r="T421">
        <f t="shared" si="27"/>
        <v>15.916988999999999</v>
      </c>
      <c r="U421" t="str">
        <f>_xlfn.XLOOKUP(C421,Lookup!$A$3:$A$6,Lookup!$B$3:$B$6)</f>
        <v>Winter</v>
      </c>
      <c r="V421">
        <f>_xlfn.XLOOKUP(D421,Lookup!$D$3:$D$4,Lookup!$E$3:$E$4)</f>
        <v>2012</v>
      </c>
      <c r="W421" t="str">
        <f>_xlfn.XLOOKUP(I421,Lookup!$G$3:$G$6,Lookup!$H$3:$H$6)</f>
        <v>Misty/Cloudy</v>
      </c>
      <c r="X421" t="str">
        <f>_xlfn.XLOOKUP(E421,Lookup!$J$3:$J$14,Lookup!$K$3:$K$14)</f>
        <v>February</v>
      </c>
      <c r="Y421" t="str">
        <f>_xlfn.XLOOKUP(G421,Lookup!$M$3:$M$9,Lookup!$N$3:$N$9)</f>
        <v>Friday</v>
      </c>
    </row>
    <row r="422" spans="1:25" x14ac:dyDescent="0.3">
      <c r="A422">
        <v>421</v>
      </c>
      <c r="B422" s="1">
        <v>40964</v>
      </c>
      <c r="C422">
        <v>1</v>
      </c>
      <c r="D422">
        <v>1</v>
      </c>
      <c r="E422">
        <v>2</v>
      </c>
      <c r="F422">
        <v>0</v>
      </c>
      <c r="G422">
        <v>6</v>
      </c>
      <c r="H422">
        <v>0</v>
      </c>
      <c r="I422">
        <v>1</v>
      </c>
      <c r="J422">
        <v>0.29083300000000001</v>
      </c>
      <c r="K422">
        <v>0.25567499999999999</v>
      </c>
      <c r="L422">
        <v>0.39583299999999999</v>
      </c>
      <c r="M422">
        <v>0.42164200000000002</v>
      </c>
      <c r="N422">
        <v>317</v>
      </c>
      <c r="O422">
        <v>2415</v>
      </c>
      <c r="P422">
        <v>2732</v>
      </c>
      <c r="Q422">
        <f t="shared" si="24"/>
        <v>5.6691510000000012</v>
      </c>
      <c r="R422">
        <f t="shared" si="25"/>
        <v>0.87454999999999927</v>
      </c>
      <c r="S422">
        <f t="shared" si="26"/>
        <v>39.583300000000001</v>
      </c>
      <c r="T422">
        <f t="shared" si="27"/>
        <v>28.250014</v>
      </c>
      <c r="U422" t="str">
        <f>_xlfn.XLOOKUP(C422,Lookup!$A$3:$A$6,Lookup!$B$3:$B$6)</f>
        <v>Winter</v>
      </c>
      <c r="V422">
        <f>_xlfn.XLOOKUP(D422,Lookup!$D$3:$D$4,Lookup!$E$3:$E$4)</f>
        <v>2012</v>
      </c>
      <c r="W422" t="str">
        <f>_xlfn.XLOOKUP(I422,Lookup!$G$3:$G$6,Lookup!$H$3:$H$6)</f>
        <v>Clear</v>
      </c>
      <c r="X422" t="str">
        <f>_xlfn.XLOOKUP(E422,Lookup!$J$3:$J$14,Lookup!$K$3:$K$14)</f>
        <v>February</v>
      </c>
      <c r="Y422" t="str">
        <f>_xlfn.XLOOKUP(G422,Lookup!$M$3:$M$9,Lookup!$N$3:$N$9)</f>
        <v>Saturday</v>
      </c>
    </row>
    <row r="423" spans="1:25" x14ac:dyDescent="0.3">
      <c r="A423">
        <v>422</v>
      </c>
      <c r="B423" s="1">
        <v>40965</v>
      </c>
      <c r="C423">
        <v>1</v>
      </c>
      <c r="D423">
        <v>1</v>
      </c>
      <c r="E423">
        <v>2</v>
      </c>
      <c r="F423">
        <v>0</v>
      </c>
      <c r="G423">
        <v>0</v>
      </c>
      <c r="H423">
        <v>0</v>
      </c>
      <c r="I423">
        <v>1</v>
      </c>
      <c r="J423">
        <v>0.279167</v>
      </c>
      <c r="K423">
        <v>0.26830799999999999</v>
      </c>
      <c r="L423">
        <v>0.41</v>
      </c>
      <c r="M423">
        <v>0.20522899999999999</v>
      </c>
      <c r="N423">
        <v>515</v>
      </c>
      <c r="O423">
        <v>2874</v>
      </c>
      <c r="P423">
        <v>3389</v>
      </c>
      <c r="Q423">
        <f t="shared" si="24"/>
        <v>5.1208489999999998</v>
      </c>
      <c r="R423">
        <f t="shared" si="25"/>
        <v>1.7083279999999981</v>
      </c>
      <c r="S423">
        <f t="shared" si="26"/>
        <v>41</v>
      </c>
      <c r="T423">
        <f t="shared" si="27"/>
        <v>13.750342999999999</v>
      </c>
      <c r="U423" t="str">
        <f>_xlfn.XLOOKUP(C423,Lookup!$A$3:$A$6,Lookup!$B$3:$B$6)</f>
        <v>Winter</v>
      </c>
      <c r="V423">
        <f>_xlfn.XLOOKUP(D423,Lookup!$D$3:$D$4,Lookup!$E$3:$E$4)</f>
        <v>2012</v>
      </c>
      <c r="W423" t="str">
        <f>_xlfn.XLOOKUP(I423,Lookup!$G$3:$G$6,Lookup!$H$3:$H$6)</f>
        <v>Clear</v>
      </c>
      <c r="X423" t="str">
        <f>_xlfn.XLOOKUP(E423,Lookup!$J$3:$J$14,Lookup!$K$3:$K$14)</f>
        <v>February</v>
      </c>
      <c r="Y423" t="str">
        <f>_xlfn.XLOOKUP(G423,Lookup!$M$3:$M$9,Lookup!$N$3:$N$9)</f>
        <v>Sunday</v>
      </c>
    </row>
    <row r="424" spans="1:25" x14ac:dyDescent="0.3">
      <c r="A424">
        <v>423</v>
      </c>
      <c r="B424" s="1">
        <v>40966</v>
      </c>
      <c r="C424">
        <v>1</v>
      </c>
      <c r="D424">
        <v>1</v>
      </c>
      <c r="E424">
        <v>2</v>
      </c>
      <c r="F424">
        <v>0</v>
      </c>
      <c r="G424">
        <v>1</v>
      </c>
      <c r="H424">
        <v>1</v>
      </c>
      <c r="I424">
        <v>1</v>
      </c>
      <c r="J424">
        <v>0.36666700000000002</v>
      </c>
      <c r="K424">
        <v>0.35795399999999999</v>
      </c>
      <c r="L424">
        <v>0.49083300000000002</v>
      </c>
      <c r="M424">
        <v>0.26803300000000002</v>
      </c>
      <c r="N424">
        <v>253</v>
      </c>
      <c r="O424">
        <v>4069</v>
      </c>
      <c r="P424">
        <v>4322</v>
      </c>
      <c r="Q424">
        <f t="shared" si="24"/>
        <v>9.2333490000000005</v>
      </c>
      <c r="R424">
        <f t="shared" si="25"/>
        <v>7.6249639999999985</v>
      </c>
      <c r="S424">
        <f t="shared" si="26"/>
        <v>49.083300000000001</v>
      </c>
      <c r="T424">
        <f t="shared" si="27"/>
        <v>17.958211000000002</v>
      </c>
      <c r="U424" t="str">
        <f>_xlfn.XLOOKUP(C424,Lookup!$A$3:$A$6,Lookup!$B$3:$B$6)</f>
        <v>Winter</v>
      </c>
      <c r="V424">
        <f>_xlfn.XLOOKUP(D424,Lookup!$D$3:$D$4,Lookup!$E$3:$E$4)</f>
        <v>2012</v>
      </c>
      <c r="W424" t="str">
        <f>_xlfn.XLOOKUP(I424,Lookup!$G$3:$G$6,Lookup!$H$3:$H$6)</f>
        <v>Clear</v>
      </c>
      <c r="X424" t="str">
        <f>_xlfn.XLOOKUP(E424,Lookup!$J$3:$J$14,Lookup!$K$3:$K$14)</f>
        <v>February</v>
      </c>
      <c r="Y424" t="str">
        <f>_xlfn.XLOOKUP(G424,Lookup!$M$3:$M$9,Lookup!$N$3:$N$9)</f>
        <v>Monday</v>
      </c>
    </row>
    <row r="425" spans="1:25" x14ac:dyDescent="0.3">
      <c r="A425">
        <v>424</v>
      </c>
      <c r="B425" s="1">
        <v>40967</v>
      </c>
      <c r="C425">
        <v>1</v>
      </c>
      <c r="D425">
        <v>1</v>
      </c>
      <c r="E425">
        <v>2</v>
      </c>
      <c r="F425">
        <v>0</v>
      </c>
      <c r="G425">
        <v>2</v>
      </c>
      <c r="H425">
        <v>1</v>
      </c>
      <c r="I425">
        <v>1</v>
      </c>
      <c r="J425">
        <v>0.35916700000000001</v>
      </c>
      <c r="K425">
        <v>0.35352499999999998</v>
      </c>
      <c r="L425">
        <v>0.39583299999999999</v>
      </c>
      <c r="M425">
        <v>0.19341700000000001</v>
      </c>
      <c r="N425">
        <v>229</v>
      </c>
      <c r="O425">
        <v>4134</v>
      </c>
      <c r="P425">
        <v>4363</v>
      </c>
      <c r="Q425">
        <f t="shared" si="24"/>
        <v>8.8808490000000013</v>
      </c>
      <c r="R425">
        <f t="shared" si="25"/>
        <v>7.3326499999999974</v>
      </c>
      <c r="S425">
        <f t="shared" si="26"/>
        <v>39.583300000000001</v>
      </c>
      <c r="T425">
        <f t="shared" si="27"/>
        <v>12.958939000000001</v>
      </c>
      <c r="U425" t="str">
        <f>_xlfn.XLOOKUP(C425,Lookup!$A$3:$A$6,Lookup!$B$3:$B$6)</f>
        <v>Winter</v>
      </c>
      <c r="V425">
        <f>_xlfn.XLOOKUP(D425,Lookup!$D$3:$D$4,Lookup!$E$3:$E$4)</f>
        <v>2012</v>
      </c>
      <c r="W425" t="str">
        <f>_xlfn.XLOOKUP(I425,Lookup!$G$3:$G$6,Lookup!$H$3:$H$6)</f>
        <v>Clear</v>
      </c>
      <c r="X425" t="str">
        <f>_xlfn.XLOOKUP(E425,Lookup!$J$3:$J$14,Lookup!$K$3:$K$14)</f>
        <v>February</v>
      </c>
      <c r="Y425" t="str">
        <f>_xlfn.XLOOKUP(G425,Lookup!$M$3:$M$9,Lookup!$N$3:$N$9)</f>
        <v>Tuesday</v>
      </c>
    </row>
    <row r="426" spans="1:25" x14ac:dyDescent="0.3">
      <c r="A426">
        <v>425</v>
      </c>
      <c r="B426" s="1">
        <v>40968</v>
      </c>
      <c r="C426">
        <v>1</v>
      </c>
      <c r="D426">
        <v>1</v>
      </c>
      <c r="E426">
        <v>2</v>
      </c>
      <c r="F426">
        <v>0</v>
      </c>
      <c r="G426">
        <v>3</v>
      </c>
      <c r="H426">
        <v>1</v>
      </c>
      <c r="I426">
        <v>2</v>
      </c>
      <c r="J426">
        <v>0.34434799999999999</v>
      </c>
      <c r="K426">
        <v>0.34847</v>
      </c>
      <c r="L426">
        <v>0.80478300000000003</v>
      </c>
      <c r="M426">
        <v>0.179117</v>
      </c>
      <c r="N426">
        <v>65</v>
      </c>
      <c r="O426">
        <v>1769</v>
      </c>
      <c r="P426">
        <v>1834</v>
      </c>
      <c r="Q426">
        <f t="shared" si="24"/>
        <v>8.1843560000000011</v>
      </c>
      <c r="R426">
        <f t="shared" si="25"/>
        <v>6.9990200000000016</v>
      </c>
      <c r="S426">
        <f t="shared" si="26"/>
        <v>80.478300000000004</v>
      </c>
      <c r="T426">
        <f t="shared" si="27"/>
        <v>12.000838999999999</v>
      </c>
      <c r="U426" t="str">
        <f>_xlfn.XLOOKUP(C426,Lookup!$A$3:$A$6,Lookup!$B$3:$B$6)</f>
        <v>Winter</v>
      </c>
      <c r="V426">
        <f>_xlfn.XLOOKUP(D426,Lookup!$D$3:$D$4,Lookup!$E$3:$E$4)</f>
        <v>2012</v>
      </c>
      <c r="W426" t="str">
        <f>_xlfn.XLOOKUP(I426,Lookup!$G$3:$G$6,Lookup!$H$3:$H$6)</f>
        <v>Misty/Cloudy</v>
      </c>
      <c r="X426" t="str">
        <f>_xlfn.XLOOKUP(E426,Lookup!$J$3:$J$14,Lookup!$K$3:$K$14)</f>
        <v>February</v>
      </c>
      <c r="Y426" t="str">
        <f>_xlfn.XLOOKUP(G426,Lookup!$M$3:$M$9,Lookup!$N$3:$N$9)</f>
        <v>Wednesday</v>
      </c>
    </row>
    <row r="427" spans="1:25" x14ac:dyDescent="0.3">
      <c r="A427">
        <v>426</v>
      </c>
      <c r="B427" s="1">
        <v>40969</v>
      </c>
      <c r="C427">
        <v>1</v>
      </c>
      <c r="D427">
        <v>1</v>
      </c>
      <c r="E427">
        <v>3</v>
      </c>
      <c r="F427">
        <v>0</v>
      </c>
      <c r="G427">
        <v>4</v>
      </c>
      <c r="H427">
        <v>1</v>
      </c>
      <c r="I427">
        <v>1</v>
      </c>
      <c r="J427">
        <v>0.48583300000000001</v>
      </c>
      <c r="K427">
        <v>0.47537099999999999</v>
      </c>
      <c r="L427">
        <v>0.61541699999999999</v>
      </c>
      <c r="M427">
        <v>0.22698699999999999</v>
      </c>
      <c r="N427">
        <v>325</v>
      </c>
      <c r="O427">
        <v>4665</v>
      </c>
      <c r="P427">
        <v>4990</v>
      </c>
      <c r="Q427">
        <f t="shared" si="24"/>
        <v>14.834151000000002</v>
      </c>
      <c r="R427">
        <f t="shared" si="25"/>
        <v>15.374485999999997</v>
      </c>
      <c r="S427">
        <f t="shared" si="26"/>
        <v>61.541699999999999</v>
      </c>
      <c r="T427">
        <f t="shared" si="27"/>
        <v>15.208129</v>
      </c>
      <c r="U427" t="str">
        <f>_xlfn.XLOOKUP(C427,Lookup!$A$3:$A$6,Lookup!$B$3:$B$6)</f>
        <v>Winter</v>
      </c>
      <c r="V427">
        <f>_xlfn.XLOOKUP(D427,Lookup!$D$3:$D$4,Lookup!$E$3:$E$4)</f>
        <v>2012</v>
      </c>
      <c r="W427" t="str">
        <f>_xlfn.XLOOKUP(I427,Lookup!$G$3:$G$6,Lookup!$H$3:$H$6)</f>
        <v>Clear</v>
      </c>
      <c r="X427" t="str">
        <f>_xlfn.XLOOKUP(E427,Lookup!$J$3:$J$14,Lookup!$K$3:$K$14)</f>
        <v>March</v>
      </c>
      <c r="Y427" t="str">
        <f>_xlfn.XLOOKUP(G427,Lookup!$M$3:$M$9,Lookup!$N$3:$N$9)</f>
        <v>Thursday</v>
      </c>
    </row>
    <row r="428" spans="1:25" x14ac:dyDescent="0.3">
      <c r="A428">
        <v>427</v>
      </c>
      <c r="B428" s="1">
        <v>40970</v>
      </c>
      <c r="C428">
        <v>1</v>
      </c>
      <c r="D428">
        <v>1</v>
      </c>
      <c r="E428">
        <v>3</v>
      </c>
      <c r="F428">
        <v>0</v>
      </c>
      <c r="G428">
        <v>5</v>
      </c>
      <c r="H428">
        <v>1</v>
      </c>
      <c r="I428">
        <v>2</v>
      </c>
      <c r="J428">
        <v>0.35333300000000001</v>
      </c>
      <c r="K428">
        <v>0.359842</v>
      </c>
      <c r="L428">
        <v>0.65708299999999997</v>
      </c>
      <c r="M428">
        <v>0.14490400000000001</v>
      </c>
      <c r="N428">
        <v>246</v>
      </c>
      <c r="O428">
        <v>2948</v>
      </c>
      <c r="P428">
        <v>3194</v>
      </c>
      <c r="Q428">
        <f t="shared" si="24"/>
        <v>8.6066509999999994</v>
      </c>
      <c r="R428">
        <f t="shared" si="25"/>
        <v>7.7495720000000006</v>
      </c>
      <c r="S428">
        <f t="shared" si="26"/>
        <v>65.708299999999994</v>
      </c>
      <c r="T428">
        <f t="shared" si="27"/>
        <v>9.7085679999999996</v>
      </c>
      <c r="U428" t="str">
        <f>_xlfn.XLOOKUP(C428,Lookup!$A$3:$A$6,Lookup!$B$3:$B$6)</f>
        <v>Winter</v>
      </c>
      <c r="V428">
        <f>_xlfn.XLOOKUP(D428,Lookup!$D$3:$D$4,Lookup!$E$3:$E$4)</f>
        <v>2012</v>
      </c>
      <c r="W428" t="str">
        <f>_xlfn.XLOOKUP(I428,Lookup!$G$3:$G$6,Lookup!$H$3:$H$6)</f>
        <v>Misty/Cloudy</v>
      </c>
      <c r="X428" t="str">
        <f>_xlfn.XLOOKUP(E428,Lookup!$J$3:$J$14,Lookup!$K$3:$K$14)</f>
        <v>March</v>
      </c>
      <c r="Y428" t="str">
        <f>_xlfn.XLOOKUP(G428,Lookup!$M$3:$M$9,Lookup!$N$3:$N$9)</f>
        <v>Friday</v>
      </c>
    </row>
    <row r="429" spans="1:25" x14ac:dyDescent="0.3">
      <c r="A429">
        <v>428</v>
      </c>
      <c r="B429" s="1">
        <v>40971</v>
      </c>
      <c r="C429">
        <v>1</v>
      </c>
      <c r="D429">
        <v>1</v>
      </c>
      <c r="E429">
        <v>3</v>
      </c>
      <c r="F429">
        <v>0</v>
      </c>
      <c r="G429">
        <v>6</v>
      </c>
      <c r="H429">
        <v>0</v>
      </c>
      <c r="I429">
        <v>2</v>
      </c>
      <c r="J429">
        <v>0.41416700000000001</v>
      </c>
      <c r="K429">
        <v>0.41349200000000003</v>
      </c>
      <c r="L429">
        <v>0.62124999999999997</v>
      </c>
      <c r="M429">
        <v>0.161079</v>
      </c>
      <c r="N429">
        <v>956</v>
      </c>
      <c r="O429">
        <v>3110</v>
      </c>
      <c r="P429">
        <v>4066</v>
      </c>
      <c r="Q429">
        <f t="shared" si="24"/>
        <v>11.465848999999999</v>
      </c>
      <c r="R429">
        <f t="shared" si="25"/>
        <v>11.290472000000001</v>
      </c>
      <c r="S429">
        <f t="shared" si="26"/>
        <v>62.125</v>
      </c>
      <c r="T429">
        <f t="shared" si="27"/>
        <v>10.792293000000001</v>
      </c>
      <c r="U429" t="str">
        <f>_xlfn.XLOOKUP(C429,Lookup!$A$3:$A$6,Lookup!$B$3:$B$6)</f>
        <v>Winter</v>
      </c>
      <c r="V429">
        <f>_xlfn.XLOOKUP(D429,Lookup!$D$3:$D$4,Lookup!$E$3:$E$4)</f>
        <v>2012</v>
      </c>
      <c r="W429" t="str">
        <f>_xlfn.XLOOKUP(I429,Lookup!$G$3:$G$6,Lookup!$H$3:$H$6)</f>
        <v>Misty/Cloudy</v>
      </c>
      <c r="X429" t="str">
        <f>_xlfn.XLOOKUP(E429,Lookup!$J$3:$J$14,Lookup!$K$3:$K$14)</f>
        <v>March</v>
      </c>
      <c r="Y429" t="str">
        <f>_xlfn.XLOOKUP(G429,Lookup!$M$3:$M$9,Lookup!$N$3:$N$9)</f>
        <v>Saturday</v>
      </c>
    </row>
    <row r="430" spans="1:25" x14ac:dyDescent="0.3">
      <c r="A430">
        <v>429</v>
      </c>
      <c r="B430" s="1">
        <v>40972</v>
      </c>
      <c r="C430">
        <v>1</v>
      </c>
      <c r="D430">
        <v>1</v>
      </c>
      <c r="E430">
        <v>3</v>
      </c>
      <c r="F430">
        <v>0</v>
      </c>
      <c r="G430">
        <v>0</v>
      </c>
      <c r="H430">
        <v>0</v>
      </c>
      <c r="I430">
        <v>1</v>
      </c>
      <c r="J430">
        <v>0.32583299999999998</v>
      </c>
      <c r="K430">
        <v>0.30302099999999998</v>
      </c>
      <c r="L430">
        <v>0.403333</v>
      </c>
      <c r="M430">
        <v>0.33457100000000001</v>
      </c>
      <c r="N430">
        <v>710</v>
      </c>
      <c r="O430">
        <v>2713</v>
      </c>
      <c r="P430">
        <v>3423</v>
      </c>
      <c r="Q430">
        <f t="shared" si="24"/>
        <v>7.314150999999999</v>
      </c>
      <c r="R430">
        <f t="shared" si="25"/>
        <v>3.9993859999999977</v>
      </c>
      <c r="S430">
        <f t="shared" si="26"/>
        <v>40.333300000000001</v>
      </c>
      <c r="T430">
        <f t="shared" si="27"/>
        <v>22.416257000000002</v>
      </c>
      <c r="U430" t="str">
        <f>_xlfn.XLOOKUP(C430,Lookup!$A$3:$A$6,Lookup!$B$3:$B$6)</f>
        <v>Winter</v>
      </c>
      <c r="V430">
        <f>_xlfn.XLOOKUP(D430,Lookup!$D$3:$D$4,Lookup!$E$3:$E$4)</f>
        <v>2012</v>
      </c>
      <c r="W430" t="str">
        <f>_xlfn.XLOOKUP(I430,Lookup!$G$3:$G$6,Lookup!$H$3:$H$6)</f>
        <v>Clear</v>
      </c>
      <c r="X430" t="str">
        <f>_xlfn.XLOOKUP(E430,Lookup!$J$3:$J$14,Lookup!$K$3:$K$14)</f>
        <v>March</v>
      </c>
      <c r="Y430" t="str">
        <f>_xlfn.XLOOKUP(G430,Lookup!$M$3:$M$9,Lookup!$N$3:$N$9)</f>
        <v>Sunday</v>
      </c>
    </row>
    <row r="431" spans="1:25" x14ac:dyDescent="0.3">
      <c r="A431">
        <v>430</v>
      </c>
      <c r="B431" s="1">
        <v>40973</v>
      </c>
      <c r="C431">
        <v>1</v>
      </c>
      <c r="D431">
        <v>1</v>
      </c>
      <c r="E431">
        <v>3</v>
      </c>
      <c r="F431">
        <v>0</v>
      </c>
      <c r="G431">
        <v>1</v>
      </c>
      <c r="H431">
        <v>1</v>
      </c>
      <c r="I431">
        <v>1</v>
      </c>
      <c r="J431">
        <v>0.24333299999999999</v>
      </c>
      <c r="K431">
        <v>0.241171</v>
      </c>
      <c r="L431">
        <v>0.50624999999999998</v>
      </c>
      <c r="M431">
        <v>0.22885800000000001</v>
      </c>
      <c r="N431">
        <v>203</v>
      </c>
      <c r="O431">
        <v>3130</v>
      </c>
      <c r="P431">
        <v>3333</v>
      </c>
      <c r="Q431">
        <f t="shared" si="24"/>
        <v>3.4366509999999995</v>
      </c>
      <c r="R431">
        <f t="shared" si="25"/>
        <v>-8.2714000000001064E-2</v>
      </c>
      <c r="S431">
        <f t="shared" si="26"/>
        <v>50.625</v>
      </c>
      <c r="T431">
        <f t="shared" si="27"/>
        <v>15.333486000000001</v>
      </c>
      <c r="U431" t="str">
        <f>_xlfn.XLOOKUP(C431,Lookup!$A$3:$A$6,Lookup!$B$3:$B$6)</f>
        <v>Winter</v>
      </c>
      <c r="V431">
        <f>_xlfn.XLOOKUP(D431,Lookup!$D$3:$D$4,Lookup!$E$3:$E$4)</f>
        <v>2012</v>
      </c>
      <c r="W431" t="str">
        <f>_xlfn.XLOOKUP(I431,Lookup!$G$3:$G$6,Lookup!$H$3:$H$6)</f>
        <v>Clear</v>
      </c>
      <c r="X431" t="str">
        <f>_xlfn.XLOOKUP(E431,Lookup!$J$3:$J$14,Lookup!$K$3:$K$14)</f>
        <v>March</v>
      </c>
      <c r="Y431" t="str">
        <f>_xlfn.XLOOKUP(G431,Lookup!$M$3:$M$9,Lookup!$N$3:$N$9)</f>
        <v>Monday</v>
      </c>
    </row>
    <row r="432" spans="1:25" x14ac:dyDescent="0.3">
      <c r="A432">
        <v>431</v>
      </c>
      <c r="B432" s="1">
        <v>40974</v>
      </c>
      <c r="C432">
        <v>1</v>
      </c>
      <c r="D432">
        <v>1</v>
      </c>
      <c r="E432">
        <v>3</v>
      </c>
      <c r="F432">
        <v>0</v>
      </c>
      <c r="G432">
        <v>2</v>
      </c>
      <c r="H432">
        <v>1</v>
      </c>
      <c r="I432">
        <v>1</v>
      </c>
      <c r="J432">
        <v>0.25833299999999998</v>
      </c>
      <c r="K432">
        <v>0.25504199999999999</v>
      </c>
      <c r="L432">
        <v>0.45666699999999999</v>
      </c>
      <c r="M432">
        <v>0.200875</v>
      </c>
      <c r="N432">
        <v>221</v>
      </c>
      <c r="O432">
        <v>3735</v>
      </c>
      <c r="P432">
        <v>3956</v>
      </c>
      <c r="Q432">
        <f t="shared" si="24"/>
        <v>4.1416509999999995</v>
      </c>
      <c r="R432">
        <f t="shared" si="25"/>
        <v>0.83277199999999851</v>
      </c>
      <c r="S432">
        <f t="shared" si="26"/>
        <v>45.666699999999999</v>
      </c>
      <c r="T432">
        <f t="shared" si="27"/>
        <v>13.458625</v>
      </c>
      <c r="U432" t="str">
        <f>_xlfn.XLOOKUP(C432,Lookup!$A$3:$A$6,Lookup!$B$3:$B$6)</f>
        <v>Winter</v>
      </c>
      <c r="V432">
        <f>_xlfn.XLOOKUP(D432,Lookup!$D$3:$D$4,Lookup!$E$3:$E$4)</f>
        <v>2012</v>
      </c>
      <c r="W432" t="str">
        <f>_xlfn.XLOOKUP(I432,Lookup!$G$3:$G$6,Lookup!$H$3:$H$6)</f>
        <v>Clear</v>
      </c>
      <c r="X432" t="str">
        <f>_xlfn.XLOOKUP(E432,Lookup!$J$3:$J$14,Lookup!$K$3:$K$14)</f>
        <v>March</v>
      </c>
      <c r="Y432" t="str">
        <f>_xlfn.XLOOKUP(G432,Lookup!$M$3:$M$9,Lookup!$N$3:$N$9)</f>
        <v>Tuesday</v>
      </c>
    </row>
    <row r="433" spans="1:25" x14ac:dyDescent="0.3">
      <c r="A433">
        <v>432</v>
      </c>
      <c r="B433" s="1">
        <v>40975</v>
      </c>
      <c r="C433">
        <v>1</v>
      </c>
      <c r="D433">
        <v>1</v>
      </c>
      <c r="E433">
        <v>3</v>
      </c>
      <c r="F433">
        <v>0</v>
      </c>
      <c r="G433">
        <v>3</v>
      </c>
      <c r="H433">
        <v>1</v>
      </c>
      <c r="I433">
        <v>1</v>
      </c>
      <c r="J433">
        <v>0.404167</v>
      </c>
      <c r="K433">
        <v>0.3851</v>
      </c>
      <c r="L433">
        <v>0.51333300000000004</v>
      </c>
      <c r="M433">
        <v>0.345779</v>
      </c>
      <c r="N433">
        <v>432</v>
      </c>
      <c r="O433">
        <v>4484</v>
      </c>
      <c r="P433">
        <v>4916</v>
      </c>
      <c r="Q433">
        <f t="shared" si="24"/>
        <v>10.995849</v>
      </c>
      <c r="R433">
        <f t="shared" si="25"/>
        <v>9.416599999999999</v>
      </c>
      <c r="S433">
        <f t="shared" si="26"/>
        <v>51.333300000000001</v>
      </c>
      <c r="T433">
        <f t="shared" si="27"/>
        <v>23.167193000000001</v>
      </c>
      <c r="U433" t="str">
        <f>_xlfn.XLOOKUP(C433,Lookup!$A$3:$A$6,Lookup!$B$3:$B$6)</f>
        <v>Winter</v>
      </c>
      <c r="V433">
        <f>_xlfn.XLOOKUP(D433,Lookup!$D$3:$D$4,Lookup!$E$3:$E$4)</f>
        <v>2012</v>
      </c>
      <c r="W433" t="str">
        <f>_xlfn.XLOOKUP(I433,Lookup!$G$3:$G$6,Lookup!$H$3:$H$6)</f>
        <v>Clear</v>
      </c>
      <c r="X433" t="str">
        <f>_xlfn.XLOOKUP(E433,Lookup!$J$3:$J$14,Lookup!$K$3:$K$14)</f>
        <v>March</v>
      </c>
      <c r="Y433" t="str">
        <f>_xlfn.XLOOKUP(G433,Lookup!$M$3:$M$9,Lookup!$N$3:$N$9)</f>
        <v>Wednesday</v>
      </c>
    </row>
    <row r="434" spans="1:25" x14ac:dyDescent="0.3">
      <c r="A434">
        <v>433</v>
      </c>
      <c r="B434" s="1">
        <v>40976</v>
      </c>
      <c r="C434">
        <v>1</v>
      </c>
      <c r="D434">
        <v>1</v>
      </c>
      <c r="E434">
        <v>3</v>
      </c>
      <c r="F434">
        <v>0</v>
      </c>
      <c r="G434">
        <v>4</v>
      </c>
      <c r="H434">
        <v>1</v>
      </c>
      <c r="I434">
        <v>1</v>
      </c>
      <c r="J434">
        <v>0.52749999999999997</v>
      </c>
      <c r="K434">
        <v>0.52460399999999996</v>
      </c>
      <c r="L434">
        <v>0.5675</v>
      </c>
      <c r="M434">
        <v>0.44156299999999998</v>
      </c>
      <c r="N434">
        <v>486</v>
      </c>
      <c r="O434">
        <v>4896</v>
      </c>
      <c r="P434">
        <v>5382</v>
      </c>
      <c r="Q434">
        <f t="shared" si="24"/>
        <v>16.792499999999997</v>
      </c>
      <c r="R434">
        <f t="shared" si="25"/>
        <v>18.623863999999998</v>
      </c>
      <c r="S434">
        <f t="shared" si="26"/>
        <v>56.75</v>
      </c>
      <c r="T434">
        <f t="shared" si="27"/>
        <v>29.584720999999998</v>
      </c>
      <c r="U434" t="str">
        <f>_xlfn.XLOOKUP(C434,Lookup!$A$3:$A$6,Lookup!$B$3:$B$6)</f>
        <v>Winter</v>
      </c>
      <c r="V434">
        <f>_xlfn.XLOOKUP(D434,Lookup!$D$3:$D$4,Lookup!$E$3:$E$4)</f>
        <v>2012</v>
      </c>
      <c r="W434" t="str">
        <f>_xlfn.XLOOKUP(I434,Lookup!$G$3:$G$6,Lookup!$H$3:$H$6)</f>
        <v>Clear</v>
      </c>
      <c r="X434" t="str">
        <f>_xlfn.XLOOKUP(E434,Lookup!$J$3:$J$14,Lookup!$K$3:$K$14)</f>
        <v>March</v>
      </c>
      <c r="Y434" t="str">
        <f>_xlfn.XLOOKUP(G434,Lookup!$M$3:$M$9,Lookup!$N$3:$N$9)</f>
        <v>Thursday</v>
      </c>
    </row>
    <row r="435" spans="1:25" x14ac:dyDescent="0.3">
      <c r="A435">
        <v>434</v>
      </c>
      <c r="B435" s="1">
        <v>40977</v>
      </c>
      <c r="C435">
        <v>1</v>
      </c>
      <c r="D435">
        <v>1</v>
      </c>
      <c r="E435">
        <v>3</v>
      </c>
      <c r="F435">
        <v>0</v>
      </c>
      <c r="G435">
        <v>5</v>
      </c>
      <c r="H435">
        <v>1</v>
      </c>
      <c r="I435">
        <v>2</v>
      </c>
      <c r="J435">
        <v>0.410833</v>
      </c>
      <c r="K435">
        <v>0.39708300000000002</v>
      </c>
      <c r="L435">
        <v>0.40708299999999997</v>
      </c>
      <c r="M435">
        <v>0.4148</v>
      </c>
      <c r="N435">
        <v>447</v>
      </c>
      <c r="O435">
        <v>4122</v>
      </c>
      <c r="P435">
        <v>4569</v>
      </c>
      <c r="Q435">
        <f t="shared" si="24"/>
        <v>11.309151</v>
      </c>
      <c r="R435">
        <f t="shared" si="25"/>
        <v>10.207478000000002</v>
      </c>
      <c r="S435">
        <f t="shared" si="26"/>
        <v>40.708299999999994</v>
      </c>
      <c r="T435">
        <f t="shared" si="27"/>
        <v>27.791599999999999</v>
      </c>
      <c r="U435" t="str">
        <f>_xlfn.XLOOKUP(C435,Lookup!$A$3:$A$6,Lookup!$B$3:$B$6)</f>
        <v>Winter</v>
      </c>
      <c r="V435">
        <f>_xlfn.XLOOKUP(D435,Lookup!$D$3:$D$4,Lookup!$E$3:$E$4)</f>
        <v>2012</v>
      </c>
      <c r="W435" t="str">
        <f>_xlfn.XLOOKUP(I435,Lookup!$G$3:$G$6,Lookup!$H$3:$H$6)</f>
        <v>Misty/Cloudy</v>
      </c>
      <c r="X435" t="str">
        <f>_xlfn.XLOOKUP(E435,Lookup!$J$3:$J$14,Lookup!$K$3:$K$14)</f>
        <v>March</v>
      </c>
      <c r="Y435" t="str">
        <f>_xlfn.XLOOKUP(G435,Lookup!$M$3:$M$9,Lookup!$N$3:$N$9)</f>
        <v>Friday</v>
      </c>
    </row>
    <row r="436" spans="1:25" x14ac:dyDescent="0.3">
      <c r="A436">
        <v>435</v>
      </c>
      <c r="B436" s="1">
        <v>40978</v>
      </c>
      <c r="C436">
        <v>1</v>
      </c>
      <c r="D436">
        <v>1</v>
      </c>
      <c r="E436">
        <v>3</v>
      </c>
      <c r="F436">
        <v>0</v>
      </c>
      <c r="G436">
        <v>6</v>
      </c>
      <c r="H436">
        <v>0</v>
      </c>
      <c r="I436">
        <v>1</v>
      </c>
      <c r="J436">
        <v>0.28749999999999998</v>
      </c>
      <c r="K436">
        <v>0.27776699999999999</v>
      </c>
      <c r="L436">
        <v>0.35041699999999998</v>
      </c>
      <c r="M436">
        <v>0.22575000000000001</v>
      </c>
      <c r="N436">
        <v>968</v>
      </c>
      <c r="O436">
        <v>3150</v>
      </c>
      <c r="P436">
        <v>4118</v>
      </c>
      <c r="Q436">
        <f t="shared" si="24"/>
        <v>5.5124999999999993</v>
      </c>
      <c r="R436">
        <f t="shared" si="25"/>
        <v>2.3326220000000006</v>
      </c>
      <c r="S436">
        <f t="shared" si="26"/>
        <v>35.041699999999999</v>
      </c>
      <c r="T436">
        <f t="shared" si="27"/>
        <v>15.125250000000001</v>
      </c>
      <c r="U436" t="str">
        <f>_xlfn.XLOOKUP(C436,Lookup!$A$3:$A$6,Lookup!$B$3:$B$6)</f>
        <v>Winter</v>
      </c>
      <c r="V436">
        <f>_xlfn.XLOOKUP(D436,Lookup!$D$3:$D$4,Lookup!$E$3:$E$4)</f>
        <v>2012</v>
      </c>
      <c r="W436" t="str">
        <f>_xlfn.XLOOKUP(I436,Lookup!$G$3:$G$6,Lookup!$H$3:$H$6)</f>
        <v>Clear</v>
      </c>
      <c r="X436" t="str">
        <f>_xlfn.XLOOKUP(E436,Lookup!$J$3:$J$14,Lookup!$K$3:$K$14)</f>
        <v>March</v>
      </c>
      <c r="Y436" t="str">
        <f>_xlfn.XLOOKUP(G436,Lookup!$M$3:$M$9,Lookup!$N$3:$N$9)</f>
        <v>Saturday</v>
      </c>
    </row>
    <row r="437" spans="1:25" x14ac:dyDescent="0.3">
      <c r="A437">
        <v>436</v>
      </c>
      <c r="B437" s="1">
        <v>40979</v>
      </c>
      <c r="C437">
        <v>1</v>
      </c>
      <c r="D437">
        <v>1</v>
      </c>
      <c r="E437">
        <v>3</v>
      </c>
      <c r="F437">
        <v>0</v>
      </c>
      <c r="G437">
        <v>0</v>
      </c>
      <c r="H437">
        <v>0</v>
      </c>
      <c r="I437">
        <v>1</v>
      </c>
      <c r="J437">
        <v>0.36173899999999998</v>
      </c>
      <c r="K437">
        <v>0.35966999999999999</v>
      </c>
      <c r="L437">
        <v>0.47695700000000002</v>
      </c>
      <c r="M437">
        <v>0.22258700000000001</v>
      </c>
      <c r="N437">
        <v>1658</v>
      </c>
      <c r="O437">
        <v>3253</v>
      </c>
      <c r="P437">
        <v>4911</v>
      </c>
      <c r="Q437">
        <f t="shared" si="24"/>
        <v>9.001732999999998</v>
      </c>
      <c r="R437">
        <f t="shared" si="25"/>
        <v>7.7382199999999983</v>
      </c>
      <c r="S437">
        <f t="shared" si="26"/>
        <v>47.695700000000002</v>
      </c>
      <c r="T437">
        <f t="shared" si="27"/>
        <v>14.913329000000001</v>
      </c>
      <c r="U437" t="str">
        <f>_xlfn.XLOOKUP(C437,Lookup!$A$3:$A$6,Lookup!$B$3:$B$6)</f>
        <v>Winter</v>
      </c>
      <c r="V437">
        <f>_xlfn.XLOOKUP(D437,Lookup!$D$3:$D$4,Lookup!$E$3:$E$4)</f>
        <v>2012</v>
      </c>
      <c r="W437" t="str">
        <f>_xlfn.XLOOKUP(I437,Lookup!$G$3:$G$6,Lookup!$H$3:$H$6)</f>
        <v>Clear</v>
      </c>
      <c r="X437" t="str">
        <f>_xlfn.XLOOKUP(E437,Lookup!$J$3:$J$14,Lookup!$K$3:$K$14)</f>
        <v>March</v>
      </c>
      <c r="Y437" t="str">
        <f>_xlfn.XLOOKUP(G437,Lookup!$M$3:$M$9,Lookup!$N$3:$N$9)</f>
        <v>Sunday</v>
      </c>
    </row>
    <row r="438" spans="1:25" x14ac:dyDescent="0.3">
      <c r="A438">
        <v>437</v>
      </c>
      <c r="B438" s="1">
        <v>40980</v>
      </c>
      <c r="C438">
        <v>1</v>
      </c>
      <c r="D438">
        <v>1</v>
      </c>
      <c r="E438">
        <v>3</v>
      </c>
      <c r="F438">
        <v>0</v>
      </c>
      <c r="G438">
        <v>1</v>
      </c>
      <c r="H438">
        <v>1</v>
      </c>
      <c r="I438">
        <v>1</v>
      </c>
      <c r="J438">
        <v>0.466667</v>
      </c>
      <c r="K438">
        <v>0.459592</v>
      </c>
      <c r="L438">
        <v>0.48916700000000002</v>
      </c>
      <c r="M438">
        <v>0.20771300000000001</v>
      </c>
      <c r="N438">
        <v>838</v>
      </c>
      <c r="O438">
        <v>4460</v>
      </c>
      <c r="P438">
        <v>5298</v>
      </c>
      <c r="Q438">
        <f t="shared" si="24"/>
        <v>13.933349</v>
      </c>
      <c r="R438">
        <f t="shared" si="25"/>
        <v>14.333072000000001</v>
      </c>
      <c r="S438">
        <f t="shared" si="26"/>
        <v>48.916699999999999</v>
      </c>
      <c r="T438">
        <f t="shared" si="27"/>
        <v>13.916771000000001</v>
      </c>
      <c r="U438" t="str">
        <f>_xlfn.XLOOKUP(C438,Lookup!$A$3:$A$6,Lookup!$B$3:$B$6)</f>
        <v>Winter</v>
      </c>
      <c r="V438">
        <f>_xlfn.XLOOKUP(D438,Lookup!$D$3:$D$4,Lookup!$E$3:$E$4)</f>
        <v>2012</v>
      </c>
      <c r="W438" t="str">
        <f>_xlfn.XLOOKUP(I438,Lookup!$G$3:$G$6,Lookup!$H$3:$H$6)</f>
        <v>Clear</v>
      </c>
      <c r="X438" t="str">
        <f>_xlfn.XLOOKUP(E438,Lookup!$J$3:$J$14,Lookup!$K$3:$K$14)</f>
        <v>March</v>
      </c>
      <c r="Y438" t="str">
        <f>_xlfn.XLOOKUP(G438,Lookup!$M$3:$M$9,Lookup!$N$3:$N$9)</f>
        <v>Monday</v>
      </c>
    </row>
    <row r="439" spans="1:25" x14ac:dyDescent="0.3">
      <c r="A439">
        <v>438</v>
      </c>
      <c r="B439" s="1">
        <v>40981</v>
      </c>
      <c r="C439">
        <v>1</v>
      </c>
      <c r="D439">
        <v>1</v>
      </c>
      <c r="E439">
        <v>3</v>
      </c>
      <c r="F439">
        <v>0</v>
      </c>
      <c r="G439">
        <v>2</v>
      </c>
      <c r="H439">
        <v>1</v>
      </c>
      <c r="I439">
        <v>1</v>
      </c>
      <c r="J439">
        <v>0.56499999999999995</v>
      </c>
      <c r="K439">
        <v>0.54292899999999999</v>
      </c>
      <c r="L439">
        <v>0.61750000000000005</v>
      </c>
      <c r="M439">
        <v>0.23694999999999999</v>
      </c>
      <c r="N439">
        <v>762</v>
      </c>
      <c r="O439">
        <v>5085</v>
      </c>
      <c r="P439">
        <v>5847</v>
      </c>
      <c r="Q439">
        <f t="shared" si="24"/>
        <v>18.554999999999996</v>
      </c>
      <c r="R439">
        <f t="shared" si="25"/>
        <v>19.833314000000001</v>
      </c>
      <c r="S439">
        <f t="shared" si="26"/>
        <v>61.750000000000007</v>
      </c>
      <c r="T439">
        <f t="shared" si="27"/>
        <v>15.87565</v>
      </c>
      <c r="U439" t="str">
        <f>_xlfn.XLOOKUP(C439,Lookup!$A$3:$A$6,Lookup!$B$3:$B$6)</f>
        <v>Winter</v>
      </c>
      <c r="V439">
        <f>_xlfn.XLOOKUP(D439,Lookup!$D$3:$D$4,Lookup!$E$3:$E$4)</f>
        <v>2012</v>
      </c>
      <c r="W439" t="str">
        <f>_xlfn.XLOOKUP(I439,Lookup!$G$3:$G$6,Lookup!$H$3:$H$6)</f>
        <v>Clear</v>
      </c>
      <c r="X439" t="str">
        <f>_xlfn.XLOOKUP(E439,Lookup!$J$3:$J$14,Lookup!$K$3:$K$14)</f>
        <v>March</v>
      </c>
      <c r="Y439" t="str">
        <f>_xlfn.XLOOKUP(G439,Lookup!$M$3:$M$9,Lookup!$N$3:$N$9)</f>
        <v>Tuesday</v>
      </c>
    </row>
    <row r="440" spans="1:25" x14ac:dyDescent="0.3">
      <c r="A440">
        <v>439</v>
      </c>
      <c r="B440" s="1">
        <v>40982</v>
      </c>
      <c r="C440">
        <v>1</v>
      </c>
      <c r="D440">
        <v>1</v>
      </c>
      <c r="E440">
        <v>3</v>
      </c>
      <c r="F440">
        <v>0</v>
      </c>
      <c r="G440">
        <v>3</v>
      </c>
      <c r="H440">
        <v>1</v>
      </c>
      <c r="I440">
        <v>1</v>
      </c>
      <c r="J440">
        <v>0.57250000000000001</v>
      </c>
      <c r="K440">
        <v>0.54861700000000002</v>
      </c>
      <c r="L440">
        <v>0.50708299999999995</v>
      </c>
      <c r="M440">
        <v>0.115062</v>
      </c>
      <c r="N440">
        <v>997</v>
      </c>
      <c r="O440">
        <v>5315</v>
      </c>
      <c r="P440">
        <v>6312</v>
      </c>
      <c r="Q440">
        <f t="shared" si="24"/>
        <v>18.907499999999999</v>
      </c>
      <c r="R440">
        <f t="shared" si="25"/>
        <v>20.208722000000002</v>
      </c>
      <c r="S440">
        <f t="shared" si="26"/>
        <v>50.708299999999994</v>
      </c>
      <c r="T440">
        <f t="shared" si="27"/>
        <v>7.7091539999999998</v>
      </c>
      <c r="U440" t="str">
        <f>_xlfn.XLOOKUP(C440,Lookup!$A$3:$A$6,Lookup!$B$3:$B$6)</f>
        <v>Winter</v>
      </c>
      <c r="V440">
        <f>_xlfn.XLOOKUP(D440,Lookup!$D$3:$D$4,Lookup!$E$3:$E$4)</f>
        <v>2012</v>
      </c>
      <c r="W440" t="str">
        <f>_xlfn.XLOOKUP(I440,Lookup!$G$3:$G$6,Lookup!$H$3:$H$6)</f>
        <v>Clear</v>
      </c>
      <c r="X440" t="str">
        <f>_xlfn.XLOOKUP(E440,Lookup!$J$3:$J$14,Lookup!$K$3:$K$14)</f>
        <v>March</v>
      </c>
      <c r="Y440" t="str">
        <f>_xlfn.XLOOKUP(G440,Lookup!$M$3:$M$9,Lookup!$N$3:$N$9)</f>
        <v>Wednesday</v>
      </c>
    </row>
    <row r="441" spans="1:25" x14ac:dyDescent="0.3">
      <c r="A441">
        <v>440</v>
      </c>
      <c r="B441" s="1">
        <v>40983</v>
      </c>
      <c r="C441">
        <v>1</v>
      </c>
      <c r="D441">
        <v>1</v>
      </c>
      <c r="E441">
        <v>3</v>
      </c>
      <c r="F441">
        <v>0</v>
      </c>
      <c r="G441">
        <v>4</v>
      </c>
      <c r="H441">
        <v>1</v>
      </c>
      <c r="I441">
        <v>1</v>
      </c>
      <c r="J441">
        <v>0.5575</v>
      </c>
      <c r="K441">
        <v>0.53282499999999999</v>
      </c>
      <c r="L441">
        <v>0.57958299999999996</v>
      </c>
      <c r="M441">
        <v>0.14988299999999999</v>
      </c>
      <c r="N441">
        <v>1005</v>
      </c>
      <c r="O441">
        <v>5187</v>
      </c>
      <c r="P441">
        <v>6192</v>
      </c>
      <c r="Q441">
        <f t="shared" si="24"/>
        <v>18.202500000000001</v>
      </c>
      <c r="R441">
        <f t="shared" si="25"/>
        <v>19.166449999999998</v>
      </c>
      <c r="S441">
        <f t="shared" si="26"/>
        <v>57.958299999999994</v>
      </c>
      <c r="T441">
        <f t="shared" si="27"/>
        <v>10.042161</v>
      </c>
      <c r="U441" t="str">
        <f>_xlfn.XLOOKUP(C441,Lookup!$A$3:$A$6,Lookup!$B$3:$B$6)</f>
        <v>Winter</v>
      </c>
      <c r="V441">
        <f>_xlfn.XLOOKUP(D441,Lookup!$D$3:$D$4,Lookup!$E$3:$E$4)</f>
        <v>2012</v>
      </c>
      <c r="W441" t="str">
        <f>_xlfn.XLOOKUP(I441,Lookup!$G$3:$G$6,Lookup!$H$3:$H$6)</f>
        <v>Clear</v>
      </c>
      <c r="X441" t="str">
        <f>_xlfn.XLOOKUP(E441,Lookup!$J$3:$J$14,Lookup!$K$3:$K$14)</f>
        <v>March</v>
      </c>
      <c r="Y441" t="str">
        <f>_xlfn.XLOOKUP(G441,Lookup!$M$3:$M$9,Lookup!$N$3:$N$9)</f>
        <v>Thursday</v>
      </c>
    </row>
    <row r="442" spans="1:25" x14ac:dyDescent="0.3">
      <c r="A442">
        <v>441</v>
      </c>
      <c r="B442" s="1">
        <v>40984</v>
      </c>
      <c r="C442">
        <v>1</v>
      </c>
      <c r="D442">
        <v>1</v>
      </c>
      <c r="E442">
        <v>3</v>
      </c>
      <c r="F442">
        <v>0</v>
      </c>
      <c r="G442">
        <v>5</v>
      </c>
      <c r="H442">
        <v>1</v>
      </c>
      <c r="I442">
        <v>2</v>
      </c>
      <c r="J442">
        <v>0.43583300000000003</v>
      </c>
      <c r="K442">
        <v>0.43622899999999998</v>
      </c>
      <c r="L442">
        <v>0.84208300000000003</v>
      </c>
      <c r="M442">
        <v>0.113192</v>
      </c>
      <c r="N442">
        <v>548</v>
      </c>
      <c r="O442">
        <v>3830</v>
      </c>
      <c r="P442">
        <v>4378</v>
      </c>
      <c r="Q442">
        <f t="shared" si="24"/>
        <v>12.484151000000001</v>
      </c>
      <c r="R442">
        <f t="shared" si="25"/>
        <v>12.791114</v>
      </c>
      <c r="S442">
        <f t="shared" si="26"/>
        <v>84.208300000000008</v>
      </c>
      <c r="T442">
        <f t="shared" si="27"/>
        <v>7.5838640000000002</v>
      </c>
      <c r="U442" t="str">
        <f>_xlfn.XLOOKUP(C442,Lookup!$A$3:$A$6,Lookup!$B$3:$B$6)</f>
        <v>Winter</v>
      </c>
      <c r="V442">
        <f>_xlfn.XLOOKUP(D442,Lookup!$D$3:$D$4,Lookup!$E$3:$E$4)</f>
        <v>2012</v>
      </c>
      <c r="W442" t="str">
        <f>_xlfn.XLOOKUP(I442,Lookup!$G$3:$G$6,Lookup!$H$3:$H$6)</f>
        <v>Misty/Cloudy</v>
      </c>
      <c r="X442" t="str">
        <f>_xlfn.XLOOKUP(E442,Lookup!$J$3:$J$14,Lookup!$K$3:$K$14)</f>
        <v>March</v>
      </c>
      <c r="Y442" t="str">
        <f>_xlfn.XLOOKUP(G442,Lookup!$M$3:$M$9,Lookup!$N$3:$N$9)</f>
        <v>Friday</v>
      </c>
    </row>
    <row r="443" spans="1:25" x14ac:dyDescent="0.3">
      <c r="A443">
        <v>442</v>
      </c>
      <c r="B443" s="1">
        <v>40985</v>
      </c>
      <c r="C443">
        <v>1</v>
      </c>
      <c r="D443">
        <v>1</v>
      </c>
      <c r="E443">
        <v>3</v>
      </c>
      <c r="F443">
        <v>0</v>
      </c>
      <c r="G443">
        <v>6</v>
      </c>
      <c r="H443">
        <v>0</v>
      </c>
      <c r="I443">
        <v>2</v>
      </c>
      <c r="J443">
        <v>0.51416700000000004</v>
      </c>
      <c r="K443">
        <v>0.50504599999999999</v>
      </c>
      <c r="L443">
        <v>0.75583299999999998</v>
      </c>
      <c r="M443">
        <v>0.110704</v>
      </c>
      <c r="N443">
        <v>3155</v>
      </c>
      <c r="O443">
        <v>4681</v>
      </c>
      <c r="P443">
        <v>7836</v>
      </c>
      <c r="Q443">
        <f t="shared" si="24"/>
        <v>16.165849000000001</v>
      </c>
      <c r="R443">
        <f t="shared" si="25"/>
        <v>17.333036</v>
      </c>
      <c r="S443">
        <f t="shared" si="26"/>
        <v>75.583299999999994</v>
      </c>
      <c r="T443">
        <f t="shared" si="27"/>
        <v>7.4171680000000002</v>
      </c>
      <c r="U443" t="str">
        <f>_xlfn.XLOOKUP(C443,Lookup!$A$3:$A$6,Lookup!$B$3:$B$6)</f>
        <v>Winter</v>
      </c>
      <c r="V443">
        <f>_xlfn.XLOOKUP(D443,Lookup!$D$3:$D$4,Lookup!$E$3:$E$4)</f>
        <v>2012</v>
      </c>
      <c r="W443" t="str">
        <f>_xlfn.XLOOKUP(I443,Lookup!$G$3:$G$6,Lookup!$H$3:$H$6)</f>
        <v>Misty/Cloudy</v>
      </c>
      <c r="X443" t="str">
        <f>_xlfn.XLOOKUP(E443,Lookup!$J$3:$J$14,Lookup!$K$3:$K$14)</f>
        <v>March</v>
      </c>
      <c r="Y443" t="str">
        <f>_xlfn.XLOOKUP(G443,Lookup!$M$3:$M$9,Lookup!$N$3:$N$9)</f>
        <v>Saturday</v>
      </c>
    </row>
    <row r="444" spans="1:25" x14ac:dyDescent="0.3">
      <c r="A444">
        <v>443</v>
      </c>
      <c r="B444" s="1">
        <v>40986</v>
      </c>
      <c r="C444">
        <v>1</v>
      </c>
      <c r="D444">
        <v>1</v>
      </c>
      <c r="E444">
        <v>3</v>
      </c>
      <c r="F444">
        <v>0</v>
      </c>
      <c r="G444">
        <v>0</v>
      </c>
      <c r="H444">
        <v>0</v>
      </c>
      <c r="I444">
        <v>2</v>
      </c>
      <c r="J444">
        <v>0.47249999999999998</v>
      </c>
      <c r="K444">
        <v>0.46400000000000002</v>
      </c>
      <c r="L444">
        <v>0.81</v>
      </c>
      <c r="M444">
        <v>0.126883</v>
      </c>
      <c r="N444">
        <v>2207</v>
      </c>
      <c r="O444">
        <v>3685</v>
      </c>
      <c r="P444">
        <v>5892</v>
      </c>
      <c r="Q444">
        <f t="shared" si="24"/>
        <v>14.2075</v>
      </c>
      <c r="R444">
        <f t="shared" si="25"/>
        <v>14.624000000000002</v>
      </c>
      <c r="S444">
        <f t="shared" si="26"/>
        <v>81</v>
      </c>
      <c r="T444">
        <f t="shared" si="27"/>
        <v>8.5011609999999997</v>
      </c>
      <c r="U444" t="str">
        <f>_xlfn.XLOOKUP(C444,Lookup!$A$3:$A$6,Lookup!$B$3:$B$6)</f>
        <v>Winter</v>
      </c>
      <c r="V444">
        <f>_xlfn.XLOOKUP(D444,Lookup!$D$3:$D$4,Lookup!$E$3:$E$4)</f>
        <v>2012</v>
      </c>
      <c r="W444" t="str">
        <f>_xlfn.XLOOKUP(I444,Lookup!$G$3:$G$6,Lookup!$H$3:$H$6)</f>
        <v>Misty/Cloudy</v>
      </c>
      <c r="X444" t="str">
        <f>_xlfn.XLOOKUP(E444,Lookup!$J$3:$J$14,Lookup!$K$3:$K$14)</f>
        <v>March</v>
      </c>
      <c r="Y444" t="str">
        <f>_xlfn.XLOOKUP(G444,Lookup!$M$3:$M$9,Lookup!$N$3:$N$9)</f>
        <v>Sunday</v>
      </c>
    </row>
    <row r="445" spans="1:25" x14ac:dyDescent="0.3">
      <c r="A445">
        <v>444</v>
      </c>
      <c r="B445" s="1">
        <v>40987</v>
      </c>
      <c r="C445">
        <v>1</v>
      </c>
      <c r="D445">
        <v>1</v>
      </c>
      <c r="E445">
        <v>3</v>
      </c>
      <c r="F445">
        <v>0</v>
      </c>
      <c r="G445">
        <v>1</v>
      </c>
      <c r="H445">
        <v>1</v>
      </c>
      <c r="I445">
        <v>1</v>
      </c>
      <c r="J445">
        <v>0.54500000000000004</v>
      </c>
      <c r="K445">
        <v>0.53282099999999999</v>
      </c>
      <c r="L445">
        <v>0.72875000000000001</v>
      </c>
      <c r="M445">
        <v>0.16231699999999999</v>
      </c>
      <c r="N445">
        <v>982</v>
      </c>
      <c r="O445">
        <v>5171</v>
      </c>
      <c r="P445">
        <v>6153</v>
      </c>
      <c r="Q445">
        <f t="shared" si="24"/>
        <v>17.615000000000002</v>
      </c>
      <c r="R445">
        <f t="shared" si="25"/>
        <v>19.166185999999996</v>
      </c>
      <c r="S445">
        <f t="shared" si="26"/>
        <v>72.875</v>
      </c>
      <c r="T445">
        <f t="shared" si="27"/>
        <v>10.875238999999999</v>
      </c>
      <c r="U445" t="str">
        <f>_xlfn.XLOOKUP(C445,Lookup!$A$3:$A$6,Lookup!$B$3:$B$6)</f>
        <v>Winter</v>
      </c>
      <c r="V445">
        <f>_xlfn.XLOOKUP(D445,Lookup!$D$3:$D$4,Lookup!$E$3:$E$4)</f>
        <v>2012</v>
      </c>
      <c r="W445" t="str">
        <f>_xlfn.XLOOKUP(I445,Lookup!$G$3:$G$6,Lookup!$H$3:$H$6)</f>
        <v>Clear</v>
      </c>
      <c r="X445" t="str">
        <f>_xlfn.XLOOKUP(E445,Lookup!$J$3:$J$14,Lookup!$K$3:$K$14)</f>
        <v>March</v>
      </c>
      <c r="Y445" t="str">
        <f>_xlfn.XLOOKUP(G445,Lookup!$M$3:$M$9,Lookup!$N$3:$N$9)</f>
        <v>Monday</v>
      </c>
    </row>
    <row r="446" spans="1:25" x14ac:dyDescent="0.3">
      <c r="A446">
        <v>445</v>
      </c>
      <c r="B446" s="1">
        <v>40988</v>
      </c>
      <c r="C446">
        <v>1</v>
      </c>
      <c r="D446">
        <v>1</v>
      </c>
      <c r="E446">
        <v>3</v>
      </c>
      <c r="F446">
        <v>0</v>
      </c>
      <c r="G446">
        <v>2</v>
      </c>
      <c r="H446">
        <v>1</v>
      </c>
      <c r="I446">
        <v>1</v>
      </c>
      <c r="J446">
        <v>0.56083300000000003</v>
      </c>
      <c r="K446">
        <v>0.53853300000000004</v>
      </c>
      <c r="L446">
        <v>0.807917</v>
      </c>
      <c r="M446">
        <v>0.121271</v>
      </c>
      <c r="N446">
        <v>1051</v>
      </c>
      <c r="O446">
        <v>5042</v>
      </c>
      <c r="P446">
        <v>6093</v>
      </c>
      <c r="Q446">
        <f t="shared" si="24"/>
        <v>18.359151000000001</v>
      </c>
      <c r="R446">
        <f t="shared" si="25"/>
        <v>19.543178000000005</v>
      </c>
      <c r="S446">
        <f t="shared" si="26"/>
        <v>80.791700000000006</v>
      </c>
      <c r="T446">
        <f t="shared" si="27"/>
        <v>8.1251569999999997</v>
      </c>
      <c r="U446" t="str">
        <f>_xlfn.XLOOKUP(C446,Lookup!$A$3:$A$6,Lookup!$B$3:$B$6)</f>
        <v>Winter</v>
      </c>
      <c r="V446">
        <f>_xlfn.XLOOKUP(D446,Lookup!$D$3:$D$4,Lookup!$E$3:$E$4)</f>
        <v>2012</v>
      </c>
      <c r="W446" t="str">
        <f>_xlfn.XLOOKUP(I446,Lookup!$G$3:$G$6,Lookup!$H$3:$H$6)</f>
        <v>Clear</v>
      </c>
      <c r="X446" t="str">
        <f>_xlfn.XLOOKUP(E446,Lookup!$J$3:$J$14,Lookup!$K$3:$K$14)</f>
        <v>March</v>
      </c>
      <c r="Y446" t="str">
        <f>_xlfn.XLOOKUP(G446,Lookup!$M$3:$M$9,Lookup!$N$3:$N$9)</f>
        <v>Tuesday</v>
      </c>
    </row>
    <row r="447" spans="1:25" x14ac:dyDescent="0.3">
      <c r="A447">
        <v>446</v>
      </c>
      <c r="B447" s="1">
        <v>40989</v>
      </c>
      <c r="C447">
        <v>2</v>
      </c>
      <c r="D447">
        <v>1</v>
      </c>
      <c r="E447">
        <v>3</v>
      </c>
      <c r="F447">
        <v>0</v>
      </c>
      <c r="G447">
        <v>3</v>
      </c>
      <c r="H447">
        <v>1</v>
      </c>
      <c r="I447">
        <v>2</v>
      </c>
      <c r="J447">
        <v>0.531667</v>
      </c>
      <c r="K447">
        <v>0.51325799999999999</v>
      </c>
      <c r="L447">
        <v>0.82125000000000004</v>
      </c>
      <c r="M447">
        <v>8.9558299999999993E-2</v>
      </c>
      <c r="N447">
        <v>1122</v>
      </c>
      <c r="O447">
        <v>5108</v>
      </c>
      <c r="P447">
        <v>6230</v>
      </c>
      <c r="Q447">
        <f t="shared" si="24"/>
        <v>16.988348999999999</v>
      </c>
      <c r="R447">
        <f t="shared" si="25"/>
        <v>17.875028</v>
      </c>
      <c r="S447">
        <f t="shared" si="26"/>
        <v>82.125</v>
      </c>
      <c r="T447">
        <f t="shared" si="27"/>
        <v>6.0004060999999993</v>
      </c>
      <c r="U447" t="str">
        <f>_xlfn.XLOOKUP(C447,Lookup!$A$3:$A$6,Lookup!$B$3:$B$6)</f>
        <v>Spring</v>
      </c>
      <c r="V447">
        <f>_xlfn.XLOOKUP(D447,Lookup!$D$3:$D$4,Lookup!$E$3:$E$4)</f>
        <v>2012</v>
      </c>
      <c r="W447" t="str">
        <f>_xlfn.XLOOKUP(I447,Lookup!$G$3:$G$6,Lookup!$H$3:$H$6)</f>
        <v>Misty/Cloudy</v>
      </c>
      <c r="X447" t="str">
        <f>_xlfn.XLOOKUP(E447,Lookup!$J$3:$J$14,Lookup!$K$3:$K$14)</f>
        <v>March</v>
      </c>
      <c r="Y447" t="str">
        <f>_xlfn.XLOOKUP(G447,Lookup!$M$3:$M$9,Lookup!$N$3:$N$9)</f>
        <v>Wednesday</v>
      </c>
    </row>
    <row r="448" spans="1:25" x14ac:dyDescent="0.3">
      <c r="A448">
        <v>447</v>
      </c>
      <c r="B448" s="1">
        <v>40990</v>
      </c>
      <c r="C448">
        <v>2</v>
      </c>
      <c r="D448">
        <v>1</v>
      </c>
      <c r="E448">
        <v>3</v>
      </c>
      <c r="F448">
        <v>0</v>
      </c>
      <c r="G448">
        <v>4</v>
      </c>
      <c r="H448">
        <v>1</v>
      </c>
      <c r="I448">
        <v>1</v>
      </c>
      <c r="J448">
        <v>0.55416699999999997</v>
      </c>
      <c r="K448">
        <v>0.53156700000000001</v>
      </c>
      <c r="L448">
        <v>0.83125000000000004</v>
      </c>
      <c r="M448">
        <v>0.117562</v>
      </c>
      <c r="N448">
        <v>1334</v>
      </c>
      <c r="O448">
        <v>5537</v>
      </c>
      <c r="P448">
        <v>6871</v>
      </c>
      <c r="Q448">
        <f t="shared" si="24"/>
        <v>18.045848999999997</v>
      </c>
      <c r="R448">
        <f t="shared" si="25"/>
        <v>19.083421999999999</v>
      </c>
      <c r="S448">
        <f t="shared" si="26"/>
        <v>83.125</v>
      </c>
      <c r="T448">
        <f t="shared" si="27"/>
        <v>7.8766540000000003</v>
      </c>
      <c r="U448" t="str">
        <f>_xlfn.XLOOKUP(C448,Lookup!$A$3:$A$6,Lookup!$B$3:$B$6)</f>
        <v>Spring</v>
      </c>
      <c r="V448">
        <f>_xlfn.XLOOKUP(D448,Lookup!$D$3:$D$4,Lookup!$E$3:$E$4)</f>
        <v>2012</v>
      </c>
      <c r="W448" t="str">
        <f>_xlfn.XLOOKUP(I448,Lookup!$G$3:$G$6,Lookup!$H$3:$H$6)</f>
        <v>Clear</v>
      </c>
      <c r="X448" t="str">
        <f>_xlfn.XLOOKUP(E448,Lookup!$J$3:$J$14,Lookup!$K$3:$K$14)</f>
        <v>March</v>
      </c>
      <c r="Y448" t="str">
        <f>_xlfn.XLOOKUP(G448,Lookup!$M$3:$M$9,Lookup!$N$3:$N$9)</f>
        <v>Thursday</v>
      </c>
    </row>
    <row r="449" spans="1:25" x14ac:dyDescent="0.3">
      <c r="A449">
        <v>448</v>
      </c>
      <c r="B449" s="1">
        <v>40991</v>
      </c>
      <c r="C449">
        <v>2</v>
      </c>
      <c r="D449">
        <v>1</v>
      </c>
      <c r="E449">
        <v>3</v>
      </c>
      <c r="F449">
        <v>0</v>
      </c>
      <c r="G449">
        <v>5</v>
      </c>
      <c r="H449">
        <v>1</v>
      </c>
      <c r="I449">
        <v>2</v>
      </c>
      <c r="J449">
        <v>0.60166699999999995</v>
      </c>
      <c r="K449">
        <v>0.57006699999999999</v>
      </c>
      <c r="L449">
        <v>0.69416699999999998</v>
      </c>
      <c r="M449">
        <v>0.1163</v>
      </c>
      <c r="N449">
        <v>2469</v>
      </c>
      <c r="O449">
        <v>5893</v>
      </c>
      <c r="P449">
        <v>8362</v>
      </c>
      <c r="Q449">
        <f t="shared" si="24"/>
        <v>20.278348999999999</v>
      </c>
      <c r="R449">
        <f t="shared" si="25"/>
        <v>21.624422000000003</v>
      </c>
      <c r="S449">
        <f t="shared" si="26"/>
        <v>69.416699999999992</v>
      </c>
      <c r="T449">
        <f t="shared" si="27"/>
        <v>7.7921000000000005</v>
      </c>
      <c r="U449" t="str">
        <f>_xlfn.XLOOKUP(C449,Lookup!$A$3:$A$6,Lookup!$B$3:$B$6)</f>
        <v>Spring</v>
      </c>
      <c r="V449">
        <f>_xlfn.XLOOKUP(D449,Lookup!$D$3:$D$4,Lookup!$E$3:$E$4)</f>
        <v>2012</v>
      </c>
      <c r="W449" t="str">
        <f>_xlfn.XLOOKUP(I449,Lookup!$G$3:$G$6,Lookup!$H$3:$H$6)</f>
        <v>Misty/Cloudy</v>
      </c>
      <c r="X449" t="str">
        <f>_xlfn.XLOOKUP(E449,Lookup!$J$3:$J$14,Lookup!$K$3:$K$14)</f>
        <v>March</v>
      </c>
      <c r="Y449" t="str">
        <f>_xlfn.XLOOKUP(G449,Lookup!$M$3:$M$9,Lookup!$N$3:$N$9)</f>
        <v>Friday</v>
      </c>
    </row>
    <row r="450" spans="1:25" x14ac:dyDescent="0.3">
      <c r="A450">
        <v>449</v>
      </c>
      <c r="B450" s="1">
        <v>40992</v>
      </c>
      <c r="C450">
        <v>2</v>
      </c>
      <c r="D450">
        <v>1</v>
      </c>
      <c r="E450">
        <v>3</v>
      </c>
      <c r="F450">
        <v>0</v>
      </c>
      <c r="G450">
        <v>6</v>
      </c>
      <c r="H450">
        <v>0</v>
      </c>
      <c r="I450">
        <v>2</v>
      </c>
      <c r="J450">
        <v>0.50249999999999995</v>
      </c>
      <c r="K450">
        <v>0.48673300000000003</v>
      </c>
      <c r="L450">
        <v>0.88541700000000001</v>
      </c>
      <c r="M450">
        <v>0.19278300000000001</v>
      </c>
      <c r="N450">
        <v>1033</v>
      </c>
      <c r="O450">
        <v>2339</v>
      </c>
      <c r="P450">
        <v>3372</v>
      </c>
      <c r="Q450">
        <f t="shared" si="24"/>
        <v>15.617499999999996</v>
      </c>
      <c r="R450">
        <f t="shared" si="25"/>
        <v>16.124378</v>
      </c>
      <c r="S450">
        <f t="shared" si="26"/>
        <v>88.541700000000006</v>
      </c>
      <c r="T450">
        <f t="shared" si="27"/>
        <v>12.916461</v>
      </c>
      <c r="U450" t="str">
        <f>_xlfn.XLOOKUP(C450,Lookup!$A$3:$A$6,Lookup!$B$3:$B$6)</f>
        <v>Spring</v>
      </c>
      <c r="V450">
        <f>_xlfn.XLOOKUP(D450,Lookup!$D$3:$D$4,Lookup!$E$3:$E$4)</f>
        <v>2012</v>
      </c>
      <c r="W450" t="str">
        <f>_xlfn.XLOOKUP(I450,Lookup!$G$3:$G$6,Lookup!$H$3:$H$6)</f>
        <v>Misty/Cloudy</v>
      </c>
      <c r="X450" t="str">
        <f>_xlfn.XLOOKUP(E450,Lookup!$J$3:$J$14,Lookup!$K$3:$K$14)</f>
        <v>March</v>
      </c>
      <c r="Y450" t="str">
        <f>_xlfn.XLOOKUP(G450,Lookup!$M$3:$M$9,Lookup!$N$3:$N$9)</f>
        <v>Saturday</v>
      </c>
    </row>
    <row r="451" spans="1:25" x14ac:dyDescent="0.3">
      <c r="A451">
        <v>450</v>
      </c>
      <c r="B451" s="1">
        <v>40993</v>
      </c>
      <c r="C451">
        <v>2</v>
      </c>
      <c r="D451">
        <v>1</v>
      </c>
      <c r="E451">
        <v>3</v>
      </c>
      <c r="F451">
        <v>0</v>
      </c>
      <c r="G451">
        <v>0</v>
      </c>
      <c r="H451">
        <v>0</v>
      </c>
      <c r="I451">
        <v>2</v>
      </c>
      <c r="J451">
        <v>0.4375</v>
      </c>
      <c r="K451">
        <v>0.43748799999999999</v>
      </c>
      <c r="L451">
        <v>0.88083299999999998</v>
      </c>
      <c r="M451">
        <v>0.220775</v>
      </c>
      <c r="N451">
        <v>1532</v>
      </c>
      <c r="O451">
        <v>3464</v>
      </c>
      <c r="P451">
        <v>4996</v>
      </c>
      <c r="Q451">
        <f t="shared" ref="Q451:Q514" si="28">J451*47-8</f>
        <v>12.5625</v>
      </c>
      <c r="R451">
        <f t="shared" ref="R451:R514" si="29">K451*66-16</f>
        <v>12.874207999999999</v>
      </c>
      <c r="S451">
        <f t="shared" ref="S451:S514" si="30">L451*100</f>
        <v>88.083299999999994</v>
      </c>
      <c r="T451">
        <f t="shared" ref="T451:T514" si="31">M451*67</f>
        <v>14.791924999999999</v>
      </c>
      <c r="U451" t="str">
        <f>_xlfn.XLOOKUP(C451,Lookup!$A$3:$A$6,Lookup!$B$3:$B$6)</f>
        <v>Spring</v>
      </c>
      <c r="V451">
        <f>_xlfn.XLOOKUP(D451,Lookup!$D$3:$D$4,Lookup!$E$3:$E$4)</f>
        <v>2012</v>
      </c>
      <c r="W451" t="str">
        <f>_xlfn.XLOOKUP(I451,Lookup!$G$3:$G$6,Lookup!$H$3:$H$6)</f>
        <v>Misty/Cloudy</v>
      </c>
      <c r="X451" t="str">
        <f>_xlfn.XLOOKUP(E451,Lookup!$J$3:$J$14,Lookup!$K$3:$K$14)</f>
        <v>March</v>
      </c>
      <c r="Y451" t="str">
        <f>_xlfn.XLOOKUP(G451,Lookup!$M$3:$M$9,Lookup!$N$3:$N$9)</f>
        <v>Sunday</v>
      </c>
    </row>
    <row r="452" spans="1:25" x14ac:dyDescent="0.3">
      <c r="A452">
        <v>451</v>
      </c>
      <c r="B452" s="1">
        <v>40994</v>
      </c>
      <c r="C452">
        <v>2</v>
      </c>
      <c r="D452">
        <v>1</v>
      </c>
      <c r="E452">
        <v>3</v>
      </c>
      <c r="F452">
        <v>0</v>
      </c>
      <c r="G452">
        <v>1</v>
      </c>
      <c r="H452">
        <v>1</v>
      </c>
      <c r="I452">
        <v>1</v>
      </c>
      <c r="J452">
        <v>0.44583299999999998</v>
      </c>
      <c r="K452">
        <v>0.43874999999999997</v>
      </c>
      <c r="L452">
        <v>0.47791699999999998</v>
      </c>
      <c r="M452">
        <v>0.38682100000000003</v>
      </c>
      <c r="N452">
        <v>795</v>
      </c>
      <c r="O452">
        <v>4763</v>
      </c>
      <c r="P452">
        <v>5558</v>
      </c>
      <c r="Q452">
        <f t="shared" si="28"/>
        <v>12.954151</v>
      </c>
      <c r="R452">
        <f t="shared" si="29"/>
        <v>12.9575</v>
      </c>
      <c r="S452">
        <f t="shared" si="30"/>
        <v>47.791699999999999</v>
      </c>
      <c r="T452">
        <f t="shared" si="31"/>
        <v>25.917007000000002</v>
      </c>
      <c r="U452" t="str">
        <f>_xlfn.XLOOKUP(C452,Lookup!$A$3:$A$6,Lookup!$B$3:$B$6)</f>
        <v>Spring</v>
      </c>
      <c r="V452">
        <f>_xlfn.XLOOKUP(D452,Lookup!$D$3:$D$4,Lookup!$E$3:$E$4)</f>
        <v>2012</v>
      </c>
      <c r="W452" t="str">
        <f>_xlfn.XLOOKUP(I452,Lookup!$G$3:$G$6,Lookup!$H$3:$H$6)</f>
        <v>Clear</v>
      </c>
      <c r="X452" t="str">
        <f>_xlfn.XLOOKUP(E452,Lookup!$J$3:$J$14,Lookup!$K$3:$K$14)</f>
        <v>March</v>
      </c>
      <c r="Y452" t="str">
        <f>_xlfn.XLOOKUP(G452,Lookup!$M$3:$M$9,Lookup!$N$3:$N$9)</f>
        <v>Monday</v>
      </c>
    </row>
    <row r="453" spans="1:25" x14ac:dyDescent="0.3">
      <c r="A453">
        <v>452</v>
      </c>
      <c r="B453" s="1">
        <v>40995</v>
      </c>
      <c r="C453">
        <v>2</v>
      </c>
      <c r="D453">
        <v>1</v>
      </c>
      <c r="E453">
        <v>3</v>
      </c>
      <c r="F453">
        <v>0</v>
      </c>
      <c r="G453">
        <v>2</v>
      </c>
      <c r="H453">
        <v>1</v>
      </c>
      <c r="I453">
        <v>1</v>
      </c>
      <c r="J453">
        <v>0.32333299999999998</v>
      </c>
      <c r="K453">
        <v>0.31565399999999999</v>
      </c>
      <c r="L453">
        <v>0.28999999999999998</v>
      </c>
      <c r="M453">
        <v>0.187192</v>
      </c>
      <c r="N453">
        <v>531</v>
      </c>
      <c r="O453">
        <v>4571</v>
      </c>
      <c r="P453">
        <v>5102</v>
      </c>
      <c r="Q453">
        <f t="shared" si="28"/>
        <v>7.1966509999999992</v>
      </c>
      <c r="R453">
        <f t="shared" si="29"/>
        <v>4.833164</v>
      </c>
      <c r="S453">
        <f t="shared" si="30"/>
        <v>28.999999999999996</v>
      </c>
      <c r="T453">
        <f t="shared" si="31"/>
        <v>12.541864</v>
      </c>
      <c r="U453" t="str">
        <f>_xlfn.XLOOKUP(C453,Lookup!$A$3:$A$6,Lookup!$B$3:$B$6)</f>
        <v>Spring</v>
      </c>
      <c r="V453">
        <f>_xlfn.XLOOKUP(D453,Lookup!$D$3:$D$4,Lookup!$E$3:$E$4)</f>
        <v>2012</v>
      </c>
      <c r="W453" t="str">
        <f>_xlfn.XLOOKUP(I453,Lookup!$G$3:$G$6,Lookup!$H$3:$H$6)</f>
        <v>Clear</v>
      </c>
      <c r="X453" t="str">
        <f>_xlfn.XLOOKUP(E453,Lookup!$J$3:$J$14,Lookup!$K$3:$K$14)</f>
        <v>March</v>
      </c>
      <c r="Y453" t="str">
        <f>_xlfn.XLOOKUP(G453,Lookup!$M$3:$M$9,Lookup!$N$3:$N$9)</f>
        <v>Tuesday</v>
      </c>
    </row>
    <row r="454" spans="1:25" x14ac:dyDescent="0.3">
      <c r="A454">
        <v>453</v>
      </c>
      <c r="B454" s="1">
        <v>40996</v>
      </c>
      <c r="C454">
        <v>2</v>
      </c>
      <c r="D454">
        <v>1</v>
      </c>
      <c r="E454">
        <v>3</v>
      </c>
      <c r="F454">
        <v>0</v>
      </c>
      <c r="G454">
        <v>3</v>
      </c>
      <c r="H454">
        <v>1</v>
      </c>
      <c r="I454">
        <v>1</v>
      </c>
      <c r="J454">
        <v>0.48416700000000001</v>
      </c>
      <c r="K454">
        <v>0.47094999999999998</v>
      </c>
      <c r="L454">
        <v>0.48125000000000001</v>
      </c>
      <c r="M454">
        <v>0.29167100000000001</v>
      </c>
      <c r="N454">
        <v>674</v>
      </c>
      <c r="O454">
        <v>5024</v>
      </c>
      <c r="P454">
        <v>5698</v>
      </c>
      <c r="Q454">
        <f t="shared" si="28"/>
        <v>14.755849000000001</v>
      </c>
      <c r="R454">
        <f t="shared" si="29"/>
        <v>15.082699999999999</v>
      </c>
      <c r="S454">
        <f t="shared" si="30"/>
        <v>48.125</v>
      </c>
      <c r="T454">
        <f t="shared" si="31"/>
        <v>19.541957</v>
      </c>
      <c r="U454" t="str">
        <f>_xlfn.XLOOKUP(C454,Lookup!$A$3:$A$6,Lookup!$B$3:$B$6)</f>
        <v>Spring</v>
      </c>
      <c r="V454">
        <f>_xlfn.XLOOKUP(D454,Lookup!$D$3:$D$4,Lookup!$E$3:$E$4)</f>
        <v>2012</v>
      </c>
      <c r="W454" t="str">
        <f>_xlfn.XLOOKUP(I454,Lookup!$G$3:$G$6,Lookup!$H$3:$H$6)</f>
        <v>Clear</v>
      </c>
      <c r="X454" t="str">
        <f>_xlfn.XLOOKUP(E454,Lookup!$J$3:$J$14,Lookup!$K$3:$K$14)</f>
        <v>March</v>
      </c>
      <c r="Y454" t="str">
        <f>_xlfn.XLOOKUP(G454,Lookup!$M$3:$M$9,Lookup!$N$3:$N$9)</f>
        <v>Wednesday</v>
      </c>
    </row>
    <row r="455" spans="1:25" x14ac:dyDescent="0.3">
      <c r="A455">
        <v>454</v>
      </c>
      <c r="B455" s="1">
        <v>40997</v>
      </c>
      <c r="C455">
        <v>2</v>
      </c>
      <c r="D455">
        <v>1</v>
      </c>
      <c r="E455">
        <v>3</v>
      </c>
      <c r="F455">
        <v>0</v>
      </c>
      <c r="G455">
        <v>4</v>
      </c>
      <c r="H455">
        <v>1</v>
      </c>
      <c r="I455">
        <v>1</v>
      </c>
      <c r="J455">
        <v>0.49416700000000002</v>
      </c>
      <c r="K455">
        <v>0.48230400000000001</v>
      </c>
      <c r="L455">
        <v>0.43916699999999997</v>
      </c>
      <c r="M455">
        <v>0.31964999999999999</v>
      </c>
      <c r="N455">
        <v>834</v>
      </c>
      <c r="O455">
        <v>5299</v>
      </c>
      <c r="P455">
        <v>6133</v>
      </c>
      <c r="Q455">
        <f t="shared" si="28"/>
        <v>15.225849</v>
      </c>
      <c r="R455">
        <f t="shared" si="29"/>
        <v>15.832063999999999</v>
      </c>
      <c r="S455">
        <f t="shared" si="30"/>
        <v>43.916699999999999</v>
      </c>
      <c r="T455">
        <f t="shared" si="31"/>
        <v>21.416550000000001</v>
      </c>
      <c r="U455" t="str">
        <f>_xlfn.XLOOKUP(C455,Lookup!$A$3:$A$6,Lookup!$B$3:$B$6)</f>
        <v>Spring</v>
      </c>
      <c r="V455">
        <f>_xlfn.XLOOKUP(D455,Lookup!$D$3:$D$4,Lookup!$E$3:$E$4)</f>
        <v>2012</v>
      </c>
      <c r="W455" t="str">
        <f>_xlfn.XLOOKUP(I455,Lookup!$G$3:$G$6,Lookup!$H$3:$H$6)</f>
        <v>Clear</v>
      </c>
      <c r="X455" t="str">
        <f>_xlfn.XLOOKUP(E455,Lookup!$J$3:$J$14,Lookup!$K$3:$K$14)</f>
        <v>March</v>
      </c>
      <c r="Y455" t="str">
        <f>_xlfn.XLOOKUP(G455,Lookup!$M$3:$M$9,Lookup!$N$3:$N$9)</f>
        <v>Thursday</v>
      </c>
    </row>
    <row r="456" spans="1:25" x14ac:dyDescent="0.3">
      <c r="A456">
        <v>455</v>
      </c>
      <c r="B456" s="1">
        <v>40998</v>
      </c>
      <c r="C456">
        <v>2</v>
      </c>
      <c r="D456">
        <v>1</v>
      </c>
      <c r="E456">
        <v>3</v>
      </c>
      <c r="F456">
        <v>0</v>
      </c>
      <c r="G456">
        <v>5</v>
      </c>
      <c r="H456">
        <v>1</v>
      </c>
      <c r="I456">
        <v>2</v>
      </c>
      <c r="J456">
        <v>0.37</v>
      </c>
      <c r="K456">
        <v>0.37562099999999998</v>
      </c>
      <c r="L456">
        <v>0.58083300000000004</v>
      </c>
      <c r="M456">
        <v>0.138067</v>
      </c>
      <c r="N456">
        <v>796</v>
      </c>
      <c r="O456">
        <v>4663</v>
      </c>
      <c r="P456">
        <v>5459</v>
      </c>
      <c r="Q456">
        <f t="shared" si="28"/>
        <v>9.39</v>
      </c>
      <c r="R456">
        <f t="shared" si="29"/>
        <v>8.7909860000000002</v>
      </c>
      <c r="S456">
        <f t="shared" si="30"/>
        <v>58.083300000000001</v>
      </c>
      <c r="T456">
        <f t="shared" si="31"/>
        <v>9.250489</v>
      </c>
      <c r="U456" t="str">
        <f>_xlfn.XLOOKUP(C456,Lookup!$A$3:$A$6,Lookup!$B$3:$B$6)</f>
        <v>Spring</v>
      </c>
      <c r="V456">
        <f>_xlfn.XLOOKUP(D456,Lookup!$D$3:$D$4,Lookup!$E$3:$E$4)</f>
        <v>2012</v>
      </c>
      <c r="W456" t="str">
        <f>_xlfn.XLOOKUP(I456,Lookup!$G$3:$G$6,Lookup!$H$3:$H$6)</f>
        <v>Misty/Cloudy</v>
      </c>
      <c r="X456" t="str">
        <f>_xlfn.XLOOKUP(E456,Lookup!$J$3:$J$14,Lookup!$K$3:$K$14)</f>
        <v>March</v>
      </c>
      <c r="Y456" t="str">
        <f>_xlfn.XLOOKUP(G456,Lookup!$M$3:$M$9,Lookup!$N$3:$N$9)</f>
        <v>Friday</v>
      </c>
    </row>
    <row r="457" spans="1:25" x14ac:dyDescent="0.3">
      <c r="A457">
        <v>456</v>
      </c>
      <c r="B457" s="1">
        <v>40999</v>
      </c>
      <c r="C457">
        <v>2</v>
      </c>
      <c r="D457">
        <v>1</v>
      </c>
      <c r="E457">
        <v>3</v>
      </c>
      <c r="F457">
        <v>0</v>
      </c>
      <c r="G457">
        <v>6</v>
      </c>
      <c r="H457">
        <v>0</v>
      </c>
      <c r="I457">
        <v>2</v>
      </c>
      <c r="J457">
        <v>0.42416700000000002</v>
      </c>
      <c r="K457">
        <v>0.42170800000000003</v>
      </c>
      <c r="L457">
        <v>0.73833300000000002</v>
      </c>
      <c r="M457">
        <v>0.25061699999999998</v>
      </c>
      <c r="N457">
        <v>2301</v>
      </c>
      <c r="O457">
        <v>3934</v>
      </c>
      <c r="P457">
        <v>6235</v>
      </c>
      <c r="Q457">
        <f t="shared" si="28"/>
        <v>11.935849000000001</v>
      </c>
      <c r="R457">
        <f t="shared" si="29"/>
        <v>11.832728000000003</v>
      </c>
      <c r="S457">
        <f t="shared" si="30"/>
        <v>73.833300000000008</v>
      </c>
      <c r="T457">
        <f t="shared" si="31"/>
        <v>16.791338999999997</v>
      </c>
      <c r="U457" t="str">
        <f>_xlfn.XLOOKUP(C457,Lookup!$A$3:$A$6,Lookup!$B$3:$B$6)</f>
        <v>Spring</v>
      </c>
      <c r="V457">
        <f>_xlfn.XLOOKUP(D457,Lookup!$D$3:$D$4,Lookup!$E$3:$E$4)</f>
        <v>2012</v>
      </c>
      <c r="W457" t="str">
        <f>_xlfn.XLOOKUP(I457,Lookup!$G$3:$G$6,Lookup!$H$3:$H$6)</f>
        <v>Misty/Cloudy</v>
      </c>
      <c r="X457" t="str">
        <f>_xlfn.XLOOKUP(E457,Lookup!$J$3:$J$14,Lookup!$K$3:$K$14)</f>
        <v>March</v>
      </c>
      <c r="Y457" t="str">
        <f>_xlfn.XLOOKUP(G457,Lookup!$M$3:$M$9,Lookup!$N$3:$N$9)</f>
        <v>Saturday</v>
      </c>
    </row>
    <row r="458" spans="1:25" x14ac:dyDescent="0.3">
      <c r="A458">
        <v>457</v>
      </c>
      <c r="B458" s="1">
        <v>41000</v>
      </c>
      <c r="C458">
        <v>2</v>
      </c>
      <c r="D458">
        <v>1</v>
      </c>
      <c r="E458">
        <v>4</v>
      </c>
      <c r="F458">
        <v>0</v>
      </c>
      <c r="G458">
        <v>0</v>
      </c>
      <c r="H458">
        <v>0</v>
      </c>
      <c r="I458">
        <v>2</v>
      </c>
      <c r="J458">
        <v>0.42583300000000002</v>
      </c>
      <c r="K458">
        <v>0.41728700000000002</v>
      </c>
      <c r="L458">
        <v>0.67625000000000002</v>
      </c>
      <c r="M458">
        <v>0.172267</v>
      </c>
      <c r="N458">
        <v>2347</v>
      </c>
      <c r="O458">
        <v>3694</v>
      </c>
      <c r="P458">
        <v>6041</v>
      </c>
      <c r="Q458">
        <f t="shared" si="28"/>
        <v>12.014151000000002</v>
      </c>
      <c r="R458">
        <f t="shared" si="29"/>
        <v>11.540942000000001</v>
      </c>
      <c r="S458">
        <f t="shared" si="30"/>
        <v>67.625</v>
      </c>
      <c r="T458">
        <f t="shared" si="31"/>
        <v>11.541888999999999</v>
      </c>
      <c r="U458" t="str">
        <f>_xlfn.XLOOKUP(C458,Lookup!$A$3:$A$6,Lookup!$B$3:$B$6)</f>
        <v>Spring</v>
      </c>
      <c r="V458">
        <f>_xlfn.XLOOKUP(D458,Lookup!$D$3:$D$4,Lookup!$E$3:$E$4)</f>
        <v>2012</v>
      </c>
      <c r="W458" t="str">
        <f>_xlfn.XLOOKUP(I458,Lookup!$G$3:$G$6,Lookup!$H$3:$H$6)</f>
        <v>Misty/Cloudy</v>
      </c>
      <c r="X458" t="str">
        <f>_xlfn.XLOOKUP(E458,Lookup!$J$3:$J$14,Lookup!$K$3:$K$14)</f>
        <v>April</v>
      </c>
      <c r="Y458" t="str">
        <f>_xlfn.XLOOKUP(G458,Lookup!$M$3:$M$9,Lookup!$N$3:$N$9)</f>
        <v>Sunday</v>
      </c>
    </row>
    <row r="459" spans="1:25" x14ac:dyDescent="0.3">
      <c r="A459">
        <v>458</v>
      </c>
      <c r="B459" s="1">
        <v>41001</v>
      </c>
      <c r="C459">
        <v>2</v>
      </c>
      <c r="D459">
        <v>1</v>
      </c>
      <c r="E459">
        <v>4</v>
      </c>
      <c r="F459">
        <v>0</v>
      </c>
      <c r="G459">
        <v>1</v>
      </c>
      <c r="H459">
        <v>1</v>
      </c>
      <c r="I459">
        <v>1</v>
      </c>
      <c r="J459">
        <v>0.43391299999999999</v>
      </c>
      <c r="K459">
        <v>0.42751299999999998</v>
      </c>
      <c r="L459">
        <v>0.50434800000000002</v>
      </c>
      <c r="M459">
        <v>0.312139</v>
      </c>
      <c r="N459">
        <v>1208</v>
      </c>
      <c r="O459">
        <v>4728</v>
      </c>
      <c r="P459">
        <v>5936</v>
      </c>
      <c r="Q459">
        <f t="shared" si="28"/>
        <v>12.393910999999999</v>
      </c>
      <c r="R459">
        <f t="shared" si="29"/>
        <v>12.215857999999997</v>
      </c>
      <c r="S459">
        <f t="shared" si="30"/>
        <v>50.434800000000003</v>
      </c>
      <c r="T459">
        <f t="shared" si="31"/>
        <v>20.913312999999999</v>
      </c>
      <c r="U459" t="str">
        <f>_xlfn.XLOOKUP(C459,Lookup!$A$3:$A$6,Lookup!$B$3:$B$6)</f>
        <v>Spring</v>
      </c>
      <c r="V459">
        <f>_xlfn.XLOOKUP(D459,Lookup!$D$3:$D$4,Lookup!$E$3:$E$4)</f>
        <v>2012</v>
      </c>
      <c r="W459" t="str">
        <f>_xlfn.XLOOKUP(I459,Lookup!$G$3:$G$6,Lookup!$H$3:$H$6)</f>
        <v>Clear</v>
      </c>
      <c r="X459" t="str">
        <f>_xlfn.XLOOKUP(E459,Lookup!$J$3:$J$14,Lookup!$K$3:$K$14)</f>
        <v>April</v>
      </c>
      <c r="Y459" t="str">
        <f>_xlfn.XLOOKUP(G459,Lookup!$M$3:$M$9,Lookup!$N$3:$N$9)</f>
        <v>Monday</v>
      </c>
    </row>
    <row r="460" spans="1:25" x14ac:dyDescent="0.3">
      <c r="A460">
        <v>459</v>
      </c>
      <c r="B460" s="1">
        <v>41002</v>
      </c>
      <c r="C460">
        <v>2</v>
      </c>
      <c r="D460">
        <v>1</v>
      </c>
      <c r="E460">
        <v>4</v>
      </c>
      <c r="F460">
        <v>0</v>
      </c>
      <c r="G460">
        <v>2</v>
      </c>
      <c r="H460">
        <v>1</v>
      </c>
      <c r="I460">
        <v>1</v>
      </c>
      <c r="J460">
        <v>0.466667</v>
      </c>
      <c r="K460">
        <v>0.46148299999999998</v>
      </c>
      <c r="L460">
        <v>0.39666699999999999</v>
      </c>
      <c r="M460">
        <v>0.100133</v>
      </c>
      <c r="N460">
        <v>1348</v>
      </c>
      <c r="O460">
        <v>5424</v>
      </c>
      <c r="P460">
        <v>6772</v>
      </c>
      <c r="Q460">
        <f t="shared" si="28"/>
        <v>13.933349</v>
      </c>
      <c r="R460">
        <f t="shared" si="29"/>
        <v>14.457877999999997</v>
      </c>
      <c r="S460">
        <f t="shared" si="30"/>
        <v>39.666699999999999</v>
      </c>
      <c r="T460">
        <f t="shared" si="31"/>
        <v>6.7089109999999996</v>
      </c>
      <c r="U460" t="str">
        <f>_xlfn.XLOOKUP(C460,Lookup!$A$3:$A$6,Lookup!$B$3:$B$6)</f>
        <v>Spring</v>
      </c>
      <c r="V460">
        <f>_xlfn.XLOOKUP(D460,Lookup!$D$3:$D$4,Lookup!$E$3:$E$4)</f>
        <v>2012</v>
      </c>
      <c r="W460" t="str">
        <f>_xlfn.XLOOKUP(I460,Lookup!$G$3:$G$6,Lookup!$H$3:$H$6)</f>
        <v>Clear</v>
      </c>
      <c r="X460" t="str">
        <f>_xlfn.XLOOKUP(E460,Lookup!$J$3:$J$14,Lookup!$K$3:$K$14)</f>
        <v>April</v>
      </c>
      <c r="Y460" t="str">
        <f>_xlfn.XLOOKUP(G460,Lookup!$M$3:$M$9,Lookup!$N$3:$N$9)</f>
        <v>Tuesday</v>
      </c>
    </row>
    <row r="461" spans="1:25" x14ac:dyDescent="0.3">
      <c r="A461">
        <v>460</v>
      </c>
      <c r="B461" s="1">
        <v>41003</v>
      </c>
      <c r="C461">
        <v>2</v>
      </c>
      <c r="D461">
        <v>1</v>
      </c>
      <c r="E461">
        <v>4</v>
      </c>
      <c r="F461">
        <v>0</v>
      </c>
      <c r="G461">
        <v>3</v>
      </c>
      <c r="H461">
        <v>1</v>
      </c>
      <c r="I461">
        <v>1</v>
      </c>
      <c r="J461">
        <v>0.54166700000000001</v>
      </c>
      <c r="K461">
        <v>0.53344999999999998</v>
      </c>
      <c r="L461">
        <v>0.46958299999999997</v>
      </c>
      <c r="M461">
        <v>0.180975</v>
      </c>
      <c r="N461">
        <v>1058</v>
      </c>
      <c r="O461">
        <v>5378</v>
      </c>
      <c r="P461">
        <v>6436</v>
      </c>
      <c r="Q461">
        <f t="shared" si="28"/>
        <v>17.458349000000002</v>
      </c>
      <c r="R461">
        <f t="shared" si="29"/>
        <v>19.207699999999996</v>
      </c>
      <c r="S461">
        <f t="shared" si="30"/>
        <v>46.958299999999994</v>
      </c>
      <c r="T461">
        <f t="shared" si="31"/>
        <v>12.125325</v>
      </c>
      <c r="U461" t="str">
        <f>_xlfn.XLOOKUP(C461,Lookup!$A$3:$A$6,Lookup!$B$3:$B$6)</f>
        <v>Spring</v>
      </c>
      <c r="V461">
        <f>_xlfn.XLOOKUP(D461,Lookup!$D$3:$D$4,Lookup!$E$3:$E$4)</f>
        <v>2012</v>
      </c>
      <c r="W461" t="str">
        <f>_xlfn.XLOOKUP(I461,Lookup!$G$3:$G$6,Lookup!$H$3:$H$6)</f>
        <v>Clear</v>
      </c>
      <c r="X461" t="str">
        <f>_xlfn.XLOOKUP(E461,Lookup!$J$3:$J$14,Lookup!$K$3:$K$14)</f>
        <v>April</v>
      </c>
      <c r="Y461" t="str">
        <f>_xlfn.XLOOKUP(G461,Lookup!$M$3:$M$9,Lookup!$N$3:$N$9)</f>
        <v>Wednesday</v>
      </c>
    </row>
    <row r="462" spans="1:25" x14ac:dyDescent="0.3">
      <c r="A462">
        <v>461</v>
      </c>
      <c r="B462" s="1">
        <v>41004</v>
      </c>
      <c r="C462">
        <v>2</v>
      </c>
      <c r="D462">
        <v>1</v>
      </c>
      <c r="E462">
        <v>4</v>
      </c>
      <c r="F462">
        <v>0</v>
      </c>
      <c r="G462">
        <v>4</v>
      </c>
      <c r="H462">
        <v>1</v>
      </c>
      <c r="I462">
        <v>1</v>
      </c>
      <c r="J462">
        <v>0.435</v>
      </c>
      <c r="K462">
        <v>0.43116300000000002</v>
      </c>
      <c r="L462">
        <v>0.37416700000000003</v>
      </c>
      <c r="M462">
        <v>0.219529</v>
      </c>
      <c r="N462">
        <v>1192</v>
      </c>
      <c r="O462">
        <v>5265</v>
      </c>
      <c r="P462">
        <v>6457</v>
      </c>
      <c r="Q462">
        <f t="shared" si="28"/>
        <v>12.445</v>
      </c>
      <c r="R462">
        <f t="shared" si="29"/>
        <v>12.456758000000001</v>
      </c>
      <c r="S462">
        <f t="shared" si="30"/>
        <v>37.416700000000006</v>
      </c>
      <c r="T462">
        <f t="shared" si="31"/>
        <v>14.708443000000001</v>
      </c>
      <c r="U462" t="str">
        <f>_xlfn.XLOOKUP(C462,Lookup!$A$3:$A$6,Lookup!$B$3:$B$6)</f>
        <v>Spring</v>
      </c>
      <c r="V462">
        <f>_xlfn.XLOOKUP(D462,Lookup!$D$3:$D$4,Lookup!$E$3:$E$4)</f>
        <v>2012</v>
      </c>
      <c r="W462" t="str">
        <f>_xlfn.XLOOKUP(I462,Lookup!$G$3:$G$6,Lookup!$H$3:$H$6)</f>
        <v>Clear</v>
      </c>
      <c r="X462" t="str">
        <f>_xlfn.XLOOKUP(E462,Lookup!$J$3:$J$14,Lookup!$K$3:$K$14)</f>
        <v>April</v>
      </c>
      <c r="Y462" t="str">
        <f>_xlfn.XLOOKUP(G462,Lookup!$M$3:$M$9,Lookup!$N$3:$N$9)</f>
        <v>Thursday</v>
      </c>
    </row>
    <row r="463" spans="1:25" x14ac:dyDescent="0.3">
      <c r="A463">
        <v>462</v>
      </c>
      <c r="B463" s="1">
        <v>41005</v>
      </c>
      <c r="C463">
        <v>2</v>
      </c>
      <c r="D463">
        <v>1</v>
      </c>
      <c r="E463">
        <v>4</v>
      </c>
      <c r="F463">
        <v>0</v>
      </c>
      <c r="G463">
        <v>5</v>
      </c>
      <c r="H463">
        <v>1</v>
      </c>
      <c r="I463">
        <v>1</v>
      </c>
      <c r="J463">
        <v>0.403333</v>
      </c>
      <c r="K463">
        <v>0.39076699999999998</v>
      </c>
      <c r="L463">
        <v>0.377083</v>
      </c>
      <c r="M463">
        <v>0.30038799999999999</v>
      </c>
      <c r="N463">
        <v>1807</v>
      </c>
      <c r="O463">
        <v>4653</v>
      </c>
      <c r="P463">
        <v>6460</v>
      </c>
      <c r="Q463">
        <f t="shared" si="28"/>
        <v>10.956651000000001</v>
      </c>
      <c r="R463">
        <f t="shared" si="29"/>
        <v>9.790621999999999</v>
      </c>
      <c r="S463">
        <f t="shared" si="30"/>
        <v>37.708300000000001</v>
      </c>
      <c r="T463">
        <f t="shared" si="31"/>
        <v>20.125996000000001</v>
      </c>
      <c r="U463" t="str">
        <f>_xlfn.XLOOKUP(C463,Lookup!$A$3:$A$6,Lookup!$B$3:$B$6)</f>
        <v>Spring</v>
      </c>
      <c r="V463">
        <f>_xlfn.XLOOKUP(D463,Lookup!$D$3:$D$4,Lookup!$E$3:$E$4)</f>
        <v>2012</v>
      </c>
      <c r="W463" t="str">
        <f>_xlfn.XLOOKUP(I463,Lookup!$G$3:$G$6,Lookup!$H$3:$H$6)</f>
        <v>Clear</v>
      </c>
      <c r="X463" t="str">
        <f>_xlfn.XLOOKUP(E463,Lookup!$J$3:$J$14,Lookup!$K$3:$K$14)</f>
        <v>April</v>
      </c>
      <c r="Y463" t="str">
        <f>_xlfn.XLOOKUP(G463,Lookup!$M$3:$M$9,Lookup!$N$3:$N$9)</f>
        <v>Friday</v>
      </c>
    </row>
    <row r="464" spans="1:25" x14ac:dyDescent="0.3">
      <c r="A464">
        <v>463</v>
      </c>
      <c r="B464" s="1">
        <v>41006</v>
      </c>
      <c r="C464">
        <v>2</v>
      </c>
      <c r="D464">
        <v>1</v>
      </c>
      <c r="E464">
        <v>4</v>
      </c>
      <c r="F464">
        <v>0</v>
      </c>
      <c r="G464">
        <v>6</v>
      </c>
      <c r="H464">
        <v>0</v>
      </c>
      <c r="I464">
        <v>1</v>
      </c>
      <c r="J464">
        <v>0.4375</v>
      </c>
      <c r="K464">
        <v>0.42612899999999998</v>
      </c>
      <c r="L464">
        <v>0.25416699999999998</v>
      </c>
      <c r="M464">
        <v>0.27487099999999998</v>
      </c>
      <c r="N464">
        <v>3252</v>
      </c>
      <c r="O464">
        <v>3605</v>
      </c>
      <c r="P464">
        <v>6857</v>
      </c>
      <c r="Q464">
        <f t="shared" si="28"/>
        <v>12.5625</v>
      </c>
      <c r="R464">
        <f t="shared" si="29"/>
        <v>12.124513999999998</v>
      </c>
      <c r="S464">
        <f t="shared" si="30"/>
        <v>25.416699999999999</v>
      </c>
      <c r="T464">
        <f t="shared" si="31"/>
        <v>18.416356999999998</v>
      </c>
      <c r="U464" t="str">
        <f>_xlfn.XLOOKUP(C464,Lookup!$A$3:$A$6,Lookup!$B$3:$B$6)</f>
        <v>Spring</v>
      </c>
      <c r="V464">
        <f>_xlfn.XLOOKUP(D464,Lookup!$D$3:$D$4,Lookup!$E$3:$E$4)</f>
        <v>2012</v>
      </c>
      <c r="W464" t="str">
        <f>_xlfn.XLOOKUP(I464,Lookup!$G$3:$G$6,Lookup!$H$3:$H$6)</f>
        <v>Clear</v>
      </c>
      <c r="X464" t="str">
        <f>_xlfn.XLOOKUP(E464,Lookup!$J$3:$J$14,Lookup!$K$3:$K$14)</f>
        <v>April</v>
      </c>
      <c r="Y464" t="str">
        <f>_xlfn.XLOOKUP(G464,Lookup!$M$3:$M$9,Lookup!$N$3:$N$9)</f>
        <v>Saturday</v>
      </c>
    </row>
    <row r="465" spans="1:25" x14ac:dyDescent="0.3">
      <c r="A465">
        <v>464</v>
      </c>
      <c r="B465" s="1">
        <v>41007</v>
      </c>
      <c r="C465">
        <v>2</v>
      </c>
      <c r="D465">
        <v>1</v>
      </c>
      <c r="E465">
        <v>4</v>
      </c>
      <c r="F465">
        <v>0</v>
      </c>
      <c r="G465">
        <v>0</v>
      </c>
      <c r="H465">
        <v>0</v>
      </c>
      <c r="I465">
        <v>1</v>
      </c>
      <c r="J465">
        <v>0.5</v>
      </c>
      <c r="K465">
        <v>0.492425</v>
      </c>
      <c r="L465">
        <v>0.27583299999999999</v>
      </c>
      <c r="M465">
        <v>0.232596</v>
      </c>
      <c r="N465">
        <v>2230</v>
      </c>
      <c r="O465">
        <v>2939</v>
      </c>
      <c r="P465">
        <v>5169</v>
      </c>
      <c r="Q465">
        <f t="shared" si="28"/>
        <v>15.5</v>
      </c>
      <c r="R465">
        <f t="shared" si="29"/>
        <v>16.500050000000002</v>
      </c>
      <c r="S465">
        <f t="shared" si="30"/>
        <v>27.583300000000001</v>
      </c>
      <c r="T465">
        <f t="shared" si="31"/>
        <v>15.583931999999999</v>
      </c>
      <c r="U465" t="str">
        <f>_xlfn.XLOOKUP(C465,Lookup!$A$3:$A$6,Lookup!$B$3:$B$6)</f>
        <v>Spring</v>
      </c>
      <c r="V465">
        <f>_xlfn.XLOOKUP(D465,Lookup!$D$3:$D$4,Lookup!$E$3:$E$4)</f>
        <v>2012</v>
      </c>
      <c r="W465" t="str">
        <f>_xlfn.XLOOKUP(I465,Lookup!$G$3:$G$6,Lookup!$H$3:$H$6)</f>
        <v>Clear</v>
      </c>
      <c r="X465" t="str">
        <f>_xlfn.XLOOKUP(E465,Lookup!$J$3:$J$14,Lookup!$K$3:$K$14)</f>
        <v>April</v>
      </c>
      <c r="Y465" t="str">
        <f>_xlfn.XLOOKUP(G465,Lookup!$M$3:$M$9,Lookup!$N$3:$N$9)</f>
        <v>Sunday</v>
      </c>
    </row>
    <row r="466" spans="1:25" x14ac:dyDescent="0.3">
      <c r="A466">
        <v>465</v>
      </c>
      <c r="B466" s="1">
        <v>41008</v>
      </c>
      <c r="C466">
        <v>2</v>
      </c>
      <c r="D466">
        <v>1</v>
      </c>
      <c r="E466">
        <v>4</v>
      </c>
      <c r="F466">
        <v>0</v>
      </c>
      <c r="G466">
        <v>1</v>
      </c>
      <c r="H466">
        <v>1</v>
      </c>
      <c r="I466">
        <v>1</v>
      </c>
      <c r="J466">
        <v>0.48916700000000002</v>
      </c>
      <c r="K466">
        <v>0.47663800000000001</v>
      </c>
      <c r="L466">
        <v>0.3175</v>
      </c>
      <c r="M466">
        <v>0.35819600000000001</v>
      </c>
      <c r="N466">
        <v>905</v>
      </c>
      <c r="O466">
        <v>4680</v>
      </c>
      <c r="P466">
        <v>5585</v>
      </c>
      <c r="Q466">
        <f t="shared" si="28"/>
        <v>14.990849000000001</v>
      </c>
      <c r="R466">
        <f t="shared" si="29"/>
        <v>15.458107999999999</v>
      </c>
      <c r="S466">
        <f t="shared" si="30"/>
        <v>31.75</v>
      </c>
      <c r="T466">
        <f t="shared" si="31"/>
        <v>23.999131999999999</v>
      </c>
      <c r="U466" t="str">
        <f>_xlfn.XLOOKUP(C466,Lookup!$A$3:$A$6,Lookup!$B$3:$B$6)</f>
        <v>Spring</v>
      </c>
      <c r="V466">
        <f>_xlfn.XLOOKUP(D466,Lookup!$D$3:$D$4,Lookup!$E$3:$E$4)</f>
        <v>2012</v>
      </c>
      <c r="W466" t="str">
        <f>_xlfn.XLOOKUP(I466,Lookup!$G$3:$G$6,Lookup!$H$3:$H$6)</f>
        <v>Clear</v>
      </c>
      <c r="X466" t="str">
        <f>_xlfn.XLOOKUP(E466,Lookup!$J$3:$J$14,Lookup!$K$3:$K$14)</f>
        <v>April</v>
      </c>
      <c r="Y466" t="str">
        <f>_xlfn.XLOOKUP(G466,Lookup!$M$3:$M$9,Lookup!$N$3:$N$9)</f>
        <v>Monday</v>
      </c>
    </row>
    <row r="467" spans="1:25" x14ac:dyDescent="0.3">
      <c r="A467">
        <v>466</v>
      </c>
      <c r="B467" s="1">
        <v>41009</v>
      </c>
      <c r="C467">
        <v>2</v>
      </c>
      <c r="D467">
        <v>1</v>
      </c>
      <c r="E467">
        <v>4</v>
      </c>
      <c r="F467">
        <v>0</v>
      </c>
      <c r="G467">
        <v>2</v>
      </c>
      <c r="H467">
        <v>1</v>
      </c>
      <c r="I467">
        <v>1</v>
      </c>
      <c r="J467">
        <v>0.44666699999999998</v>
      </c>
      <c r="K467">
        <v>0.43623299999999998</v>
      </c>
      <c r="L467">
        <v>0.435</v>
      </c>
      <c r="M467">
        <v>0.24937500000000001</v>
      </c>
      <c r="N467">
        <v>819</v>
      </c>
      <c r="O467">
        <v>5099</v>
      </c>
      <c r="P467">
        <v>5918</v>
      </c>
      <c r="Q467">
        <f t="shared" si="28"/>
        <v>12.993348999999998</v>
      </c>
      <c r="R467">
        <f t="shared" si="29"/>
        <v>12.791377999999998</v>
      </c>
      <c r="S467">
        <f t="shared" si="30"/>
        <v>43.5</v>
      </c>
      <c r="T467">
        <f t="shared" si="31"/>
        <v>16.708125000000003</v>
      </c>
      <c r="U467" t="str">
        <f>_xlfn.XLOOKUP(C467,Lookup!$A$3:$A$6,Lookup!$B$3:$B$6)</f>
        <v>Spring</v>
      </c>
      <c r="V467">
        <f>_xlfn.XLOOKUP(D467,Lookup!$D$3:$D$4,Lookup!$E$3:$E$4)</f>
        <v>2012</v>
      </c>
      <c r="W467" t="str">
        <f>_xlfn.XLOOKUP(I467,Lookup!$G$3:$G$6,Lookup!$H$3:$H$6)</f>
        <v>Clear</v>
      </c>
      <c r="X467" t="str">
        <f>_xlfn.XLOOKUP(E467,Lookup!$J$3:$J$14,Lookup!$K$3:$K$14)</f>
        <v>April</v>
      </c>
      <c r="Y467" t="str">
        <f>_xlfn.XLOOKUP(G467,Lookup!$M$3:$M$9,Lookup!$N$3:$N$9)</f>
        <v>Tuesday</v>
      </c>
    </row>
    <row r="468" spans="1:25" x14ac:dyDescent="0.3">
      <c r="A468">
        <v>467</v>
      </c>
      <c r="B468" s="1">
        <v>41010</v>
      </c>
      <c r="C468">
        <v>2</v>
      </c>
      <c r="D468">
        <v>1</v>
      </c>
      <c r="E468">
        <v>4</v>
      </c>
      <c r="F468">
        <v>0</v>
      </c>
      <c r="G468">
        <v>3</v>
      </c>
      <c r="H468">
        <v>1</v>
      </c>
      <c r="I468">
        <v>1</v>
      </c>
      <c r="J468">
        <v>0.34869600000000001</v>
      </c>
      <c r="K468">
        <v>0.33727400000000002</v>
      </c>
      <c r="L468">
        <v>0.46956500000000001</v>
      </c>
      <c r="M468">
        <v>0.29527399999999998</v>
      </c>
      <c r="N468">
        <v>482</v>
      </c>
      <c r="O468">
        <v>4380</v>
      </c>
      <c r="P468">
        <v>4862</v>
      </c>
      <c r="Q468">
        <f t="shared" si="28"/>
        <v>8.3887120000000017</v>
      </c>
      <c r="R468">
        <f t="shared" si="29"/>
        <v>6.2600840000000026</v>
      </c>
      <c r="S468">
        <f t="shared" si="30"/>
        <v>46.956499999999998</v>
      </c>
      <c r="T468">
        <f t="shared" si="31"/>
        <v>19.783358</v>
      </c>
      <c r="U468" t="str">
        <f>_xlfn.XLOOKUP(C468,Lookup!$A$3:$A$6,Lookup!$B$3:$B$6)</f>
        <v>Spring</v>
      </c>
      <c r="V468">
        <f>_xlfn.XLOOKUP(D468,Lookup!$D$3:$D$4,Lookup!$E$3:$E$4)</f>
        <v>2012</v>
      </c>
      <c r="W468" t="str">
        <f>_xlfn.XLOOKUP(I468,Lookup!$G$3:$G$6,Lookup!$H$3:$H$6)</f>
        <v>Clear</v>
      </c>
      <c r="X468" t="str">
        <f>_xlfn.XLOOKUP(E468,Lookup!$J$3:$J$14,Lookup!$K$3:$K$14)</f>
        <v>April</v>
      </c>
      <c r="Y468" t="str">
        <f>_xlfn.XLOOKUP(G468,Lookup!$M$3:$M$9,Lookup!$N$3:$N$9)</f>
        <v>Wednesday</v>
      </c>
    </row>
    <row r="469" spans="1:25" x14ac:dyDescent="0.3">
      <c r="A469">
        <v>468</v>
      </c>
      <c r="B469" s="1">
        <v>41011</v>
      </c>
      <c r="C469">
        <v>2</v>
      </c>
      <c r="D469">
        <v>1</v>
      </c>
      <c r="E469">
        <v>4</v>
      </c>
      <c r="F469">
        <v>0</v>
      </c>
      <c r="G469">
        <v>4</v>
      </c>
      <c r="H469">
        <v>1</v>
      </c>
      <c r="I469">
        <v>1</v>
      </c>
      <c r="J469">
        <v>0.39750000000000002</v>
      </c>
      <c r="K469">
        <v>0.387604</v>
      </c>
      <c r="L469">
        <v>0.46625</v>
      </c>
      <c r="M469">
        <v>0.29042899999999999</v>
      </c>
      <c r="N469">
        <v>663</v>
      </c>
      <c r="O469">
        <v>4746</v>
      </c>
      <c r="P469">
        <v>5409</v>
      </c>
      <c r="Q469">
        <f t="shared" si="28"/>
        <v>10.682500000000001</v>
      </c>
      <c r="R469">
        <f t="shared" si="29"/>
        <v>9.5818639999999995</v>
      </c>
      <c r="S469">
        <f t="shared" si="30"/>
        <v>46.625</v>
      </c>
      <c r="T469">
        <f t="shared" si="31"/>
        <v>19.458742999999998</v>
      </c>
      <c r="U469" t="str">
        <f>_xlfn.XLOOKUP(C469,Lookup!$A$3:$A$6,Lookup!$B$3:$B$6)</f>
        <v>Spring</v>
      </c>
      <c r="V469">
        <f>_xlfn.XLOOKUP(D469,Lookup!$D$3:$D$4,Lookup!$E$3:$E$4)</f>
        <v>2012</v>
      </c>
      <c r="W469" t="str">
        <f>_xlfn.XLOOKUP(I469,Lookup!$G$3:$G$6,Lookup!$H$3:$H$6)</f>
        <v>Clear</v>
      </c>
      <c r="X469" t="str">
        <f>_xlfn.XLOOKUP(E469,Lookup!$J$3:$J$14,Lookup!$K$3:$K$14)</f>
        <v>April</v>
      </c>
      <c r="Y469" t="str">
        <f>_xlfn.XLOOKUP(G469,Lookup!$M$3:$M$9,Lookup!$N$3:$N$9)</f>
        <v>Thursday</v>
      </c>
    </row>
    <row r="470" spans="1:25" x14ac:dyDescent="0.3">
      <c r="A470">
        <v>469</v>
      </c>
      <c r="B470" s="1">
        <v>41012</v>
      </c>
      <c r="C470">
        <v>2</v>
      </c>
      <c r="D470">
        <v>1</v>
      </c>
      <c r="E470">
        <v>4</v>
      </c>
      <c r="F470">
        <v>0</v>
      </c>
      <c r="G470">
        <v>5</v>
      </c>
      <c r="H470">
        <v>1</v>
      </c>
      <c r="I470">
        <v>1</v>
      </c>
      <c r="J470">
        <v>0.4425</v>
      </c>
      <c r="K470">
        <v>0.43180800000000003</v>
      </c>
      <c r="L470">
        <v>0.408333</v>
      </c>
      <c r="M470">
        <v>0.155471</v>
      </c>
      <c r="N470">
        <v>1252</v>
      </c>
      <c r="O470">
        <v>5146</v>
      </c>
      <c r="P470">
        <v>6398</v>
      </c>
      <c r="Q470">
        <f t="shared" si="28"/>
        <v>12.797499999999999</v>
      </c>
      <c r="R470">
        <f t="shared" si="29"/>
        <v>12.499328000000002</v>
      </c>
      <c r="S470">
        <f t="shared" si="30"/>
        <v>40.833300000000001</v>
      </c>
      <c r="T470">
        <f t="shared" si="31"/>
        <v>10.416556999999999</v>
      </c>
      <c r="U470" t="str">
        <f>_xlfn.XLOOKUP(C470,Lookup!$A$3:$A$6,Lookup!$B$3:$B$6)</f>
        <v>Spring</v>
      </c>
      <c r="V470">
        <f>_xlfn.XLOOKUP(D470,Lookup!$D$3:$D$4,Lookup!$E$3:$E$4)</f>
        <v>2012</v>
      </c>
      <c r="W470" t="str">
        <f>_xlfn.XLOOKUP(I470,Lookup!$G$3:$G$6,Lookup!$H$3:$H$6)</f>
        <v>Clear</v>
      </c>
      <c r="X470" t="str">
        <f>_xlfn.XLOOKUP(E470,Lookup!$J$3:$J$14,Lookup!$K$3:$K$14)</f>
        <v>April</v>
      </c>
      <c r="Y470" t="str">
        <f>_xlfn.XLOOKUP(G470,Lookup!$M$3:$M$9,Lookup!$N$3:$N$9)</f>
        <v>Friday</v>
      </c>
    </row>
    <row r="471" spans="1:25" x14ac:dyDescent="0.3">
      <c r="A471">
        <v>470</v>
      </c>
      <c r="B471" s="1">
        <v>41013</v>
      </c>
      <c r="C471">
        <v>2</v>
      </c>
      <c r="D471">
        <v>1</v>
      </c>
      <c r="E471">
        <v>4</v>
      </c>
      <c r="F471">
        <v>0</v>
      </c>
      <c r="G471">
        <v>6</v>
      </c>
      <c r="H471">
        <v>0</v>
      </c>
      <c r="I471">
        <v>1</v>
      </c>
      <c r="J471">
        <v>0.495</v>
      </c>
      <c r="K471">
        <v>0.48799599999999999</v>
      </c>
      <c r="L471">
        <v>0.50291699999999995</v>
      </c>
      <c r="M471">
        <v>0.190917</v>
      </c>
      <c r="N471">
        <v>2795</v>
      </c>
      <c r="O471">
        <v>4665</v>
      </c>
      <c r="P471">
        <v>7460</v>
      </c>
      <c r="Q471">
        <f t="shared" si="28"/>
        <v>15.265000000000001</v>
      </c>
      <c r="R471">
        <f t="shared" si="29"/>
        <v>16.207735999999997</v>
      </c>
      <c r="S471">
        <f t="shared" si="30"/>
        <v>50.291699999999992</v>
      </c>
      <c r="T471">
        <f t="shared" si="31"/>
        <v>12.791439</v>
      </c>
      <c r="U471" t="str">
        <f>_xlfn.XLOOKUP(C471,Lookup!$A$3:$A$6,Lookup!$B$3:$B$6)</f>
        <v>Spring</v>
      </c>
      <c r="V471">
        <f>_xlfn.XLOOKUP(D471,Lookup!$D$3:$D$4,Lookup!$E$3:$E$4)</f>
        <v>2012</v>
      </c>
      <c r="W471" t="str">
        <f>_xlfn.XLOOKUP(I471,Lookup!$G$3:$G$6,Lookup!$H$3:$H$6)</f>
        <v>Clear</v>
      </c>
      <c r="X471" t="str">
        <f>_xlfn.XLOOKUP(E471,Lookup!$J$3:$J$14,Lookup!$K$3:$K$14)</f>
        <v>April</v>
      </c>
      <c r="Y471" t="str">
        <f>_xlfn.XLOOKUP(G471,Lookup!$M$3:$M$9,Lookup!$N$3:$N$9)</f>
        <v>Saturday</v>
      </c>
    </row>
    <row r="472" spans="1:25" x14ac:dyDescent="0.3">
      <c r="A472">
        <v>471</v>
      </c>
      <c r="B472" s="1">
        <v>41014</v>
      </c>
      <c r="C472">
        <v>2</v>
      </c>
      <c r="D472">
        <v>1</v>
      </c>
      <c r="E472">
        <v>4</v>
      </c>
      <c r="F472">
        <v>0</v>
      </c>
      <c r="G472">
        <v>0</v>
      </c>
      <c r="H472">
        <v>0</v>
      </c>
      <c r="I472">
        <v>1</v>
      </c>
      <c r="J472">
        <v>0.60666699999999996</v>
      </c>
      <c r="K472">
        <v>0.57387500000000002</v>
      </c>
      <c r="L472">
        <v>0.50791699999999995</v>
      </c>
      <c r="M472">
        <v>0.225129</v>
      </c>
      <c r="N472">
        <v>2846</v>
      </c>
      <c r="O472">
        <v>4286</v>
      </c>
      <c r="P472">
        <v>7132</v>
      </c>
      <c r="Q472">
        <f t="shared" si="28"/>
        <v>20.513348999999998</v>
      </c>
      <c r="R472">
        <f t="shared" si="29"/>
        <v>21.875750000000004</v>
      </c>
      <c r="S472">
        <f t="shared" si="30"/>
        <v>50.791699999999992</v>
      </c>
      <c r="T472">
        <f t="shared" si="31"/>
        <v>15.083643</v>
      </c>
      <c r="U472" t="str">
        <f>_xlfn.XLOOKUP(C472,Lookup!$A$3:$A$6,Lookup!$B$3:$B$6)</f>
        <v>Spring</v>
      </c>
      <c r="V472">
        <f>_xlfn.XLOOKUP(D472,Lookup!$D$3:$D$4,Lookup!$E$3:$E$4)</f>
        <v>2012</v>
      </c>
      <c r="W472" t="str">
        <f>_xlfn.XLOOKUP(I472,Lookup!$G$3:$G$6,Lookup!$H$3:$H$6)</f>
        <v>Clear</v>
      </c>
      <c r="X472" t="str">
        <f>_xlfn.XLOOKUP(E472,Lookup!$J$3:$J$14,Lookup!$K$3:$K$14)</f>
        <v>April</v>
      </c>
      <c r="Y472" t="str">
        <f>_xlfn.XLOOKUP(G472,Lookup!$M$3:$M$9,Lookup!$N$3:$N$9)</f>
        <v>Sunday</v>
      </c>
    </row>
    <row r="473" spans="1:25" x14ac:dyDescent="0.3">
      <c r="A473">
        <v>472</v>
      </c>
      <c r="B473" s="1">
        <v>41015</v>
      </c>
      <c r="C473">
        <v>2</v>
      </c>
      <c r="D473">
        <v>1</v>
      </c>
      <c r="E473">
        <v>4</v>
      </c>
      <c r="F473">
        <v>1</v>
      </c>
      <c r="G473">
        <v>1</v>
      </c>
      <c r="H473">
        <v>0</v>
      </c>
      <c r="I473">
        <v>1</v>
      </c>
      <c r="J473">
        <v>0.66416699999999995</v>
      </c>
      <c r="K473">
        <v>0.61492500000000005</v>
      </c>
      <c r="L473">
        <v>0.56166700000000003</v>
      </c>
      <c r="M473">
        <v>0.284829</v>
      </c>
      <c r="N473">
        <v>1198</v>
      </c>
      <c r="O473">
        <v>5172</v>
      </c>
      <c r="P473">
        <v>6370</v>
      </c>
      <c r="Q473">
        <f t="shared" si="28"/>
        <v>23.215848999999999</v>
      </c>
      <c r="R473">
        <f t="shared" si="29"/>
        <v>24.585050000000003</v>
      </c>
      <c r="S473">
        <f t="shared" si="30"/>
        <v>56.166700000000006</v>
      </c>
      <c r="T473">
        <f t="shared" si="31"/>
        <v>19.083542999999999</v>
      </c>
      <c r="U473" t="str">
        <f>_xlfn.XLOOKUP(C473,Lookup!$A$3:$A$6,Lookup!$B$3:$B$6)</f>
        <v>Spring</v>
      </c>
      <c r="V473">
        <f>_xlfn.XLOOKUP(D473,Lookup!$D$3:$D$4,Lookup!$E$3:$E$4)</f>
        <v>2012</v>
      </c>
      <c r="W473" t="str">
        <f>_xlfn.XLOOKUP(I473,Lookup!$G$3:$G$6,Lookup!$H$3:$H$6)</f>
        <v>Clear</v>
      </c>
      <c r="X473" t="str">
        <f>_xlfn.XLOOKUP(E473,Lookup!$J$3:$J$14,Lookup!$K$3:$K$14)</f>
        <v>April</v>
      </c>
      <c r="Y473" t="str">
        <f>_xlfn.XLOOKUP(G473,Lookup!$M$3:$M$9,Lookup!$N$3:$N$9)</f>
        <v>Monday</v>
      </c>
    </row>
    <row r="474" spans="1:25" x14ac:dyDescent="0.3">
      <c r="A474">
        <v>473</v>
      </c>
      <c r="B474" s="1">
        <v>41016</v>
      </c>
      <c r="C474">
        <v>2</v>
      </c>
      <c r="D474">
        <v>1</v>
      </c>
      <c r="E474">
        <v>4</v>
      </c>
      <c r="F474">
        <v>0</v>
      </c>
      <c r="G474">
        <v>2</v>
      </c>
      <c r="H474">
        <v>1</v>
      </c>
      <c r="I474">
        <v>1</v>
      </c>
      <c r="J474">
        <v>0.60833300000000001</v>
      </c>
      <c r="K474">
        <v>0.59848699999999999</v>
      </c>
      <c r="L474">
        <v>0.39041700000000001</v>
      </c>
      <c r="M474">
        <v>0.27362900000000001</v>
      </c>
      <c r="N474">
        <v>989</v>
      </c>
      <c r="O474">
        <v>5702</v>
      </c>
      <c r="P474">
        <v>6691</v>
      </c>
      <c r="Q474">
        <f t="shared" si="28"/>
        <v>20.591650999999999</v>
      </c>
      <c r="R474">
        <f t="shared" si="29"/>
        <v>23.500141999999997</v>
      </c>
      <c r="S474">
        <f t="shared" si="30"/>
        <v>39.041699999999999</v>
      </c>
      <c r="T474">
        <f t="shared" si="31"/>
        <v>18.333143</v>
      </c>
      <c r="U474" t="str">
        <f>_xlfn.XLOOKUP(C474,Lookup!$A$3:$A$6,Lookup!$B$3:$B$6)</f>
        <v>Spring</v>
      </c>
      <c r="V474">
        <f>_xlfn.XLOOKUP(D474,Lookup!$D$3:$D$4,Lookup!$E$3:$E$4)</f>
        <v>2012</v>
      </c>
      <c r="W474" t="str">
        <f>_xlfn.XLOOKUP(I474,Lookup!$G$3:$G$6,Lookup!$H$3:$H$6)</f>
        <v>Clear</v>
      </c>
      <c r="X474" t="str">
        <f>_xlfn.XLOOKUP(E474,Lookup!$J$3:$J$14,Lookup!$K$3:$K$14)</f>
        <v>April</v>
      </c>
      <c r="Y474" t="str">
        <f>_xlfn.XLOOKUP(G474,Lookup!$M$3:$M$9,Lookup!$N$3:$N$9)</f>
        <v>Tuesday</v>
      </c>
    </row>
    <row r="475" spans="1:25" x14ac:dyDescent="0.3">
      <c r="A475">
        <v>474</v>
      </c>
      <c r="B475" s="1">
        <v>41017</v>
      </c>
      <c r="C475">
        <v>2</v>
      </c>
      <c r="D475">
        <v>1</v>
      </c>
      <c r="E475">
        <v>4</v>
      </c>
      <c r="F475">
        <v>0</v>
      </c>
      <c r="G475">
        <v>3</v>
      </c>
      <c r="H475">
        <v>1</v>
      </c>
      <c r="I475">
        <v>2</v>
      </c>
      <c r="J475">
        <v>0.46333299999999999</v>
      </c>
      <c r="K475">
        <v>0.457038</v>
      </c>
      <c r="L475">
        <v>0.56916699999999998</v>
      </c>
      <c r="M475">
        <v>0.16791200000000001</v>
      </c>
      <c r="N475">
        <v>347</v>
      </c>
      <c r="O475">
        <v>4020</v>
      </c>
      <c r="P475">
        <v>4367</v>
      </c>
      <c r="Q475">
        <f t="shared" si="28"/>
        <v>13.776651000000001</v>
      </c>
      <c r="R475">
        <f t="shared" si="29"/>
        <v>14.164508000000001</v>
      </c>
      <c r="S475">
        <f t="shared" si="30"/>
        <v>56.916699999999999</v>
      </c>
      <c r="T475">
        <f t="shared" si="31"/>
        <v>11.250104</v>
      </c>
      <c r="U475" t="str">
        <f>_xlfn.XLOOKUP(C475,Lookup!$A$3:$A$6,Lookup!$B$3:$B$6)</f>
        <v>Spring</v>
      </c>
      <c r="V475">
        <f>_xlfn.XLOOKUP(D475,Lookup!$D$3:$D$4,Lookup!$E$3:$E$4)</f>
        <v>2012</v>
      </c>
      <c r="W475" t="str">
        <f>_xlfn.XLOOKUP(I475,Lookup!$G$3:$G$6,Lookup!$H$3:$H$6)</f>
        <v>Misty/Cloudy</v>
      </c>
      <c r="X475" t="str">
        <f>_xlfn.XLOOKUP(E475,Lookup!$J$3:$J$14,Lookup!$K$3:$K$14)</f>
        <v>April</v>
      </c>
      <c r="Y475" t="str">
        <f>_xlfn.XLOOKUP(G475,Lookup!$M$3:$M$9,Lookup!$N$3:$N$9)</f>
        <v>Wednesday</v>
      </c>
    </row>
    <row r="476" spans="1:25" x14ac:dyDescent="0.3">
      <c r="A476">
        <v>475</v>
      </c>
      <c r="B476" s="1">
        <v>41018</v>
      </c>
      <c r="C476">
        <v>2</v>
      </c>
      <c r="D476">
        <v>1</v>
      </c>
      <c r="E476">
        <v>4</v>
      </c>
      <c r="F476">
        <v>0</v>
      </c>
      <c r="G476">
        <v>4</v>
      </c>
      <c r="H476">
        <v>1</v>
      </c>
      <c r="I476">
        <v>1</v>
      </c>
      <c r="J476">
        <v>0.49833300000000003</v>
      </c>
      <c r="K476">
        <v>0.49304599999999998</v>
      </c>
      <c r="L476">
        <v>0.61250000000000004</v>
      </c>
      <c r="M476">
        <v>6.5929199999999993E-2</v>
      </c>
      <c r="N476">
        <v>846</v>
      </c>
      <c r="O476">
        <v>5719</v>
      </c>
      <c r="P476">
        <v>6565</v>
      </c>
      <c r="Q476">
        <f t="shared" si="28"/>
        <v>15.421651000000001</v>
      </c>
      <c r="R476">
        <f t="shared" si="29"/>
        <v>16.541035999999998</v>
      </c>
      <c r="S476">
        <f t="shared" si="30"/>
        <v>61.250000000000007</v>
      </c>
      <c r="T476">
        <f t="shared" si="31"/>
        <v>4.4172563999999994</v>
      </c>
      <c r="U476" t="str">
        <f>_xlfn.XLOOKUP(C476,Lookup!$A$3:$A$6,Lookup!$B$3:$B$6)</f>
        <v>Spring</v>
      </c>
      <c r="V476">
        <f>_xlfn.XLOOKUP(D476,Lookup!$D$3:$D$4,Lookup!$E$3:$E$4)</f>
        <v>2012</v>
      </c>
      <c r="W476" t="str">
        <f>_xlfn.XLOOKUP(I476,Lookup!$G$3:$G$6,Lookup!$H$3:$H$6)</f>
        <v>Clear</v>
      </c>
      <c r="X476" t="str">
        <f>_xlfn.XLOOKUP(E476,Lookup!$J$3:$J$14,Lookup!$K$3:$K$14)</f>
        <v>April</v>
      </c>
      <c r="Y476" t="str">
        <f>_xlfn.XLOOKUP(G476,Lookup!$M$3:$M$9,Lookup!$N$3:$N$9)</f>
        <v>Thursday</v>
      </c>
    </row>
    <row r="477" spans="1:25" x14ac:dyDescent="0.3">
      <c r="A477">
        <v>476</v>
      </c>
      <c r="B477" s="1">
        <v>41019</v>
      </c>
      <c r="C477">
        <v>2</v>
      </c>
      <c r="D477">
        <v>1</v>
      </c>
      <c r="E477">
        <v>4</v>
      </c>
      <c r="F477">
        <v>0</v>
      </c>
      <c r="G477">
        <v>5</v>
      </c>
      <c r="H477">
        <v>1</v>
      </c>
      <c r="I477">
        <v>1</v>
      </c>
      <c r="J477">
        <v>0.526667</v>
      </c>
      <c r="K477">
        <v>0.51577499999999998</v>
      </c>
      <c r="L477">
        <v>0.69458299999999995</v>
      </c>
      <c r="M477">
        <v>0.149871</v>
      </c>
      <c r="N477">
        <v>1340</v>
      </c>
      <c r="O477">
        <v>5950</v>
      </c>
      <c r="P477">
        <v>7290</v>
      </c>
      <c r="Q477">
        <f t="shared" si="28"/>
        <v>16.753349</v>
      </c>
      <c r="R477">
        <f t="shared" si="29"/>
        <v>18.041150000000002</v>
      </c>
      <c r="S477">
        <f t="shared" si="30"/>
        <v>69.458299999999994</v>
      </c>
      <c r="T477">
        <f t="shared" si="31"/>
        <v>10.041357</v>
      </c>
      <c r="U477" t="str">
        <f>_xlfn.XLOOKUP(C477,Lookup!$A$3:$A$6,Lookup!$B$3:$B$6)</f>
        <v>Spring</v>
      </c>
      <c r="V477">
        <f>_xlfn.XLOOKUP(D477,Lookup!$D$3:$D$4,Lookup!$E$3:$E$4)</f>
        <v>2012</v>
      </c>
      <c r="W477" t="str">
        <f>_xlfn.XLOOKUP(I477,Lookup!$G$3:$G$6,Lookup!$H$3:$H$6)</f>
        <v>Clear</v>
      </c>
      <c r="X477" t="str">
        <f>_xlfn.XLOOKUP(E477,Lookup!$J$3:$J$14,Lookup!$K$3:$K$14)</f>
        <v>April</v>
      </c>
      <c r="Y477" t="str">
        <f>_xlfn.XLOOKUP(G477,Lookup!$M$3:$M$9,Lookup!$N$3:$N$9)</f>
        <v>Friday</v>
      </c>
    </row>
    <row r="478" spans="1:25" x14ac:dyDescent="0.3">
      <c r="A478">
        <v>477</v>
      </c>
      <c r="B478" s="1">
        <v>41020</v>
      </c>
      <c r="C478">
        <v>2</v>
      </c>
      <c r="D478">
        <v>1</v>
      </c>
      <c r="E478">
        <v>4</v>
      </c>
      <c r="F478">
        <v>0</v>
      </c>
      <c r="G478">
        <v>6</v>
      </c>
      <c r="H478">
        <v>0</v>
      </c>
      <c r="I478">
        <v>1</v>
      </c>
      <c r="J478">
        <v>0.56999999999999995</v>
      </c>
      <c r="K478">
        <v>0.54292099999999999</v>
      </c>
      <c r="L478">
        <v>0.682917</v>
      </c>
      <c r="M478">
        <v>0.28358699999999998</v>
      </c>
      <c r="N478">
        <v>2541</v>
      </c>
      <c r="O478">
        <v>4083</v>
      </c>
      <c r="P478">
        <v>6624</v>
      </c>
      <c r="Q478">
        <f t="shared" si="28"/>
        <v>18.79</v>
      </c>
      <c r="R478">
        <f t="shared" si="29"/>
        <v>19.832785999999999</v>
      </c>
      <c r="S478">
        <f t="shared" si="30"/>
        <v>68.291700000000006</v>
      </c>
      <c r="T478">
        <f t="shared" si="31"/>
        <v>19.000328999999997</v>
      </c>
      <c r="U478" t="str">
        <f>_xlfn.XLOOKUP(C478,Lookup!$A$3:$A$6,Lookup!$B$3:$B$6)</f>
        <v>Spring</v>
      </c>
      <c r="V478">
        <f>_xlfn.XLOOKUP(D478,Lookup!$D$3:$D$4,Lookup!$E$3:$E$4)</f>
        <v>2012</v>
      </c>
      <c r="W478" t="str">
        <f>_xlfn.XLOOKUP(I478,Lookup!$G$3:$G$6,Lookup!$H$3:$H$6)</f>
        <v>Clear</v>
      </c>
      <c r="X478" t="str">
        <f>_xlfn.XLOOKUP(E478,Lookup!$J$3:$J$14,Lookup!$K$3:$K$14)</f>
        <v>April</v>
      </c>
      <c r="Y478" t="str">
        <f>_xlfn.XLOOKUP(G478,Lookup!$M$3:$M$9,Lookup!$N$3:$N$9)</f>
        <v>Saturday</v>
      </c>
    </row>
    <row r="479" spans="1:25" x14ac:dyDescent="0.3">
      <c r="A479">
        <v>478</v>
      </c>
      <c r="B479" s="1">
        <v>41021</v>
      </c>
      <c r="C479">
        <v>2</v>
      </c>
      <c r="D479">
        <v>1</v>
      </c>
      <c r="E479">
        <v>4</v>
      </c>
      <c r="F479">
        <v>0</v>
      </c>
      <c r="G479">
        <v>0</v>
      </c>
      <c r="H479">
        <v>0</v>
      </c>
      <c r="I479">
        <v>3</v>
      </c>
      <c r="J479">
        <v>0.39666699999999999</v>
      </c>
      <c r="K479">
        <v>0.38950400000000002</v>
      </c>
      <c r="L479">
        <v>0.83541699999999997</v>
      </c>
      <c r="M479">
        <v>0.34454600000000002</v>
      </c>
      <c r="N479">
        <v>120</v>
      </c>
      <c r="O479">
        <v>907</v>
      </c>
      <c r="P479">
        <v>1027</v>
      </c>
      <c r="Q479">
        <f t="shared" si="28"/>
        <v>10.643349000000001</v>
      </c>
      <c r="R479">
        <f t="shared" si="29"/>
        <v>9.7072640000000021</v>
      </c>
      <c r="S479">
        <f t="shared" si="30"/>
        <v>83.541699999999992</v>
      </c>
      <c r="T479">
        <f t="shared" si="31"/>
        <v>23.084582000000001</v>
      </c>
      <c r="U479" t="str">
        <f>_xlfn.XLOOKUP(C479,Lookup!$A$3:$A$6,Lookup!$B$3:$B$6)</f>
        <v>Spring</v>
      </c>
      <c r="V479">
        <f>_xlfn.XLOOKUP(D479,Lookup!$D$3:$D$4,Lookup!$E$3:$E$4)</f>
        <v>2012</v>
      </c>
      <c r="W479" t="str">
        <f>_xlfn.XLOOKUP(I479,Lookup!$G$3:$G$6,Lookup!$H$3:$H$6)</f>
        <v>Light Snow/Rain</v>
      </c>
      <c r="X479" t="str">
        <f>_xlfn.XLOOKUP(E479,Lookup!$J$3:$J$14,Lookup!$K$3:$K$14)</f>
        <v>April</v>
      </c>
      <c r="Y479" t="str">
        <f>_xlfn.XLOOKUP(G479,Lookup!$M$3:$M$9,Lookup!$N$3:$N$9)</f>
        <v>Sunday</v>
      </c>
    </row>
    <row r="480" spans="1:25" x14ac:dyDescent="0.3">
      <c r="A480">
        <v>479</v>
      </c>
      <c r="B480" s="1">
        <v>41022</v>
      </c>
      <c r="C480">
        <v>2</v>
      </c>
      <c r="D480">
        <v>1</v>
      </c>
      <c r="E480">
        <v>4</v>
      </c>
      <c r="F480">
        <v>0</v>
      </c>
      <c r="G480">
        <v>1</v>
      </c>
      <c r="H480">
        <v>1</v>
      </c>
      <c r="I480">
        <v>2</v>
      </c>
      <c r="J480">
        <v>0.32166699999999998</v>
      </c>
      <c r="K480">
        <v>0.30112499999999998</v>
      </c>
      <c r="L480">
        <v>0.76666699999999999</v>
      </c>
      <c r="M480">
        <v>0.30349599999999999</v>
      </c>
      <c r="N480">
        <v>195</v>
      </c>
      <c r="O480">
        <v>3019</v>
      </c>
      <c r="P480">
        <v>3214</v>
      </c>
      <c r="Q480">
        <f t="shared" si="28"/>
        <v>7.1183489999999985</v>
      </c>
      <c r="R480">
        <f t="shared" si="29"/>
        <v>3.87425</v>
      </c>
      <c r="S480">
        <f t="shared" si="30"/>
        <v>76.666699999999992</v>
      </c>
      <c r="T480">
        <f t="shared" si="31"/>
        <v>20.334232</v>
      </c>
      <c r="U480" t="str">
        <f>_xlfn.XLOOKUP(C480,Lookup!$A$3:$A$6,Lookup!$B$3:$B$6)</f>
        <v>Spring</v>
      </c>
      <c r="V480">
        <f>_xlfn.XLOOKUP(D480,Lookup!$D$3:$D$4,Lookup!$E$3:$E$4)</f>
        <v>2012</v>
      </c>
      <c r="W480" t="str">
        <f>_xlfn.XLOOKUP(I480,Lookup!$G$3:$G$6,Lookup!$H$3:$H$6)</f>
        <v>Misty/Cloudy</v>
      </c>
      <c r="X480" t="str">
        <f>_xlfn.XLOOKUP(E480,Lookup!$J$3:$J$14,Lookup!$K$3:$K$14)</f>
        <v>April</v>
      </c>
      <c r="Y480" t="str">
        <f>_xlfn.XLOOKUP(G480,Lookup!$M$3:$M$9,Lookup!$N$3:$N$9)</f>
        <v>Monday</v>
      </c>
    </row>
    <row r="481" spans="1:25" x14ac:dyDescent="0.3">
      <c r="A481">
        <v>480</v>
      </c>
      <c r="B481" s="1">
        <v>41023</v>
      </c>
      <c r="C481">
        <v>2</v>
      </c>
      <c r="D481">
        <v>1</v>
      </c>
      <c r="E481">
        <v>4</v>
      </c>
      <c r="F481">
        <v>0</v>
      </c>
      <c r="G481">
        <v>2</v>
      </c>
      <c r="H481">
        <v>1</v>
      </c>
      <c r="I481">
        <v>1</v>
      </c>
      <c r="J481">
        <v>0.41333300000000001</v>
      </c>
      <c r="K481">
        <v>0.405283</v>
      </c>
      <c r="L481">
        <v>0.45416699999999999</v>
      </c>
      <c r="M481">
        <v>0.24938299999999999</v>
      </c>
      <c r="N481">
        <v>518</v>
      </c>
      <c r="O481">
        <v>5115</v>
      </c>
      <c r="P481">
        <v>5633</v>
      </c>
      <c r="Q481">
        <f t="shared" si="28"/>
        <v>11.426651</v>
      </c>
      <c r="R481">
        <f t="shared" si="29"/>
        <v>10.748678000000002</v>
      </c>
      <c r="S481">
        <f t="shared" si="30"/>
        <v>45.416699999999999</v>
      </c>
      <c r="T481">
        <f t="shared" si="31"/>
        <v>16.708660999999999</v>
      </c>
      <c r="U481" t="str">
        <f>_xlfn.XLOOKUP(C481,Lookup!$A$3:$A$6,Lookup!$B$3:$B$6)</f>
        <v>Spring</v>
      </c>
      <c r="V481">
        <f>_xlfn.XLOOKUP(D481,Lookup!$D$3:$D$4,Lookup!$E$3:$E$4)</f>
        <v>2012</v>
      </c>
      <c r="W481" t="str">
        <f>_xlfn.XLOOKUP(I481,Lookup!$G$3:$G$6,Lookup!$H$3:$H$6)</f>
        <v>Clear</v>
      </c>
      <c r="X481" t="str">
        <f>_xlfn.XLOOKUP(E481,Lookup!$J$3:$J$14,Lookup!$K$3:$K$14)</f>
        <v>April</v>
      </c>
      <c r="Y481" t="str">
        <f>_xlfn.XLOOKUP(G481,Lookup!$M$3:$M$9,Lookup!$N$3:$N$9)</f>
        <v>Tuesday</v>
      </c>
    </row>
    <row r="482" spans="1:25" x14ac:dyDescent="0.3">
      <c r="A482">
        <v>481</v>
      </c>
      <c r="B482" s="1">
        <v>41024</v>
      </c>
      <c r="C482">
        <v>2</v>
      </c>
      <c r="D482">
        <v>1</v>
      </c>
      <c r="E482">
        <v>4</v>
      </c>
      <c r="F482">
        <v>0</v>
      </c>
      <c r="G482">
        <v>3</v>
      </c>
      <c r="H482">
        <v>1</v>
      </c>
      <c r="I482">
        <v>1</v>
      </c>
      <c r="J482">
        <v>0.47666700000000001</v>
      </c>
      <c r="K482">
        <v>0.47031699999999999</v>
      </c>
      <c r="L482">
        <v>0.42791699999999999</v>
      </c>
      <c r="M482">
        <v>0.11879199999999999</v>
      </c>
      <c r="N482">
        <v>655</v>
      </c>
      <c r="O482">
        <v>5541</v>
      </c>
      <c r="P482">
        <v>6196</v>
      </c>
      <c r="Q482">
        <f t="shared" si="28"/>
        <v>14.403348999999999</v>
      </c>
      <c r="R482">
        <f t="shared" si="29"/>
        <v>15.040921999999998</v>
      </c>
      <c r="S482">
        <f t="shared" si="30"/>
        <v>42.791699999999999</v>
      </c>
      <c r="T482">
        <f t="shared" si="31"/>
        <v>7.9590639999999997</v>
      </c>
      <c r="U482" t="str">
        <f>_xlfn.XLOOKUP(C482,Lookup!$A$3:$A$6,Lookup!$B$3:$B$6)</f>
        <v>Spring</v>
      </c>
      <c r="V482">
        <f>_xlfn.XLOOKUP(D482,Lookup!$D$3:$D$4,Lookup!$E$3:$E$4)</f>
        <v>2012</v>
      </c>
      <c r="W482" t="str">
        <f>_xlfn.XLOOKUP(I482,Lookup!$G$3:$G$6,Lookup!$H$3:$H$6)</f>
        <v>Clear</v>
      </c>
      <c r="X482" t="str">
        <f>_xlfn.XLOOKUP(E482,Lookup!$J$3:$J$14,Lookup!$K$3:$K$14)</f>
        <v>April</v>
      </c>
      <c r="Y482" t="str">
        <f>_xlfn.XLOOKUP(G482,Lookup!$M$3:$M$9,Lookup!$N$3:$N$9)</f>
        <v>Wednesday</v>
      </c>
    </row>
    <row r="483" spans="1:25" x14ac:dyDescent="0.3">
      <c r="A483">
        <v>482</v>
      </c>
      <c r="B483" s="1">
        <v>41025</v>
      </c>
      <c r="C483">
        <v>2</v>
      </c>
      <c r="D483">
        <v>1</v>
      </c>
      <c r="E483">
        <v>4</v>
      </c>
      <c r="F483">
        <v>0</v>
      </c>
      <c r="G483">
        <v>4</v>
      </c>
      <c r="H483">
        <v>1</v>
      </c>
      <c r="I483">
        <v>2</v>
      </c>
      <c r="J483">
        <v>0.49833300000000003</v>
      </c>
      <c r="K483">
        <v>0.48358299999999999</v>
      </c>
      <c r="L483">
        <v>0.75666699999999998</v>
      </c>
      <c r="M483">
        <v>0.176625</v>
      </c>
      <c r="N483">
        <v>475</v>
      </c>
      <c r="O483">
        <v>4551</v>
      </c>
      <c r="P483">
        <v>5026</v>
      </c>
      <c r="Q483">
        <f t="shared" si="28"/>
        <v>15.421651000000001</v>
      </c>
      <c r="R483">
        <f t="shared" si="29"/>
        <v>15.916477999999998</v>
      </c>
      <c r="S483">
        <f t="shared" si="30"/>
        <v>75.666699999999992</v>
      </c>
      <c r="T483">
        <f t="shared" si="31"/>
        <v>11.833875000000001</v>
      </c>
      <c r="U483" t="str">
        <f>_xlfn.XLOOKUP(C483,Lookup!$A$3:$A$6,Lookup!$B$3:$B$6)</f>
        <v>Spring</v>
      </c>
      <c r="V483">
        <f>_xlfn.XLOOKUP(D483,Lookup!$D$3:$D$4,Lookup!$E$3:$E$4)</f>
        <v>2012</v>
      </c>
      <c r="W483" t="str">
        <f>_xlfn.XLOOKUP(I483,Lookup!$G$3:$G$6,Lookup!$H$3:$H$6)</f>
        <v>Misty/Cloudy</v>
      </c>
      <c r="X483" t="str">
        <f>_xlfn.XLOOKUP(E483,Lookup!$J$3:$J$14,Lookup!$K$3:$K$14)</f>
        <v>April</v>
      </c>
      <c r="Y483" t="str">
        <f>_xlfn.XLOOKUP(G483,Lookup!$M$3:$M$9,Lookup!$N$3:$N$9)</f>
        <v>Thursday</v>
      </c>
    </row>
    <row r="484" spans="1:25" x14ac:dyDescent="0.3">
      <c r="A484">
        <v>483</v>
      </c>
      <c r="B484" s="1">
        <v>41026</v>
      </c>
      <c r="C484">
        <v>2</v>
      </c>
      <c r="D484">
        <v>1</v>
      </c>
      <c r="E484">
        <v>4</v>
      </c>
      <c r="F484">
        <v>0</v>
      </c>
      <c r="G484">
        <v>5</v>
      </c>
      <c r="H484">
        <v>1</v>
      </c>
      <c r="I484">
        <v>1</v>
      </c>
      <c r="J484">
        <v>0.45750000000000002</v>
      </c>
      <c r="K484">
        <v>0.45263700000000001</v>
      </c>
      <c r="L484">
        <v>0.40083299999999999</v>
      </c>
      <c r="M484">
        <v>0.34763300000000003</v>
      </c>
      <c r="N484">
        <v>1014</v>
      </c>
      <c r="O484">
        <v>5219</v>
      </c>
      <c r="P484">
        <v>6233</v>
      </c>
      <c r="Q484">
        <f t="shared" si="28"/>
        <v>13.502500000000001</v>
      </c>
      <c r="R484">
        <f t="shared" si="29"/>
        <v>13.874041999999999</v>
      </c>
      <c r="S484">
        <f t="shared" si="30"/>
        <v>40.083300000000001</v>
      </c>
      <c r="T484">
        <f t="shared" si="31"/>
        <v>23.291411</v>
      </c>
      <c r="U484" t="str">
        <f>_xlfn.XLOOKUP(C484,Lookup!$A$3:$A$6,Lookup!$B$3:$B$6)</f>
        <v>Spring</v>
      </c>
      <c r="V484">
        <f>_xlfn.XLOOKUP(D484,Lookup!$D$3:$D$4,Lookup!$E$3:$E$4)</f>
        <v>2012</v>
      </c>
      <c r="W484" t="str">
        <f>_xlfn.XLOOKUP(I484,Lookup!$G$3:$G$6,Lookup!$H$3:$H$6)</f>
        <v>Clear</v>
      </c>
      <c r="X484" t="str">
        <f>_xlfn.XLOOKUP(E484,Lookup!$J$3:$J$14,Lookup!$K$3:$K$14)</f>
        <v>April</v>
      </c>
      <c r="Y484" t="str">
        <f>_xlfn.XLOOKUP(G484,Lookup!$M$3:$M$9,Lookup!$N$3:$N$9)</f>
        <v>Friday</v>
      </c>
    </row>
    <row r="485" spans="1:25" x14ac:dyDescent="0.3">
      <c r="A485">
        <v>484</v>
      </c>
      <c r="B485" s="1">
        <v>41027</v>
      </c>
      <c r="C485">
        <v>2</v>
      </c>
      <c r="D485">
        <v>1</v>
      </c>
      <c r="E485">
        <v>4</v>
      </c>
      <c r="F485">
        <v>0</v>
      </c>
      <c r="G485">
        <v>6</v>
      </c>
      <c r="H485">
        <v>0</v>
      </c>
      <c r="I485">
        <v>2</v>
      </c>
      <c r="J485">
        <v>0.37666699999999997</v>
      </c>
      <c r="K485">
        <v>0.37750400000000001</v>
      </c>
      <c r="L485">
        <v>0.48958299999999999</v>
      </c>
      <c r="M485">
        <v>0.12997500000000001</v>
      </c>
      <c r="N485">
        <v>1120</v>
      </c>
      <c r="O485">
        <v>3100</v>
      </c>
      <c r="P485">
        <v>4220</v>
      </c>
      <c r="Q485">
        <f t="shared" si="28"/>
        <v>9.7033489999999993</v>
      </c>
      <c r="R485">
        <f t="shared" si="29"/>
        <v>8.9152640000000005</v>
      </c>
      <c r="S485">
        <f t="shared" si="30"/>
        <v>48.958300000000001</v>
      </c>
      <c r="T485">
        <f t="shared" si="31"/>
        <v>8.7083250000000003</v>
      </c>
      <c r="U485" t="str">
        <f>_xlfn.XLOOKUP(C485,Lookup!$A$3:$A$6,Lookup!$B$3:$B$6)</f>
        <v>Spring</v>
      </c>
      <c r="V485">
        <f>_xlfn.XLOOKUP(D485,Lookup!$D$3:$D$4,Lookup!$E$3:$E$4)</f>
        <v>2012</v>
      </c>
      <c r="W485" t="str">
        <f>_xlfn.XLOOKUP(I485,Lookup!$G$3:$G$6,Lookup!$H$3:$H$6)</f>
        <v>Misty/Cloudy</v>
      </c>
      <c r="X485" t="str">
        <f>_xlfn.XLOOKUP(E485,Lookup!$J$3:$J$14,Lookup!$K$3:$K$14)</f>
        <v>April</v>
      </c>
      <c r="Y485" t="str">
        <f>_xlfn.XLOOKUP(G485,Lookup!$M$3:$M$9,Lookup!$N$3:$N$9)</f>
        <v>Saturday</v>
      </c>
    </row>
    <row r="486" spans="1:25" x14ac:dyDescent="0.3">
      <c r="A486">
        <v>485</v>
      </c>
      <c r="B486" s="1">
        <v>41028</v>
      </c>
      <c r="C486">
        <v>2</v>
      </c>
      <c r="D486">
        <v>1</v>
      </c>
      <c r="E486">
        <v>4</v>
      </c>
      <c r="F486">
        <v>0</v>
      </c>
      <c r="G486">
        <v>0</v>
      </c>
      <c r="H486">
        <v>0</v>
      </c>
      <c r="I486">
        <v>1</v>
      </c>
      <c r="J486">
        <v>0.45833299999999999</v>
      </c>
      <c r="K486">
        <v>0.45012099999999999</v>
      </c>
      <c r="L486">
        <v>0.58708300000000002</v>
      </c>
      <c r="M486">
        <v>0.116908</v>
      </c>
      <c r="N486">
        <v>2229</v>
      </c>
      <c r="O486">
        <v>4075</v>
      </c>
      <c r="P486">
        <v>6304</v>
      </c>
      <c r="Q486">
        <f t="shared" si="28"/>
        <v>13.541650999999998</v>
      </c>
      <c r="R486">
        <f t="shared" si="29"/>
        <v>13.707985999999998</v>
      </c>
      <c r="S486">
        <f t="shared" si="30"/>
        <v>58.708300000000001</v>
      </c>
      <c r="T486">
        <f t="shared" si="31"/>
        <v>7.8328359999999995</v>
      </c>
      <c r="U486" t="str">
        <f>_xlfn.XLOOKUP(C486,Lookup!$A$3:$A$6,Lookup!$B$3:$B$6)</f>
        <v>Spring</v>
      </c>
      <c r="V486">
        <f>_xlfn.XLOOKUP(D486,Lookup!$D$3:$D$4,Lookup!$E$3:$E$4)</f>
        <v>2012</v>
      </c>
      <c r="W486" t="str">
        <f>_xlfn.XLOOKUP(I486,Lookup!$G$3:$G$6,Lookup!$H$3:$H$6)</f>
        <v>Clear</v>
      </c>
      <c r="X486" t="str">
        <f>_xlfn.XLOOKUP(E486,Lookup!$J$3:$J$14,Lookup!$K$3:$K$14)</f>
        <v>April</v>
      </c>
      <c r="Y486" t="str">
        <f>_xlfn.XLOOKUP(G486,Lookup!$M$3:$M$9,Lookup!$N$3:$N$9)</f>
        <v>Sunday</v>
      </c>
    </row>
    <row r="487" spans="1:25" x14ac:dyDescent="0.3">
      <c r="A487">
        <v>486</v>
      </c>
      <c r="B487" s="1">
        <v>41029</v>
      </c>
      <c r="C487">
        <v>2</v>
      </c>
      <c r="D487">
        <v>1</v>
      </c>
      <c r="E487">
        <v>4</v>
      </c>
      <c r="F487">
        <v>0</v>
      </c>
      <c r="G487">
        <v>1</v>
      </c>
      <c r="H487">
        <v>1</v>
      </c>
      <c r="I487">
        <v>2</v>
      </c>
      <c r="J487">
        <v>0.464167</v>
      </c>
      <c r="K487">
        <v>0.45769599999999999</v>
      </c>
      <c r="L487">
        <v>0.56999999999999995</v>
      </c>
      <c r="M487">
        <v>0.17163800000000001</v>
      </c>
      <c r="N487">
        <v>665</v>
      </c>
      <c r="O487">
        <v>4907</v>
      </c>
      <c r="P487">
        <v>5572</v>
      </c>
      <c r="Q487">
        <f t="shared" si="28"/>
        <v>13.815849</v>
      </c>
      <c r="R487">
        <f t="shared" si="29"/>
        <v>14.207936</v>
      </c>
      <c r="S487">
        <f t="shared" si="30"/>
        <v>56.999999999999993</v>
      </c>
      <c r="T487">
        <f t="shared" si="31"/>
        <v>11.499746</v>
      </c>
      <c r="U487" t="str">
        <f>_xlfn.XLOOKUP(C487,Lookup!$A$3:$A$6,Lookup!$B$3:$B$6)</f>
        <v>Spring</v>
      </c>
      <c r="V487">
        <f>_xlfn.XLOOKUP(D487,Lookup!$D$3:$D$4,Lookup!$E$3:$E$4)</f>
        <v>2012</v>
      </c>
      <c r="W487" t="str">
        <f>_xlfn.XLOOKUP(I487,Lookup!$G$3:$G$6,Lookup!$H$3:$H$6)</f>
        <v>Misty/Cloudy</v>
      </c>
      <c r="X487" t="str">
        <f>_xlfn.XLOOKUP(E487,Lookup!$J$3:$J$14,Lookup!$K$3:$K$14)</f>
        <v>April</v>
      </c>
      <c r="Y487" t="str">
        <f>_xlfn.XLOOKUP(G487,Lookup!$M$3:$M$9,Lookup!$N$3:$N$9)</f>
        <v>Monday</v>
      </c>
    </row>
    <row r="488" spans="1:25" x14ac:dyDescent="0.3">
      <c r="A488">
        <v>487</v>
      </c>
      <c r="B488" s="1">
        <v>41030</v>
      </c>
      <c r="C488">
        <v>2</v>
      </c>
      <c r="D488">
        <v>1</v>
      </c>
      <c r="E488">
        <v>5</v>
      </c>
      <c r="F488">
        <v>0</v>
      </c>
      <c r="G488">
        <v>2</v>
      </c>
      <c r="H488">
        <v>1</v>
      </c>
      <c r="I488">
        <v>2</v>
      </c>
      <c r="J488">
        <v>0.61333300000000002</v>
      </c>
      <c r="K488">
        <v>0.57702100000000001</v>
      </c>
      <c r="L488">
        <v>0.65958300000000003</v>
      </c>
      <c r="M488">
        <v>0.15609600000000001</v>
      </c>
      <c r="N488">
        <v>653</v>
      </c>
      <c r="O488">
        <v>5087</v>
      </c>
      <c r="P488">
        <v>5740</v>
      </c>
      <c r="Q488">
        <f t="shared" si="28"/>
        <v>20.826651000000002</v>
      </c>
      <c r="R488">
        <f t="shared" si="29"/>
        <v>22.083385999999997</v>
      </c>
      <c r="S488">
        <f t="shared" si="30"/>
        <v>65.958300000000008</v>
      </c>
      <c r="T488">
        <f t="shared" si="31"/>
        <v>10.458432</v>
      </c>
      <c r="U488" t="str">
        <f>_xlfn.XLOOKUP(C488,Lookup!$A$3:$A$6,Lookup!$B$3:$B$6)</f>
        <v>Spring</v>
      </c>
      <c r="V488">
        <f>_xlfn.XLOOKUP(D488,Lookup!$D$3:$D$4,Lookup!$E$3:$E$4)</f>
        <v>2012</v>
      </c>
      <c r="W488" t="str">
        <f>_xlfn.XLOOKUP(I488,Lookup!$G$3:$G$6,Lookup!$H$3:$H$6)</f>
        <v>Misty/Cloudy</v>
      </c>
      <c r="X488" t="str">
        <f>_xlfn.XLOOKUP(E488,Lookup!$J$3:$J$14,Lookup!$K$3:$K$14)</f>
        <v>May</v>
      </c>
      <c r="Y488" t="str">
        <f>_xlfn.XLOOKUP(G488,Lookup!$M$3:$M$9,Lookup!$N$3:$N$9)</f>
        <v>Tuesday</v>
      </c>
    </row>
    <row r="489" spans="1:25" x14ac:dyDescent="0.3">
      <c r="A489">
        <v>488</v>
      </c>
      <c r="B489" s="1">
        <v>41031</v>
      </c>
      <c r="C489">
        <v>2</v>
      </c>
      <c r="D489">
        <v>1</v>
      </c>
      <c r="E489">
        <v>5</v>
      </c>
      <c r="F489">
        <v>0</v>
      </c>
      <c r="G489">
        <v>3</v>
      </c>
      <c r="H489">
        <v>1</v>
      </c>
      <c r="I489">
        <v>1</v>
      </c>
      <c r="J489">
        <v>0.56416699999999997</v>
      </c>
      <c r="K489">
        <v>0.53789600000000004</v>
      </c>
      <c r="L489">
        <v>0.79708299999999999</v>
      </c>
      <c r="M489">
        <v>0.13805799999999999</v>
      </c>
      <c r="N489">
        <v>667</v>
      </c>
      <c r="O489">
        <v>5502</v>
      </c>
      <c r="P489">
        <v>6169</v>
      </c>
      <c r="Q489">
        <f t="shared" si="28"/>
        <v>18.515848999999999</v>
      </c>
      <c r="R489">
        <f t="shared" si="29"/>
        <v>19.501136000000002</v>
      </c>
      <c r="S489">
        <f t="shared" si="30"/>
        <v>79.708299999999994</v>
      </c>
      <c r="T489">
        <f t="shared" si="31"/>
        <v>9.2498859999999983</v>
      </c>
      <c r="U489" t="str">
        <f>_xlfn.XLOOKUP(C489,Lookup!$A$3:$A$6,Lookup!$B$3:$B$6)</f>
        <v>Spring</v>
      </c>
      <c r="V489">
        <f>_xlfn.XLOOKUP(D489,Lookup!$D$3:$D$4,Lookup!$E$3:$E$4)</f>
        <v>2012</v>
      </c>
      <c r="W489" t="str">
        <f>_xlfn.XLOOKUP(I489,Lookup!$G$3:$G$6,Lookup!$H$3:$H$6)</f>
        <v>Clear</v>
      </c>
      <c r="X489" t="str">
        <f>_xlfn.XLOOKUP(E489,Lookup!$J$3:$J$14,Lookup!$K$3:$K$14)</f>
        <v>May</v>
      </c>
      <c r="Y489" t="str">
        <f>_xlfn.XLOOKUP(G489,Lookup!$M$3:$M$9,Lookup!$N$3:$N$9)</f>
        <v>Wednesday</v>
      </c>
    </row>
    <row r="490" spans="1:25" x14ac:dyDescent="0.3">
      <c r="A490">
        <v>489</v>
      </c>
      <c r="B490" s="1">
        <v>41032</v>
      </c>
      <c r="C490">
        <v>2</v>
      </c>
      <c r="D490">
        <v>1</v>
      </c>
      <c r="E490">
        <v>5</v>
      </c>
      <c r="F490">
        <v>0</v>
      </c>
      <c r="G490">
        <v>4</v>
      </c>
      <c r="H490">
        <v>1</v>
      </c>
      <c r="I490">
        <v>2</v>
      </c>
      <c r="J490">
        <v>0.56000000000000005</v>
      </c>
      <c r="K490">
        <v>0.537242</v>
      </c>
      <c r="L490">
        <v>0.76833300000000004</v>
      </c>
      <c r="M490">
        <v>0.13369600000000001</v>
      </c>
      <c r="N490">
        <v>764</v>
      </c>
      <c r="O490">
        <v>5657</v>
      </c>
      <c r="P490">
        <v>6421</v>
      </c>
      <c r="Q490">
        <f t="shared" si="28"/>
        <v>18.320000000000004</v>
      </c>
      <c r="R490">
        <f t="shared" si="29"/>
        <v>19.457971999999998</v>
      </c>
      <c r="S490">
        <f t="shared" si="30"/>
        <v>76.833300000000008</v>
      </c>
      <c r="T490">
        <f t="shared" si="31"/>
        <v>8.9576320000000003</v>
      </c>
      <c r="U490" t="str">
        <f>_xlfn.XLOOKUP(C490,Lookup!$A$3:$A$6,Lookup!$B$3:$B$6)</f>
        <v>Spring</v>
      </c>
      <c r="V490">
        <f>_xlfn.XLOOKUP(D490,Lookup!$D$3:$D$4,Lookup!$E$3:$E$4)</f>
        <v>2012</v>
      </c>
      <c r="W490" t="str">
        <f>_xlfn.XLOOKUP(I490,Lookup!$G$3:$G$6,Lookup!$H$3:$H$6)</f>
        <v>Misty/Cloudy</v>
      </c>
      <c r="X490" t="str">
        <f>_xlfn.XLOOKUP(E490,Lookup!$J$3:$J$14,Lookup!$K$3:$K$14)</f>
        <v>May</v>
      </c>
      <c r="Y490" t="str">
        <f>_xlfn.XLOOKUP(G490,Lookup!$M$3:$M$9,Lookup!$N$3:$N$9)</f>
        <v>Thursday</v>
      </c>
    </row>
    <row r="491" spans="1:25" x14ac:dyDescent="0.3">
      <c r="A491">
        <v>490</v>
      </c>
      <c r="B491" s="1">
        <v>41033</v>
      </c>
      <c r="C491">
        <v>2</v>
      </c>
      <c r="D491">
        <v>1</v>
      </c>
      <c r="E491">
        <v>5</v>
      </c>
      <c r="F491">
        <v>0</v>
      </c>
      <c r="G491">
        <v>5</v>
      </c>
      <c r="H491">
        <v>1</v>
      </c>
      <c r="I491">
        <v>1</v>
      </c>
      <c r="J491">
        <v>0.62749999999999995</v>
      </c>
      <c r="K491">
        <v>0.59091700000000003</v>
      </c>
      <c r="L491">
        <v>0.73541699999999999</v>
      </c>
      <c r="M491">
        <v>0.162938</v>
      </c>
      <c r="N491">
        <v>1069</v>
      </c>
      <c r="O491">
        <v>5227</v>
      </c>
      <c r="P491">
        <v>6296</v>
      </c>
      <c r="Q491">
        <f t="shared" si="28"/>
        <v>21.492499999999996</v>
      </c>
      <c r="R491">
        <f t="shared" si="29"/>
        <v>23.000522000000004</v>
      </c>
      <c r="S491">
        <f t="shared" si="30"/>
        <v>73.541699999999992</v>
      </c>
      <c r="T491">
        <f t="shared" si="31"/>
        <v>10.916846</v>
      </c>
      <c r="U491" t="str">
        <f>_xlfn.XLOOKUP(C491,Lookup!$A$3:$A$6,Lookup!$B$3:$B$6)</f>
        <v>Spring</v>
      </c>
      <c r="V491">
        <f>_xlfn.XLOOKUP(D491,Lookup!$D$3:$D$4,Lookup!$E$3:$E$4)</f>
        <v>2012</v>
      </c>
      <c r="W491" t="str">
        <f>_xlfn.XLOOKUP(I491,Lookup!$G$3:$G$6,Lookup!$H$3:$H$6)</f>
        <v>Clear</v>
      </c>
      <c r="X491" t="str">
        <f>_xlfn.XLOOKUP(E491,Lookup!$J$3:$J$14,Lookup!$K$3:$K$14)</f>
        <v>May</v>
      </c>
      <c r="Y491" t="str">
        <f>_xlfn.XLOOKUP(G491,Lookup!$M$3:$M$9,Lookup!$N$3:$N$9)</f>
        <v>Friday</v>
      </c>
    </row>
    <row r="492" spans="1:25" x14ac:dyDescent="0.3">
      <c r="A492">
        <v>491</v>
      </c>
      <c r="B492" s="1">
        <v>41034</v>
      </c>
      <c r="C492">
        <v>2</v>
      </c>
      <c r="D492">
        <v>1</v>
      </c>
      <c r="E492">
        <v>5</v>
      </c>
      <c r="F492">
        <v>0</v>
      </c>
      <c r="G492">
        <v>6</v>
      </c>
      <c r="H492">
        <v>0</v>
      </c>
      <c r="I492">
        <v>2</v>
      </c>
      <c r="J492">
        <v>0.62166699999999997</v>
      </c>
      <c r="K492">
        <v>0.58460800000000002</v>
      </c>
      <c r="L492">
        <v>0.75666699999999998</v>
      </c>
      <c r="M492">
        <v>0.15299199999999999</v>
      </c>
      <c r="N492">
        <v>2496</v>
      </c>
      <c r="O492">
        <v>4387</v>
      </c>
      <c r="P492">
        <v>6883</v>
      </c>
      <c r="Q492">
        <f t="shared" si="28"/>
        <v>21.218349</v>
      </c>
      <c r="R492">
        <f t="shared" si="29"/>
        <v>22.584128</v>
      </c>
      <c r="S492">
        <f t="shared" si="30"/>
        <v>75.666699999999992</v>
      </c>
      <c r="T492">
        <f t="shared" si="31"/>
        <v>10.250463999999999</v>
      </c>
      <c r="U492" t="str">
        <f>_xlfn.XLOOKUP(C492,Lookup!$A$3:$A$6,Lookup!$B$3:$B$6)</f>
        <v>Spring</v>
      </c>
      <c r="V492">
        <f>_xlfn.XLOOKUP(D492,Lookup!$D$3:$D$4,Lookup!$E$3:$E$4)</f>
        <v>2012</v>
      </c>
      <c r="W492" t="str">
        <f>_xlfn.XLOOKUP(I492,Lookup!$G$3:$G$6,Lookup!$H$3:$H$6)</f>
        <v>Misty/Cloudy</v>
      </c>
      <c r="X492" t="str">
        <f>_xlfn.XLOOKUP(E492,Lookup!$J$3:$J$14,Lookup!$K$3:$K$14)</f>
        <v>May</v>
      </c>
      <c r="Y492" t="str">
        <f>_xlfn.XLOOKUP(G492,Lookup!$M$3:$M$9,Lookup!$N$3:$N$9)</f>
        <v>Saturday</v>
      </c>
    </row>
    <row r="493" spans="1:25" x14ac:dyDescent="0.3">
      <c r="A493">
        <v>492</v>
      </c>
      <c r="B493" s="1">
        <v>41035</v>
      </c>
      <c r="C493">
        <v>2</v>
      </c>
      <c r="D493">
        <v>1</v>
      </c>
      <c r="E493">
        <v>5</v>
      </c>
      <c r="F493">
        <v>0</v>
      </c>
      <c r="G493">
        <v>0</v>
      </c>
      <c r="H493">
        <v>0</v>
      </c>
      <c r="I493">
        <v>2</v>
      </c>
      <c r="J493">
        <v>0.5625</v>
      </c>
      <c r="K493">
        <v>0.54673700000000003</v>
      </c>
      <c r="L493">
        <v>0.74</v>
      </c>
      <c r="M493">
        <v>0.14987900000000001</v>
      </c>
      <c r="N493">
        <v>2135</v>
      </c>
      <c r="O493">
        <v>4224</v>
      </c>
      <c r="P493">
        <v>6359</v>
      </c>
      <c r="Q493">
        <f t="shared" si="28"/>
        <v>18.4375</v>
      </c>
      <c r="R493">
        <f t="shared" si="29"/>
        <v>20.084642000000002</v>
      </c>
      <c r="S493">
        <f t="shared" si="30"/>
        <v>74</v>
      </c>
      <c r="T493">
        <f t="shared" si="31"/>
        <v>10.041893</v>
      </c>
      <c r="U493" t="str">
        <f>_xlfn.XLOOKUP(C493,Lookup!$A$3:$A$6,Lookup!$B$3:$B$6)</f>
        <v>Spring</v>
      </c>
      <c r="V493">
        <f>_xlfn.XLOOKUP(D493,Lookup!$D$3:$D$4,Lookup!$E$3:$E$4)</f>
        <v>2012</v>
      </c>
      <c r="W493" t="str">
        <f>_xlfn.XLOOKUP(I493,Lookup!$G$3:$G$6,Lookup!$H$3:$H$6)</f>
        <v>Misty/Cloudy</v>
      </c>
      <c r="X493" t="str">
        <f>_xlfn.XLOOKUP(E493,Lookup!$J$3:$J$14,Lookup!$K$3:$K$14)</f>
        <v>May</v>
      </c>
      <c r="Y493" t="str">
        <f>_xlfn.XLOOKUP(G493,Lookup!$M$3:$M$9,Lookup!$N$3:$N$9)</f>
        <v>Sunday</v>
      </c>
    </row>
    <row r="494" spans="1:25" x14ac:dyDescent="0.3">
      <c r="A494">
        <v>493</v>
      </c>
      <c r="B494" s="1">
        <v>41036</v>
      </c>
      <c r="C494">
        <v>2</v>
      </c>
      <c r="D494">
        <v>1</v>
      </c>
      <c r="E494">
        <v>5</v>
      </c>
      <c r="F494">
        <v>0</v>
      </c>
      <c r="G494">
        <v>1</v>
      </c>
      <c r="H494">
        <v>1</v>
      </c>
      <c r="I494">
        <v>2</v>
      </c>
      <c r="J494">
        <v>0.53749999999999998</v>
      </c>
      <c r="K494">
        <v>0.527142</v>
      </c>
      <c r="L494">
        <v>0.66416699999999995</v>
      </c>
      <c r="M494">
        <v>0.23072100000000001</v>
      </c>
      <c r="N494">
        <v>1008</v>
      </c>
      <c r="O494">
        <v>5265</v>
      </c>
      <c r="P494">
        <v>6273</v>
      </c>
      <c r="Q494">
        <f t="shared" si="28"/>
        <v>17.262499999999999</v>
      </c>
      <c r="R494">
        <f t="shared" si="29"/>
        <v>18.791372000000003</v>
      </c>
      <c r="S494">
        <f t="shared" si="30"/>
        <v>66.416699999999992</v>
      </c>
      <c r="T494">
        <f t="shared" si="31"/>
        <v>15.458307000000001</v>
      </c>
      <c r="U494" t="str">
        <f>_xlfn.XLOOKUP(C494,Lookup!$A$3:$A$6,Lookup!$B$3:$B$6)</f>
        <v>Spring</v>
      </c>
      <c r="V494">
        <f>_xlfn.XLOOKUP(D494,Lookup!$D$3:$D$4,Lookup!$E$3:$E$4)</f>
        <v>2012</v>
      </c>
      <c r="W494" t="str">
        <f>_xlfn.XLOOKUP(I494,Lookup!$G$3:$G$6,Lookup!$H$3:$H$6)</f>
        <v>Misty/Cloudy</v>
      </c>
      <c r="X494" t="str">
        <f>_xlfn.XLOOKUP(E494,Lookup!$J$3:$J$14,Lookup!$K$3:$K$14)</f>
        <v>May</v>
      </c>
      <c r="Y494" t="str">
        <f>_xlfn.XLOOKUP(G494,Lookup!$M$3:$M$9,Lookup!$N$3:$N$9)</f>
        <v>Monday</v>
      </c>
    </row>
    <row r="495" spans="1:25" x14ac:dyDescent="0.3">
      <c r="A495">
        <v>494</v>
      </c>
      <c r="B495" s="1">
        <v>41037</v>
      </c>
      <c r="C495">
        <v>2</v>
      </c>
      <c r="D495">
        <v>1</v>
      </c>
      <c r="E495">
        <v>5</v>
      </c>
      <c r="F495">
        <v>0</v>
      </c>
      <c r="G495">
        <v>2</v>
      </c>
      <c r="H495">
        <v>1</v>
      </c>
      <c r="I495">
        <v>2</v>
      </c>
      <c r="J495">
        <v>0.58166700000000005</v>
      </c>
      <c r="K495">
        <v>0.55747100000000005</v>
      </c>
      <c r="L495">
        <v>0.68583300000000003</v>
      </c>
      <c r="M495">
        <v>0.29602899999999999</v>
      </c>
      <c r="N495">
        <v>738</v>
      </c>
      <c r="O495">
        <v>4990</v>
      </c>
      <c r="P495">
        <v>5728</v>
      </c>
      <c r="Q495">
        <f t="shared" si="28"/>
        <v>19.338349000000001</v>
      </c>
      <c r="R495">
        <f t="shared" si="29"/>
        <v>20.793086000000002</v>
      </c>
      <c r="S495">
        <f t="shared" si="30"/>
        <v>68.583300000000008</v>
      </c>
      <c r="T495">
        <f t="shared" si="31"/>
        <v>19.833942999999998</v>
      </c>
      <c r="U495" t="str">
        <f>_xlfn.XLOOKUP(C495,Lookup!$A$3:$A$6,Lookup!$B$3:$B$6)</f>
        <v>Spring</v>
      </c>
      <c r="V495">
        <f>_xlfn.XLOOKUP(D495,Lookup!$D$3:$D$4,Lookup!$E$3:$E$4)</f>
        <v>2012</v>
      </c>
      <c r="W495" t="str">
        <f>_xlfn.XLOOKUP(I495,Lookup!$G$3:$G$6,Lookup!$H$3:$H$6)</f>
        <v>Misty/Cloudy</v>
      </c>
      <c r="X495" t="str">
        <f>_xlfn.XLOOKUP(E495,Lookup!$J$3:$J$14,Lookup!$K$3:$K$14)</f>
        <v>May</v>
      </c>
      <c r="Y495" t="str">
        <f>_xlfn.XLOOKUP(G495,Lookup!$M$3:$M$9,Lookup!$N$3:$N$9)</f>
        <v>Tuesday</v>
      </c>
    </row>
    <row r="496" spans="1:25" x14ac:dyDescent="0.3">
      <c r="A496">
        <v>495</v>
      </c>
      <c r="B496" s="1">
        <v>41038</v>
      </c>
      <c r="C496">
        <v>2</v>
      </c>
      <c r="D496">
        <v>1</v>
      </c>
      <c r="E496">
        <v>5</v>
      </c>
      <c r="F496">
        <v>0</v>
      </c>
      <c r="G496">
        <v>3</v>
      </c>
      <c r="H496">
        <v>1</v>
      </c>
      <c r="I496">
        <v>2</v>
      </c>
      <c r="J496">
        <v>0.57499999999999996</v>
      </c>
      <c r="K496">
        <v>0.55302499999999999</v>
      </c>
      <c r="L496">
        <v>0.74416700000000002</v>
      </c>
      <c r="M496">
        <v>0.21641199999999999</v>
      </c>
      <c r="N496">
        <v>620</v>
      </c>
      <c r="O496">
        <v>4097</v>
      </c>
      <c r="P496">
        <v>4717</v>
      </c>
      <c r="Q496">
        <f t="shared" si="28"/>
        <v>19.024999999999999</v>
      </c>
      <c r="R496">
        <f t="shared" si="29"/>
        <v>20.499650000000003</v>
      </c>
      <c r="S496">
        <f t="shared" si="30"/>
        <v>74.416700000000006</v>
      </c>
      <c r="T496">
        <f t="shared" si="31"/>
        <v>14.499604</v>
      </c>
      <c r="U496" t="str">
        <f>_xlfn.XLOOKUP(C496,Lookup!$A$3:$A$6,Lookup!$B$3:$B$6)</f>
        <v>Spring</v>
      </c>
      <c r="V496">
        <f>_xlfn.XLOOKUP(D496,Lookup!$D$3:$D$4,Lookup!$E$3:$E$4)</f>
        <v>2012</v>
      </c>
      <c r="W496" t="str">
        <f>_xlfn.XLOOKUP(I496,Lookup!$G$3:$G$6,Lookup!$H$3:$H$6)</f>
        <v>Misty/Cloudy</v>
      </c>
      <c r="X496" t="str">
        <f>_xlfn.XLOOKUP(E496,Lookup!$J$3:$J$14,Lookup!$K$3:$K$14)</f>
        <v>May</v>
      </c>
      <c r="Y496" t="str">
        <f>_xlfn.XLOOKUP(G496,Lookup!$M$3:$M$9,Lookup!$N$3:$N$9)</f>
        <v>Wednesday</v>
      </c>
    </row>
    <row r="497" spans="1:25" x14ac:dyDescent="0.3">
      <c r="A497">
        <v>496</v>
      </c>
      <c r="B497" s="1">
        <v>41039</v>
      </c>
      <c r="C497">
        <v>2</v>
      </c>
      <c r="D497">
        <v>1</v>
      </c>
      <c r="E497">
        <v>5</v>
      </c>
      <c r="F497">
        <v>0</v>
      </c>
      <c r="G497">
        <v>4</v>
      </c>
      <c r="H497">
        <v>1</v>
      </c>
      <c r="I497">
        <v>1</v>
      </c>
      <c r="J497">
        <v>0.50583299999999998</v>
      </c>
      <c r="K497">
        <v>0.49178300000000003</v>
      </c>
      <c r="L497">
        <v>0.55208299999999999</v>
      </c>
      <c r="M497">
        <v>0.31406299999999998</v>
      </c>
      <c r="N497">
        <v>1026</v>
      </c>
      <c r="O497">
        <v>5546</v>
      </c>
      <c r="P497">
        <v>6572</v>
      </c>
      <c r="Q497">
        <f t="shared" si="28"/>
        <v>15.774151</v>
      </c>
      <c r="R497">
        <f t="shared" si="29"/>
        <v>16.457678000000001</v>
      </c>
      <c r="S497">
        <f t="shared" si="30"/>
        <v>55.208300000000001</v>
      </c>
      <c r="T497">
        <f t="shared" si="31"/>
        <v>21.042220999999998</v>
      </c>
      <c r="U497" t="str">
        <f>_xlfn.XLOOKUP(C497,Lookup!$A$3:$A$6,Lookup!$B$3:$B$6)</f>
        <v>Spring</v>
      </c>
      <c r="V497">
        <f>_xlfn.XLOOKUP(D497,Lookup!$D$3:$D$4,Lookup!$E$3:$E$4)</f>
        <v>2012</v>
      </c>
      <c r="W497" t="str">
        <f>_xlfn.XLOOKUP(I497,Lookup!$G$3:$G$6,Lookup!$H$3:$H$6)</f>
        <v>Clear</v>
      </c>
      <c r="X497" t="str">
        <f>_xlfn.XLOOKUP(E497,Lookup!$J$3:$J$14,Lookup!$K$3:$K$14)</f>
        <v>May</v>
      </c>
      <c r="Y497" t="str">
        <f>_xlfn.XLOOKUP(G497,Lookup!$M$3:$M$9,Lookup!$N$3:$N$9)</f>
        <v>Thursday</v>
      </c>
    </row>
    <row r="498" spans="1:25" x14ac:dyDescent="0.3">
      <c r="A498">
        <v>497</v>
      </c>
      <c r="B498" s="1">
        <v>41040</v>
      </c>
      <c r="C498">
        <v>2</v>
      </c>
      <c r="D498">
        <v>1</v>
      </c>
      <c r="E498">
        <v>5</v>
      </c>
      <c r="F498">
        <v>0</v>
      </c>
      <c r="G498">
        <v>5</v>
      </c>
      <c r="H498">
        <v>1</v>
      </c>
      <c r="I498">
        <v>1</v>
      </c>
      <c r="J498">
        <v>0.53333299999999995</v>
      </c>
      <c r="K498">
        <v>0.52083299999999999</v>
      </c>
      <c r="L498">
        <v>0.36041699999999999</v>
      </c>
      <c r="M498">
        <v>0.23693700000000001</v>
      </c>
      <c r="N498">
        <v>1319</v>
      </c>
      <c r="O498">
        <v>5711</v>
      </c>
      <c r="P498">
        <v>7030</v>
      </c>
      <c r="Q498">
        <f t="shared" si="28"/>
        <v>17.066650999999997</v>
      </c>
      <c r="R498">
        <f t="shared" si="29"/>
        <v>18.374977999999999</v>
      </c>
      <c r="S498">
        <f t="shared" si="30"/>
        <v>36.041699999999999</v>
      </c>
      <c r="T498">
        <f t="shared" si="31"/>
        <v>15.874779</v>
      </c>
      <c r="U498" t="str">
        <f>_xlfn.XLOOKUP(C498,Lookup!$A$3:$A$6,Lookup!$B$3:$B$6)</f>
        <v>Spring</v>
      </c>
      <c r="V498">
        <f>_xlfn.XLOOKUP(D498,Lookup!$D$3:$D$4,Lookup!$E$3:$E$4)</f>
        <v>2012</v>
      </c>
      <c r="W498" t="str">
        <f>_xlfn.XLOOKUP(I498,Lookup!$G$3:$G$6,Lookup!$H$3:$H$6)</f>
        <v>Clear</v>
      </c>
      <c r="X498" t="str">
        <f>_xlfn.XLOOKUP(E498,Lookup!$J$3:$J$14,Lookup!$K$3:$K$14)</f>
        <v>May</v>
      </c>
      <c r="Y498" t="str">
        <f>_xlfn.XLOOKUP(G498,Lookup!$M$3:$M$9,Lookup!$N$3:$N$9)</f>
        <v>Friday</v>
      </c>
    </row>
    <row r="499" spans="1:25" x14ac:dyDescent="0.3">
      <c r="A499">
        <v>498</v>
      </c>
      <c r="B499" s="1">
        <v>41041</v>
      </c>
      <c r="C499">
        <v>2</v>
      </c>
      <c r="D499">
        <v>1</v>
      </c>
      <c r="E499">
        <v>5</v>
      </c>
      <c r="F499">
        <v>0</v>
      </c>
      <c r="G499">
        <v>6</v>
      </c>
      <c r="H499">
        <v>0</v>
      </c>
      <c r="I499">
        <v>1</v>
      </c>
      <c r="J499">
        <v>0.56416699999999997</v>
      </c>
      <c r="K499">
        <v>0.544817</v>
      </c>
      <c r="L499">
        <v>0.48041699999999998</v>
      </c>
      <c r="M499">
        <v>0.12313300000000001</v>
      </c>
      <c r="N499">
        <v>2622</v>
      </c>
      <c r="O499">
        <v>4807</v>
      </c>
      <c r="P499">
        <v>7429</v>
      </c>
      <c r="Q499">
        <f t="shared" si="28"/>
        <v>18.515848999999999</v>
      </c>
      <c r="R499">
        <f t="shared" si="29"/>
        <v>19.957921999999996</v>
      </c>
      <c r="S499">
        <f t="shared" si="30"/>
        <v>48.041699999999999</v>
      </c>
      <c r="T499">
        <f t="shared" si="31"/>
        <v>8.2499110000000009</v>
      </c>
      <c r="U499" t="str">
        <f>_xlfn.XLOOKUP(C499,Lookup!$A$3:$A$6,Lookup!$B$3:$B$6)</f>
        <v>Spring</v>
      </c>
      <c r="V499">
        <f>_xlfn.XLOOKUP(D499,Lookup!$D$3:$D$4,Lookup!$E$3:$E$4)</f>
        <v>2012</v>
      </c>
      <c r="W499" t="str">
        <f>_xlfn.XLOOKUP(I499,Lookup!$G$3:$G$6,Lookup!$H$3:$H$6)</f>
        <v>Clear</v>
      </c>
      <c r="X499" t="str">
        <f>_xlfn.XLOOKUP(E499,Lookup!$J$3:$J$14,Lookup!$K$3:$K$14)</f>
        <v>May</v>
      </c>
      <c r="Y499" t="str">
        <f>_xlfn.XLOOKUP(G499,Lookup!$M$3:$M$9,Lookup!$N$3:$N$9)</f>
        <v>Saturday</v>
      </c>
    </row>
    <row r="500" spans="1:25" x14ac:dyDescent="0.3">
      <c r="A500">
        <v>499</v>
      </c>
      <c r="B500" s="1">
        <v>41042</v>
      </c>
      <c r="C500">
        <v>2</v>
      </c>
      <c r="D500">
        <v>1</v>
      </c>
      <c r="E500">
        <v>5</v>
      </c>
      <c r="F500">
        <v>0</v>
      </c>
      <c r="G500">
        <v>0</v>
      </c>
      <c r="H500">
        <v>0</v>
      </c>
      <c r="I500">
        <v>1</v>
      </c>
      <c r="J500">
        <v>0.61250000000000004</v>
      </c>
      <c r="K500">
        <v>0.58523800000000004</v>
      </c>
      <c r="L500">
        <v>0.57625000000000004</v>
      </c>
      <c r="M500">
        <v>0.22511700000000001</v>
      </c>
      <c r="N500">
        <v>2172</v>
      </c>
      <c r="O500">
        <v>3946</v>
      </c>
      <c r="P500">
        <v>6118</v>
      </c>
      <c r="Q500">
        <f t="shared" si="28"/>
        <v>20.787500000000001</v>
      </c>
      <c r="R500">
        <f t="shared" si="29"/>
        <v>22.625708000000003</v>
      </c>
      <c r="S500">
        <f t="shared" si="30"/>
        <v>57.625000000000007</v>
      </c>
      <c r="T500">
        <f t="shared" si="31"/>
        <v>15.082839</v>
      </c>
      <c r="U500" t="str">
        <f>_xlfn.XLOOKUP(C500,Lookup!$A$3:$A$6,Lookup!$B$3:$B$6)</f>
        <v>Spring</v>
      </c>
      <c r="V500">
        <f>_xlfn.XLOOKUP(D500,Lookup!$D$3:$D$4,Lookup!$E$3:$E$4)</f>
        <v>2012</v>
      </c>
      <c r="W500" t="str">
        <f>_xlfn.XLOOKUP(I500,Lookup!$G$3:$G$6,Lookup!$H$3:$H$6)</f>
        <v>Clear</v>
      </c>
      <c r="X500" t="str">
        <f>_xlfn.XLOOKUP(E500,Lookup!$J$3:$J$14,Lookup!$K$3:$K$14)</f>
        <v>May</v>
      </c>
      <c r="Y500" t="str">
        <f>_xlfn.XLOOKUP(G500,Lookup!$M$3:$M$9,Lookup!$N$3:$N$9)</f>
        <v>Sunday</v>
      </c>
    </row>
    <row r="501" spans="1:25" x14ac:dyDescent="0.3">
      <c r="A501">
        <v>500</v>
      </c>
      <c r="B501" s="1">
        <v>41043</v>
      </c>
      <c r="C501">
        <v>2</v>
      </c>
      <c r="D501">
        <v>1</v>
      </c>
      <c r="E501">
        <v>5</v>
      </c>
      <c r="F501">
        <v>0</v>
      </c>
      <c r="G501">
        <v>1</v>
      </c>
      <c r="H501">
        <v>1</v>
      </c>
      <c r="I501">
        <v>2</v>
      </c>
      <c r="J501">
        <v>0.57333299999999998</v>
      </c>
      <c r="K501">
        <v>0.54990000000000006</v>
      </c>
      <c r="L501">
        <v>0.78958300000000003</v>
      </c>
      <c r="M501">
        <v>0.21269199999999999</v>
      </c>
      <c r="N501">
        <v>342</v>
      </c>
      <c r="O501">
        <v>2501</v>
      </c>
      <c r="P501">
        <v>2843</v>
      </c>
      <c r="Q501">
        <f t="shared" si="28"/>
        <v>18.946650999999999</v>
      </c>
      <c r="R501">
        <f t="shared" si="29"/>
        <v>20.293400000000005</v>
      </c>
      <c r="S501">
        <f t="shared" si="30"/>
        <v>78.958300000000008</v>
      </c>
      <c r="T501">
        <f t="shared" si="31"/>
        <v>14.250363999999999</v>
      </c>
      <c r="U501" t="str">
        <f>_xlfn.XLOOKUP(C501,Lookup!$A$3:$A$6,Lookup!$B$3:$B$6)</f>
        <v>Spring</v>
      </c>
      <c r="V501">
        <f>_xlfn.XLOOKUP(D501,Lookup!$D$3:$D$4,Lookup!$E$3:$E$4)</f>
        <v>2012</v>
      </c>
      <c r="W501" t="str">
        <f>_xlfn.XLOOKUP(I501,Lookup!$G$3:$G$6,Lookup!$H$3:$H$6)</f>
        <v>Misty/Cloudy</v>
      </c>
      <c r="X501" t="str">
        <f>_xlfn.XLOOKUP(E501,Lookup!$J$3:$J$14,Lookup!$K$3:$K$14)</f>
        <v>May</v>
      </c>
      <c r="Y501" t="str">
        <f>_xlfn.XLOOKUP(G501,Lookup!$M$3:$M$9,Lookup!$N$3:$N$9)</f>
        <v>Monday</v>
      </c>
    </row>
    <row r="502" spans="1:25" x14ac:dyDescent="0.3">
      <c r="A502">
        <v>501</v>
      </c>
      <c r="B502" s="1">
        <v>41044</v>
      </c>
      <c r="C502">
        <v>2</v>
      </c>
      <c r="D502">
        <v>1</v>
      </c>
      <c r="E502">
        <v>5</v>
      </c>
      <c r="F502">
        <v>0</v>
      </c>
      <c r="G502">
        <v>2</v>
      </c>
      <c r="H502">
        <v>1</v>
      </c>
      <c r="I502">
        <v>2</v>
      </c>
      <c r="J502">
        <v>0.61166699999999996</v>
      </c>
      <c r="K502">
        <v>0.57640400000000003</v>
      </c>
      <c r="L502">
        <v>0.79458300000000004</v>
      </c>
      <c r="M502">
        <v>0.147392</v>
      </c>
      <c r="N502">
        <v>625</v>
      </c>
      <c r="O502">
        <v>4490</v>
      </c>
      <c r="P502">
        <v>5115</v>
      </c>
      <c r="Q502">
        <f t="shared" si="28"/>
        <v>20.748348999999997</v>
      </c>
      <c r="R502">
        <f t="shared" si="29"/>
        <v>22.042664000000002</v>
      </c>
      <c r="S502">
        <f t="shared" si="30"/>
        <v>79.458300000000008</v>
      </c>
      <c r="T502">
        <f t="shared" si="31"/>
        <v>9.8752639999999996</v>
      </c>
      <c r="U502" t="str">
        <f>_xlfn.XLOOKUP(C502,Lookup!$A$3:$A$6,Lookup!$B$3:$B$6)</f>
        <v>Spring</v>
      </c>
      <c r="V502">
        <f>_xlfn.XLOOKUP(D502,Lookup!$D$3:$D$4,Lookup!$E$3:$E$4)</f>
        <v>2012</v>
      </c>
      <c r="W502" t="str">
        <f>_xlfn.XLOOKUP(I502,Lookup!$G$3:$G$6,Lookup!$H$3:$H$6)</f>
        <v>Misty/Cloudy</v>
      </c>
      <c r="X502" t="str">
        <f>_xlfn.XLOOKUP(E502,Lookup!$J$3:$J$14,Lookup!$K$3:$K$14)</f>
        <v>May</v>
      </c>
      <c r="Y502" t="str">
        <f>_xlfn.XLOOKUP(G502,Lookup!$M$3:$M$9,Lookup!$N$3:$N$9)</f>
        <v>Tuesday</v>
      </c>
    </row>
    <row r="503" spans="1:25" x14ac:dyDescent="0.3">
      <c r="A503">
        <v>502</v>
      </c>
      <c r="B503" s="1">
        <v>41045</v>
      </c>
      <c r="C503">
        <v>2</v>
      </c>
      <c r="D503">
        <v>1</v>
      </c>
      <c r="E503">
        <v>5</v>
      </c>
      <c r="F503">
        <v>0</v>
      </c>
      <c r="G503">
        <v>3</v>
      </c>
      <c r="H503">
        <v>1</v>
      </c>
      <c r="I503">
        <v>1</v>
      </c>
      <c r="J503">
        <v>0.63666699999999998</v>
      </c>
      <c r="K503">
        <v>0.59597500000000003</v>
      </c>
      <c r="L503">
        <v>0.69791700000000001</v>
      </c>
      <c r="M503">
        <v>0.122512</v>
      </c>
      <c r="N503">
        <v>991</v>
      </c>
      <c r="O503">
        <v>6433</v>
      </c>
      <c r="P503">
        <v>7424</v>
      </c>
      <c r="Q503">
        <f t="shared" si="28"/>
        <v>21.923348999999998</v>
      </c>
      <c r="R503">
        <f t="shared" si="29"/>
        <v>23.334350000000001</v>
      </c>
      <c r="S503">
        <f t="shared" si="30"/>
        <v>69.791700000000006</v>
      </c>
      <c r="T503">
        <f t="shared" si="31"/>
        <v>8.208304</v>
      </c>
      <c r="U503" t="str">
        <f>_xlfn.XLOOKUP(C503,Lookup!$A$3:$A$6,Lookup!$B$3:$B$6)</f>
        <v>Spring</v>
      </c>
      <c r="V503">
        <f>_xlfn.XLOOKUP(D503,Lookup!$D$3:$D$4,Lookup!$E$3:$E$4)</f>
        <v>2012</v>
      </c>
      <c r="W503" t="str">
        <f>_xlfn.XLOOKUP(I503,Lookup!$G$3:$G$6,Lookup!$H$3:$H$6)</f>
        <v>Clear</v>
      </c>
      <c r="X503" t="str">
        <f>_xlfn.XLOOKUP(E503,Lookup!$J$3:$J$14,Lookup!$K$3:$K$14)</f>
        <v>May</v>
      </c>
      <c r="Y503" t="str">
        <f>_xlfn.XLOOKUP(G503,Lookup!$M$3:$M$9,Lookup!$N$3:$N$9)</f>
        <v>Wednesday</v>
      </c>
    </row>
    <row r="504" spans="1:25" x14ac:dyDescent="0.3">
      <c r="A504">
        <v>503</v>
      </c>
      <c r="B504" s="1">
        <v>41046</v>
      </c>
      <c r="C504">
        <v>2</v>
      </c>
      <c r="D504">
        <v>1</v>
      </c>
      <c r="E504">
        <v>5</v>
      </c>
      <c r="F504">
        <v>0</v>
      </c>
      <c r="G504">
        <v>4</v>
      </c>
      <c r="H504">
        <v>1</v>
      </c>
      <c r="I504">
        <v>1</v>
      </c>
      <c r="J504">
        <v>0.593333</v>
      </c>
      <c r="K504">
        <v>0.57261300000000004</v>
      </c>
      <c r="L504">
        <v>0.52</v>
      </c>
      <c r="M504">
        <v>0.22947500000000001</v>
      </c>
      <c r="N504">
        <v>1242</v>
      </c>
      <c r="O504">
        <v>6142</v>
      </c>
      <c r="P504">
        <v>7384</v>
      </c>
      <c r="Q504">
        <f t="shared" si="28"/>
        <v>19.886651000000001</v>
      </c>
      <c r="R504">
        <f t="shared" si="29"/>
        <v>21.792458000000003</v>
      </c>
      <c r="S504">
        <f t="shared" si="30"/>
        <v>52</v>
      </c>
      <c r="T504">
        <f t="shared" si="31"/>
        <v>15.374825000000001</v>
      </c>
      <c r="U504" t="str">
        <f>_xlfn.XLOOKUP(C504,Lookup!$A$3:$A$6,Lookup!$B$3:$B$6)</f>
        <v>Spring</v>
      </c>
      <c r="V504">
        <f>_xlfn.XLOOKUP(D504,Lookup!$D$3:$D$4,Lookup!$E$3:$E$4)</f>
        <v>2012</v>
      </c>
      <c r="W504" t="str">
        <f>_xlfn.XLOOKUP(I504,Lookup!$G$3:$G$6,Lookup!$H$3:$H$6)</f>
        <v>Clear</v>
      </c>
      <c r="X504" t="str">
        <f>_xlfn.XLOOKUP(E504,Lookup!$J$3:$J$14,Lookup!$K$3:$K$14)</f>
        <v>May</v>
      </c>
      <c r="Y504" t="str">
        <f>_xlfn.XLOOKUP(G504,Lookup!$M$3:$M$9,Lookup!$N$3:$N$9)</f>
        <v>Thursday</v>
      </c>
    </row>
    <row r="505" spans="1:25" x14ac:dyDescent="0.3">
      <c r="A505">
        <v>504</v>
      </c>
      <c r="B505" s="1">
        <v>41047</v>
      </c>
      <c r="C505">
        <v>2</v>
      </c>
      <c r="D505">
        <v>1</v>
      </c>
      <c r="E505">
        <v>5</v>
      </c>
      <c r="F505">
        <v>0</v>
      </c>
      <c r="G505">
        <v>5</v>
      </c>
      <c r="H505">
        <v>1</v>
      </c>
      <c r="I505">
        <v>1</v>
      </c>
      <c r="J505">
        <v>0.56416699999999997</v>
      </c>
      <c r="K505">
        <v>0.55112099999999997</v>
      </c>
      <c r="L505">
        <v>0.52333300000000005</v>
      </c>
      <c r="M505">
        <v>0.13681699999999999</v>
      </c>
      <c r="N505">
        <v>1521</v>
      </c>
      <c r="O505">
        <v>6118</v>
      </c>
      <c r="P505">
        <v>7639</v>
      </c>
      <c r="Q505">
        <f t="shared" si="28"/>
        <v>18.515848999999999</v>
      </c>
      <c r="R505">
        <f t="shared" si="29"/>
        <v>20.373985999999995</v>
      </c>
      <c r="S505">
        <f t="shared" si="30"/>
        <v>52.333300000000008</v>
      </c>
      <c r="T505">
        <f t="shared" si="31"/>
        <v>9.1667389999999997</v>
      </c>
      <c r="U505" t="str">
        <f>_xlfn.XLOOKUP(C505,Lookup!$A$3:$A$6,Lookup!$B$3:$B$6)</f>
        <v>Spring</v>
      </c>
      <c r="V505">
        <f>_xlfn.XLOOKUP(D505,Lookup!$D$3:$D$4,Lookup!$E$3:$E$4)</f>
        <v>2012</v>
      </c>
      <c r="W505" t="str">
        <f>_xlfn.XLOOKUP(I505,Lookup!$G$3:$G$6,Lookup!$H$3:$H$6)</f>
        <v>Clear</v>
      </c>
      <c r="X505" t="str">
        <f>_xlfn.XLOOKUP(E505,Lookup!$J$3:$J$14,Lookup!$K$3:$K$14)</f>
        <v>May</v>
      </c>
      <c r="Y505" t="str">
        <f>_xlfn.XLOOKUP(G505,Lookup!$M$3:$M$9,Lookup!$N$3:$N$9)</f>
        <v>Friday</v>
      </c>
    </row>
    <row r="506" spans="1:25" x14ac:dyDescent="0.3">
      <c r="A506">
        <v>505</v>
      </c>
      <c r="B506" s="1">
        <v>41048</v>
      </c>
      <c r="C506">
        <v>2</v>
      </c>
      <c r="D506">
        <v>1</v>
      </c>
      <c r="E506">
        <v>5</v>
      </c>
      <c r="F506">
        <v>0</v>
      </c>
      <c r="G506">
        <v>6</v>
      </c>
      <c r="H506">
        <v>0</v>
      </c>
      <c r="I506">
        <v>1</v>
      </c>
      <c r="J506">
        <v>0.6</v>
      </c>
      <c r="K506">
        <v>0.56690799999999997</v>
      </c>
      <c r="L506">
        <v>0.45624999999999999</v>
      </c>
      <c r="M506">
        <v>8.3974999999999994E-2</v>
      </c>
      <c r="N506">
        <v>3410</v>
      </c>
      <c r="O506">
        <v>4884</v>
      </c>
      <c r="P506">
        <v>8294</v>
      </c>
      <c r="Q506">
        <f t="shared" si="28"/>
        <v>20.2</v>
      </c>
      <c r="R506">
        <f t="shared" si="29"/>
        <v>21.415928000000001</v>
      </c>
      <c r="S506">
        <f t="shared" si="30"/>
        <v>45.625</v>
      </c>
      <c r="T506">
        <f t="shared" si="31"/>
        <v>5.6263249999999996</v>
      </c>
      <c r="U506" t="str">
        <f>_xlfn.XLOOKUP(C506,Lookup!$A$3:$A$6,Lookup!$B$3:$B$6)</f>
        <v>Spring</v>
      </c>
      <c r="V506">
        <f>_xlfn.XLOOKUP(D506,Lookup!$D$3:$D$4,Lookup!$E$3:$E$4)</f>
        <v>2012</v>
      </c>
      <c r="W506" t="str">
        <f>_xlfn.XLOOKUP(I506,Lookup!$G$3:$G$6,Lookup!$H$3:$H$6)</f>
        <v>Clear</v>
      </c>
      <c r="X506" t="str">
        <f>_xlfn.XLOOKUP(E506,Lookup!$J$3:$J$14,Lookup!$K$3:$K$14)</f>
        <v>May</v>
      </c>
      <c r="Y506" t="str">
        <f>_xlfn.XLOOKUP(G506,Lookup!$M$3:$M$9,Lookup!$N$3:$N$9)</f>
        <v>Saturday</v>
      </c>
    </row>
    <row r="507" spans="1:25" x14ac:dyDescent="0.3">
      <c r="A507">
        <v>506</v>
      </c>
      <c r="B507" s="1">
        <v>41049</v>
      </c>
      <c r="C507">
        <v>2</v>
      </c>
      <c r="D507">
        <v>1</v>
      </c>
      <c r="E507">
        <v>5</v>
      </c>
      <c r="F507">
        <v>0</v>
      </c>
      <c r="G507">
        <v>0</v>
      </c>
      <c r="H507">
        <v>0</v>
      </c>
      <c r="I507">
        <v>1</v>
      </c>
      <c r="J507">
        <v>0.62083299999999997</v>
      </c>
      <c r="K507">
        <v>0.58396700000000001</v>
      </c>
      <c r="L507">
        <v>0.53041700000000003</v>
      </c>
      <c r="M507">
        <v>0.25436700000000001</v>
      </c>
      <c r="N507">
        <v>2704</v>
      </c>
      <c r="O507">
        <v>4425</v>
      </c>
      <c r="P507">
        <v>7129</v>
      </c>
      <c r="Q507">
        <f t="shared" si="28"/>
        <v>21.179150999999997</v>
      </c>
      <c r="R507">
        <f t="shared" si="29"/>
        <v>22.541822000000003</v>
      </c>
      <c r="S507">
        <f t="shared" si="30"/>
        <v>53.041700000000006</v>
      </c>
      <c r="T507">
        <f t="shared" si="31"/>
        <v>17.042589</v>
      </c>
      <c r="U507" t="str">
        <f>_xlfn.XLOOKUP(C507,Lookup!$A$3:$A$6,Lookup!$B$3:$B$6)</f>
        <v>Spring</v>
      </c>
      <c r="V507">
        <f>_xlfn.XLOOKUP(D507,Lookup!$D$3:$D$4,Lookup!$E$3:$E$4)</f>
        <v>2012</v>
      </c>
      <c r="W507" t="str">
        <f>_xlfn.XLOOKUP(I507,Lookup!$G$3:$G$6,Lookup!$H$3:$H$6)</f>
        <v>Clear</v>
      </c>
      <c r="X507" t="str">
        <f>_xlfn.XLOOKUP(E507,Lookup!$J$3:$J$14,Lookup!$K$3:$K$14)</f>
        <v>May</v>
      </c>
      <c r="Y507" t="str">
        <f>_xlfn.XLOOKUP(G507,Lookup!$M$3:$M$9,Lookup!$N$3:$N$9)</f>
        <v>Sunday</v>
      </c>
    </row>
    <row r="508" spans="1:25" x14ac:dyDescent="0.3">
      <c r="A508">
        <v>507</v>
      </c>
      <c r="B508" s="1">
        <v>41050</v>
      </c>
      <c r="C508">
        <v>2</v>
      </c>
      <c r="D508">
        <v>1</v>
      </c>
      <c r="E508">
        <v>5</v>
      </c>
      <c r="F508">
        <v>0</v>
      </c>
      <c r="G508">
        <v>1</v>
      </c>
      <c r="H508">
        <v>1</v>
      </c>
      <c r="I508">
        <v>2</v>
      </c>
      <c r="J508">
        <v>0.598333</v>
      </c>
      <c r="K508">
        <v>0.56566700000000003</v>
      </c>
      <c r="L508">
        <v>0.81125000000000003</v>
      </c>
      <c r="M508">
        <v>0.23320399999999999</v>
      </c>
      <c r="N508">
        <v>630</v>
      </c>
      <c r="O508">
        <v>3729</v>
      </c>
      <c r="P508">
        <v>4359</v>
      </c>
      <c r="Q508">
        <f t="shared" si="28"/>
        <v>20.121651</v>
      </c>
      <c r="R508">
        <f t="shared" si="29"/>
        <v>21.334022000000004</v>
      </c>
      <c r="S508">
        <f t="shared" si="30"/>
        <v>81.125</v>
      </c>
      <c r="T508">
        <f t="shared" si="31"/>
        <v>15.624668</v>
      </c>
      <c r="U508" t="str">
        <f>_xlfn.XLOOKUP(C508,Lookup!$A$3:$A$6,Lookup!$B$3:$B$6)</f>
        <v>Spring</v>
      </c>
      <c r="V508">
        <f>_xlfn.XLOOKUP(D508,Lookup!$D$3:$D$4,Lookup!$E$3:$E$4)</f>
        <v>2012</v>
      </c>
      <c r="W508" t="str">
        <f>_xlfn.XLOOKUP(I508,Lookup!$G$3:$G$6,Lookup!$H$3:$H$6)</f>
        <v>Misty/Cloudy</v>
      </c>
      <c r="X508" t="str">
        <f>_xlfn.XLOOKUP(E508,Lookup!$J$3:$J$14,Lookup!$K$3:$K$14)</f>
        <v>May</v>
      </c>
      <c r="Y508" t="str">
        <f>_xlfn.XLOOKUP(G508,Lookup!$M$3:$M$9,Lookup!$N$3:$N$9)</f>
        <v>Monday</v>
      </c>
    </row>
    <row r="509" spans="1:25" x14ac:dyDescent="0.3">
      <c r="A509">
        <v>508</v>
      </c>
      <c r="B509" s="1">
        <v>41051</v>
      </c>
      <c r="C509">
        <v>2</v>
      </c>
      <c r="D509">
        <v>1</v>
      </c>
      <c r="E509">
        <v>5</v>
      </c>
      <c r="F509">
        <v>0</v>
      </c>
      <c r="G509">
        <v>2</v>
      </c>
      <c r="H509">
        <v>1</v>
      </c>
      <c r="I509">
        <v>2</v>
      </c>
      <c r="J509">
        <v>0.61499999999999999</v>
      </c>
      <c r="K509">
        <v>0.58082500000000004</v>
      </c>
      <c r="L509">
        <v>0.76583299999999999</v>
      </c>
      <c r="M509">
        <v>0.11816699999999999</v>
      </c>
      <c r="N509">
        <v>819</v>
      </c>
      <c r="O509">
        <v>5254</v>
      </c>
      <c r="P509">
        <v>6073</v>
      </c>
      <c r="Q509">
        <f t="shared" si="28"/>
        <v>20.905000000000001</v>
      </c>
      <c r="R509">
        <f t="shared" si="29"/>
        <v>22.334450000000004</v>
      </c>
      <c r="S509">
        <f t="shared" si="30"/>
        <v>76.583299999999994</v>
      </c>
      <c r="T509">
        <f t="shared" si="31"/>
        <v>7.9171889999999996</v>
      </c>
      <c r="U509" t="str">
        <f>_xlfn.XLOOKUP(C509,Lookup!$A$3:$A$6,Lookup!$B$3:$B$6)</f>
        <v>Spring</v>
      </c>
      <c r="V509">
        <f>_xlfn.XLOOKUP(D509,Lookup!$D$3:$D$4,Lookup!$E$3:$E$4)</f>
        <v>2012</v>
      </c>
      <c r="W509" t="str">
        <f>_xlfn.XLOOKUP(I509,Lookup!$G$3:$G$6,Lookup!$H$3:$H$6)</f>
        <v>Misty/Cloudy</v>
      </c>
      <c r="X509" t="str">
        <f>_xlfn.XLOOKUP(E509,Lookup!$J$3:$J$14,Lookup!$K$3:$K$14)</f>
        <v>May</v>
      </c>
      <c r="Y509" t="str">
        <f>_xlfn.XLOOKUP(G509,Lookup!$M$3:$M$9,Lookup!$N$3:$N$9)</f>
        <v>Tuesday</v>
      </c>
    </row>
    <row r="510" spans="1:25" x14ac:dyDescent="0.3">
      <c r="A510">
        <v>509</v>
      </c>
      <c r="B510" s="1">
        <v>41052</v>
      </c>
      <c r="C510">
        <v>2</v>
      </c>
      <c r="D510">
        <v>1</v>
      </c>
      <c r="E510">
        <v>5</v>
      </c>
      <c r="F510">
        <v>0</v>
      </c>
      <c r="G510">
        <v>3</v>
      </c>
      <c r="H510">
        <v>1</v>
      </c>
      <c r="I510">
        <v>2</v>
      </c>
      <c r="J510">
        <v>0.62166699999999997</v>
      </c>
      <c r="K510">
        <v>0.58461200000000002</v>
      </c>
      <c r="L510">
        <v>0.77458300000000002</v>
      </c>
      <c r="M510">
        <v>0.10199999999999999</v>
      </c>
      <c r="N510">
        <v>766</v>
      </c>
      <c r="O510">
        <v>4494</v>
      </c>
      <c r="P510">
        <v>5260</v>
      </c>
      <c r="Q510">
        <f t="shared" si="28"/>
        <v>21.218349</v>
      </c>
      <c r="R510">
        <f t="shared" si="29"/>
        <v>22.584392000000001</v>
      </c>
      <c r="S510">
        <f t="shared" si="30"/>
        <v>77.458300000000008</v>
      </c>
      <c r="T510">
        <f t="shared" si="31"/>
        <v>6.8339999999999996</v>
      </c>
      <c r="U510" t="str">
        <f>_xlfn.XLOOKUP(C510,Lookup!$A$3:$A$6,Lookup!$B$3:$B$6)</f>
        <v>Spring</v>
      </c>
      <c r="V510">
        <f>_xlfn.XLOOKUP(D510,Lookup!$D$3:$D$4,Lookup!$E$3:$E$4)</f>
        <v>2012</v>
      </c>
      <c r="W510" t="str">
        <f>_xlfn.XLOOKUP(I510,Lookup!$G$3:$G$6,Lookup!$H$3:$H$6)</f>
        <v>Misty/Cloudy</v>
      </c>
      <c r="X510" t="str">
        <f>_xlfn.XLOOKUP(E510,Lookup!$J$3:$J$14,Lookup!$K$3:$K$14)</f>
        <v>May</v>
      </c>
      <c r="Y510" t="str">
        <f>_xlfn.XLOOKUP(G510,Lookup!$M$3:$M$9,Lookup!$N$3:$N$9)</f>
        <v>Wednesday</v>
      </c>
    </row>
    <row r="511" spans="1:25" x14ac:dyDescent="0.3">
      <c r="A511">
        <v>510</v>
      </c>
      <c r="B511" s="1">
        <v>41053</v>
      </c>
      <c r="C511">
        <v>2</v>
      </c>
      <c r="D511">
        <v>1</v>
      </c>
      <c r="E511">
        <v>5</v>
      </c>
      <c r="F511">
        <v>0</v>
      </c>
      <c r="G511">
        <v>4</v>
      </c>
      <c r="H511">
        <v>1</v>
      </c>
      <c r="I511">
        <v>1</v>
      </c>
      <c r="J511">
        <v>0.65500000000000003</v>
      </c>
      <c r="K511">
        <v>0.60670000000000002</v>
      </c>
      <c r="L511">
        <v>0.71666700000000005</v>
      </c>
      <c r="M511">
        <v>0.17289599999999999</v>
      </c>
      <c r="N511">
        <v>1059</v>
      </c>
      <c r="O511">
        <v>5711</v>
      </c>
      <c r="P511">
        <v>6770</v>
      </c>
      <c r="Q511">
        <f t="shared" si="28"/>
        <v>22.785</v>
      </c>
      <c r="R511">
        <f t="shared" si="29"/>
        <v>24.042200000000001</v>
      </c>
      <c r="S511">
        <f t="shared" si="30"/>
        <v>71.666700000000006</v>
      </c>
      <c r="T511">
        <f t="shared" si="31"/>
        <v>11.584031999999999</v>
      </c>
      <c r="U511" t="str">
        <f>_xlfn.XLOOKUP(C511,Lookup!$A$3:$A$6,Lookup!$B$3:$B$6)</f>
        <v>Spring</v>
      </c>
      <c r="V511">
        <f>_xlfn.XLOOKUP(D511,Lookup!$D$3:$D$4,Lookup!$E$3:$E$4)</f>
        <v>2012</v>
      </c>
      <c r="W511" t="str">
        <f>_xlfn.XLOOKUP(I511,Lookup!$G$3:$G$6,Lookup!$H$3:$H$6)</f>
        <v>Clear</v>
      </c>
      <c r="X511" t="str">
        <f>_xlfn.XLOOKUP(E511,Lookup!$J$3:$J$14,Lookup!$K$3:$K$14)</f>
        <v>May</v>
      </c>
      <c r="Y511" t="str">
        <f>_xlfn.XLOOKUP(G511,Lookup!$M$3:$M$9,Lookup!$N$3:$N$9)</f>
        <v>Thursday</v>
      </c>
    </row>
    <row r="512" spans="1:25" x14ac:dyDescent="0.3">
      <c r="A512">
        <v>511</v>
      </c>
      <c r="B512" s="1">
        <v>41054</v>
      </c>
      <c r="C512">
        <v>2</v>
      </c>
      <c r="D512">
        <v>1</v>
      </c>
      <c r="E512">
        <v>5</v>
      </c>
      <c r="F512">
        <v>0</v>
      </c>
      <c r="G512">
        <v>5</v>
      </c>
      <c r="H512">
        <v>1</v>
      </c>
      <c r="I512">
        <v>1</v>
      </c>
      <c r="J512">
        <v>0.68</v>
      </c>
      <c r="K512">
        <v>0.627529</v>
      </c>
      <c r="L512">
        <v>0.74708300000000005</v>
      </c>
      <c r="M512">
        <v>0.14055000000000001</v>
      </c>
      <c r="N512">
        <v>1417</v>
      </c>
      <c r="O512">
        <v>5317</v>
      </c>
      <c r="P512">
        <v>6734</v>
      </c>
      <c r="Q512">
        <f t="shared" si="28"/>
        <v>23.96</v>
      </c>
      <c r="R512">
        <f t="shared" si="29"/>
        <v>25.416913999999998</v>
      </c>
      <c r="S512">
        <f t="shared" si="30"/>
        <v>74.708300000000008</v>
      </c>
      <c r="T512">
        <f t="shared" si="31"/>
        <v>9.4168500000000002</v>
      </c>
      <c r="U512" t="str">
        <f>_xlfn.XLOOKUP(C512,Lookup!$A$3:$A$6,Lookup!$B$3:$B$6)</f>
        <v>Spring</v>
      </c>
      <c r="V512">
        <f>_xlfn.XLOOKUP(D512,Lookup!$D$3:$D$4,Lookup!$E$3:$E$4)</f>
        <v>2012</v>
      </c>
      <c r="W512" t="str">
        <f>_xlfn.XLOOKUP(I512,Lookup!$G$3:$G$6,Lookup!$H$3:$H$6)</f>
        <v>Clear</v>
      </c>
      <c r="X512" t="str">
        <f>_xlfn.XLOOKUP(E512,Lookup!$J$3:$J$14,Lookup!$K$3:$K$14)</f>
        <v>May</v>
      </c>
      <c r="Y512" t="str">
        <f>_xlfn.XLOOKUP(G512,Lookup!$M$3:$M$9,Lookup!$N$3:$N$9)</f>
        <v>Friday</v>
      </c>
    </row>
    <row r="513" spans="1:25" x14ac:dyDescent="0.3">
      <c r="A513">
        <v>512</v>
      </c>
      <c r="B513" s="1">
        <v>41055</v>
      </c>
      <c r="C513">
        <v>2</v>
      </c>
      <c r="D513">
        <v>1</v>
      </c>
      <c r="E513">
        <v>5</v>
      </c>
      <c r="F513">
        <v>0</v>
      </c>
      <c r="G513">
        <v>6</v>
      </c>
      <c r="H513">
        <v>0</v>
      </c>
      <c r="I513">
        <v>1</v>
      </c>
      <c r="J513">
        <v>0.6925</v>
      </c>
      <c r="K513">
        <v>0.64269600000000005</v>
      </c>
      <c r="L513">
        <v>0.73250000000000004</v>
      </c>
      <c r="M513">
        <v>0.198992</v>
      </c>
      <c r="N513">
        <v>2855</v>
      </c>
      <c r="O513">
        <v>3681</v>
      </c>
      <c r="P513">
        <v>6536</v>
      </c>
      <c r="Q513">
        <f t="shared" si="28"/>
        <v>24.547499999999999</v>
      </c>
      <c r="R513">
        <f t="shared" si="29"/>
        <v>26.417936000000005</v>
      </c>
      <c r="S513">
        <f t="shared" si="30"/>
        <v>73.25</v>
      </c>
      <c r="T513">
        <f t="shared" si="31"/>
        <v>13.332464</v>
      </c>
      <c r="U513" t="str">
        <f>_xlfn.XLOOKUP(C513,Lookup!$A$3:$A$6,Lookup!$B$3:$B$6)</f>
        <v>Spring</v>
      </c>
      <c r="V513">
        <f>_xlfn.XLOOKUP(D513,Lookup!$D$3:$D$4,Lookup!$E$3:$E$4)</f>
        <v>2012</v>
      </c>
      <c r="W513" t="str">
        <f>_xlfn.XLOOKUP(I513,Lookup!$G$3:$G$6,Lookup!$H$3:$H$6)</f>
        <v>Clear</v>
      </c>
      <c r="X513" t="str">
        <f>_xlfn.XLOOKUP(E513,Lookup!$J$3:$J$14,Lookup!$K$3:$K$14)</f>
        <v>May</v>
      </c>
      <c r="Y513" t="str">
        <f>_xlfn.XLOOKUP(G513,Lookup!$M$3:$M$9,Lookup!$N$3:$N$9)</f>
        <v>Saturday</v>
      </c>
    </row>
    <row r="514" spans="1:25" x14ac:dyDescent="0.3">
      <c r="A514">
        <v>513</v>
      </c>
      <c r="B514" s="1">
        <v>41056</v>
      </c>
      <c r="C514">
        <v>2</v>
      </c>
      <c r="D514">
        <v>1</v>
      </c>
      <c r="E514">
        <v>5</v>
      </c>
      <c r="F514">
        <v>0</v>
      </c>
      <c r="G514">
        <v>0</v>
      </c>
      <c r="H514">
        <v>0</v>
      </c>
      <c r="I514">
        <v>1</v>
      </c>
      <c r="J514">
        <v>0.69</v>
      </c>
      <c r="K514">
        <v>0.64142500000000002</v>
      </c>
      <c r="L514">
        <v>0.69708300000000001</v>
      </c>
      <c r="M514">
        <v>0.215171</v>
      </c>
      <c r="N514">
        <v>3283</v>
      </c>
      <c r="O514">
        <v>3308</v>
      </c>
      <c r="P514">
        <v>6591</v>
      </c>
      <c r="Q514">
        <f t="shared" si="28"/>
        <v>24.43</v>
      </c>
      <c r="R514">
        <f t="shared" si="29"/>
        <v>26.334050000000005</v>
      </c>
      <c r="S514">
        <f t="shared" si="30"/>
        <v>69.708299999999994</v>
      </c>
      <c r="T514">
        <f t="shared" si="31"/>
        <v>14.416456999999999</v>
      </c>
      <c r="U514" t="str">
        <f>_xlfn.XLOOKUP(C514,Lookup!$A$3:$A$6,Lookup!$B$3:$B$6)</f>
        <v>Spring</v>
      </c>
      <c r="V514">
        <f>_xlfn.XLOOKUP(D514,Lookup!$D$3:$D$4,Lookup!$E$3:$E$4)</f>
        <v>2012</v>
      </c>
      <c r="W514" t="str">
        <f>_xlfn.XLOOKUP(I514,Lookup!$G$3:$G$6,Lookup!$H$3:$H$6)</f>
        <v>Clear</v>
      </c>
      <c r="X514" t="str">
        <f>_xlfn.XLOOKUP(E514,Lookup!$J$3:$J$14,Lookup!$K$3:$K$14)</f>
        <v>May</v>
      </c>
      <c r="Y514" t="str">
        <f>_xlfn.XLOOKUP(G514,Lookup!$M$3:$M$9,Lookup!$N$3:$N$9)</f>
        <v>Sunday</v>
      </c>
    </row>
    <row r="515" spans="1:25" x14ac:dyDescent="0.3">
      <c r="A515">
        <v>514</v>
      </c>
      <c r="B515" s="1">
        <v>41057</v>
      </c>
      <c r="C515">
        <v>2</v>
      </c>
      <c r="D515">
        <v>1</v>
      </c>
      <c r="E515">
        <v>5</v>
      </c>
      <c r="F515">
        <v>1</v>
      </c>
      <c r="G515">
        <v>1</v>
      </c>
      <c r="H515">
        <v>0</v>
      </c>
      <c r="I515">
        <v>1</v>
      </c>
      <c r="J515">
        <v>0.71250000000000002</v>
      </c>
      <c r="K515">
        <v>0.67930000000000001</v>
      </c>
      <c r="L515">
        <v>0.67625000000000002</v>
      </c>
      <c r="M515">
        <v>0.196521</v>
      </c>
      <c r="N515">
        <v>2557</v>
      </c>
      <c r="O515">
        <v>3486</v>
      </c>
      <c r="P515">
        <v>6043</v>
      </c>
      <c r="Q515">
        <f t="shared" ref="Q515:Q578" si="32">J515*47-8</f>
        <v>25.487500000000004</v>
      </c>
      <c r="R515">
        <f t="shared" ref="R515:R578" si="33">K515*66-16</f>
        <v>28.833800000000004</v>
      </c>
      <c r="S515">
        <f t="shared" ref="S515:S578" si="34">L515*100</f>
        <v>67.625</v>
      </c>
      <c r="T515">
        <f t="shared" ref="T515:T578" si="35">M515*67</f>
        <v>13.166907</v>
      </c>
      <c r="U515" t="str">
        <f>_xlfn.XLOOKUP(C515,Lookup!$A$3:$A$6,Lookup!$B$3:$B$6)</f>
        <v>Spring</v>
      </c>
      <c r="V515">
        <f>_xlfn.XLOOKUP(D515,Lookup!$D$3:$D$4,Lookup!$E$3:$E$4)</f>
        <v>2012</v>
      </c>
      <c r="W515" t="str">
        <f>_xlfn.XLOOKUP(I515,Lookup!$G$3:$G$6,Lookup!$H$3:$H$6)</f>
        <v>Clear</v>
      </c>
      <c r="X515" t="str">
        <f>_xlfn.XLOOKUP(E515,Lookup!$J$3:$J$14,Lookup!$K$3:$K$14)</f>
        <v>May</v>
      </c>
      <c r="Y515" t="str">
        <f>_xlfn.XLOOKUP(G515,Lookup!$M$3:$M$9,Lookup!$N$3:$N$9)</f>
        <v>Monday</v>
      </c>
    </row>
    <row r="516" spans="1:25" x14ac:dyDescent="0.3">
      <c r="A516">
        <v>515</v>
      </c>
      <c r="B516" s="1">
        <v>41058</v>
      </c>
      <c r="C516">
        <v>2</v>
      </c>
      <c r="D516">
        <v>1</v>
      </c>
      <c r="E516">
        <v>5</v>
      </c>
      <c r="F516">
        <v>0</v>
      </c>
      <c r="G516">
        <v>2</v>
      </c>
      <c r="H516">
        <v>1</v>
      </c>
      <c r="I516">
        <v>1</v>
      </c>
      <c r="J516">
        <v>0.72250000000000003</v>
      </c>
      <c r="K516">
        <v>0.67299200000000003</v>
      </c>
      <c r="L516">
        <v>0.68458300000000005</v>
      </c>
      <c r="M516">
        <v>0.2954</v>
      </c>
      <c r="N516">
        <v>880</v>
      </c>
      <c r="O516">
        <v>4863</v>
      </c>
      <c r="P516">
        <v>5743</v>
      </c>
      <c r="Q516">
        <f t="shared" si="32"/>
        <v>25.957500000000003</v>
      </c>
      <c r="R516">
        <f t="shared" si="33"/>
        <v>28.417472000000004</v>
      </c>
      <c r="S516">
        <f t="shared" si="34"/>
        <v>68.458300000000008</v>
      </c>
      <c r="T516">
        <f t="shared" si="35"/>
        <v>19.791799999999999</v>
      </c>
      <c r="U516" t="str">
        <f>_xlfn.XLOOKUP(C516,Lookup!$A$3:$A$6,Lookup!$B$3:$B$6)</f>
        <v>Spring</v>
      </c>
      <c r="V516">
        <f>_xlfn.XLOOKUP(D516,Lookup!$D$3:$D$4,Lookup!$E$3:$E$4)</f>
        <v>2012</v>
      </c>
      <c r="W516" t="str">
        <f>_xlfn.XLOOKUP(I516,Lookup!$G$3:$G$6,Lookup!$H$3:$H$6)</f>
        <v>Clear</v>
      </c>
      <c r="X516" t="str">
        <f>_xlfn.XLOOKUP(E516,Lookup!$J$3:$J$14,Lookup!$K$3:$K$14)</f>
        <v>May</v>
      </c>
      <c r="Y516" t="str">
        <f>_xlfn.XLOOKUP(G516,Lookup!$M$3:$M$9,Lookup!$N$3:$N$9)</f>
        <v>Tuesday</v>
      </c>
    </row>
    <row r="517" spans="1:25" x14ac:dyDescent="0.3">
      <c r="A517">
        <v>516</v>
      </c>
      <c r="B517" s="1">
        <v>41059</v>
      </c>
      <c r="C517">
        <v>2</v>
      </c>
      <c r="D517">
        <v>1</v>
      </c>
      <c r="E517">
        <v>5</v>
      </c>
      <c r="F517">
        <v>0</v>
      </c>
      <c r="G517">
        <v>3</v>
      </c>
      <c r="H517">
        <v>1</v>
      </c>
      <c r="I517">
        <v>2</v>
      </c>
      <c r="J517">
        <v>0.656667</v>
      </c>
      <c r="K517">
        <v>0.61112900000000003</v>
      </c>
      <c r="L517">
        <v>0.67</v>
      </c>
      <c r="M517">
        <v>0.134329</v>
      </c>
      <c r="N517">
        <v>745</v>
      </c>
      <c r="O517">
        <v>6110</v>
      </c>
      <c r="P517">
        <v>6855</v>
      </c>
      <c r="Q517">
        <f t="shared" si="32"/>
        <v>22.863348999999999</v>
      </c>
      <c r="R517">
        <f t="shared" si="33"/>
        <v>24.334513999999999</v>
      </c>
      <c r="S517">
        <f t="shared" si="34"/>
        <v>67</v>
      </c>
      <c r="T517">
        <f t="shared" si="35"/>
        <v>9.0000429999999998</v>
      </c>
      <c r="U517" t="str">
        <f>_xlfn.XLOOKUP(C517,Lookup!$A$3:$A$6,Lookup!$B$3:$B$6)</f>
        <v>Spring</v>
      </c>
      <c r="V517">
        <f>_xlfn.XLOOKUP(D517,Lookup!$D$3:$D$4,Lookup!$E$3:$E$4)</f>
        <v>2012</v>
      </c>
      <c r="W517" t="str">
        <f>_xlfn.XLOOKUP(I517,Lookup!$G$3:$G$6,Lookup!$H$3:$H$6)</f>
        <v>Misty/Cloudy</v>
      </c>
      <c r="X517" t="str">
        <f>_xlfn.XLOOKUP(E517,Lookup!$J$3:$J$14,Lookup!$K$3:$K$14)</f>
        <v>May</v>
      </c>
      <c r="Y517" t="str">
        <f>_xlfn.XLOOKUP(G517,Lookup!$M$3:$M$9,Lookup!$N$3:$N$9)</f>
        <v>Wednesday</v>
      </c>
    </row>
    <row r="518" spans="1:25" x14ac:dyDescent="0.3">
      <c r="A518">
        <v>517</v>
      </c>
      <c r="B518" s="1">
        <v>41060</v>
      </c>
      <c r="C518">
        <v>2</v>
      </c>
      <c r="D518">
        <v>1</v>
      </c>
      <c r="E518">
        <v>5</v>
      </c>
      <c r="F518">
        <v>0</v>
      </c>
      <c r="G518">
        <v>4</v>
      </c>
      <c r="H518">
        <v>1</v>
      </c>
      <c r="I518">
        <v>1</v>
      </c>
      <c r="J518">
        <v>0.68</v>
      </c>
      <c r="K518">
        <v>0.63132900000000003</v>
      </c>
      <c r="L518">
        <v>0.49291699999999999</v>
      </c>
      <c r="M518">
        <v>0.19527900000000001</v>
      </c>
      <c r="N518">
        <v>1100</v>
      </c>
      <c r="O518">
        <v>6238</v>
      </c>
      <c r="P518">
        <v>7338</v>
      </c>
      <c r="Q518">
        <f t="shared" si="32"/>
        <v>23.96</v>
      </c>
      <c r="R518">
        <f t="shared" si="33"/>
        <v>25.667714000000004</v>
      </c>
      <c r="S518">
        <f t="shared" si="34"/>
        <v>49.291699999999999</v>
      </c>
      <c r="T518">
        <f t="shared" si="35"/>
        <v>13.083693</v>
      </c>
      <c r="U518" t="str">
        <f>_xlfn.XLOOKUP(C518,Lookup!$A$3:$A$6,Lookup!$B$3:$B$6)</f>
        <v>Spring</v>
      </c>
      <c r="V518">
        <f>_xlfn.XLOOKUP(D518,Lookup!$D$3:$D$4,Lookup!$E$3:$E$4)</f>
        <v>2012</v>
      </c>
      <c r="W518" t="str">
        <f>_xlfn.XLOOKUP(I518,Lookup!$G$3:$G$6,Lookup!$H$3:$H$6)</f>
        <v>Clear</v>
      </c>
      <c r="X518" t="str">
        <f>_xlfn.XLOOKUP(E518,Lookup!$J$3:$J$14,Lookup!$K$3:$K$14)</f>
        <v>May</v>
      </c>
      <c r="Y518" t="str">
        <f>_xlfn.XLOOKUP(G518,Lookup!$M$3:$M$9,Lookup!$N$3:$N$9)</f>
        <v>Thursday</v>
      </c>
    </row>
    <row r="519" spans="1:25" x14ac:dyDescent="0.3">
      <c r="A519">
        <v>518</v>
      </c>
      <c r="B519" s="1">
        <v>41061</v>
      </c>
      <c r="C519">
        <v>2</v>
      </c>
      <c r="D519">
        <v>1</v>
      </c>
      <c r="E519">
        <v>6</v>
      </c>
      <c r="F519">
        <v>0</v>
      </c>
      <c r="G519">
        <v>5</v>
      </c>
      <c r="H519">
        <v>1</v>
      </c>
      <c r="I519">
        <v>2</v>
      </c>
      <c r="J519">
        <v>0.65416700000000005</v>
      </c>
      <c r="K519">
        <v>0.607962</v>
      </c>
      <c r="L519">
        <v>0.75541700000000001</v>
      </c>
      <c r="M519">
        <v>0.237563</v>
      </c>
      <c r="N519">
        <v>533</v>
      </c>
      <c r="O519">
        <v>3594</v>
      </c>
      <c r="P519">
        <v>4127</v>
      </c>
      <c r="Q519">
        <f t="shared" si="32"/>
        <v>22.745849000000003</v>
      </c>
      <c r="R519">
        <f t="shared" si="33"/>
        <v>24.125492000000001</v>
      </c>
      <c r="S519">
        <f t="shared" si="34"/>
        <v>75.541700000000006</v>
      </c>
      <c r="T519">
        <f t="shared" si="35"/>
        <v>15.916720999999999</v>
      </c>
      <c r="U519" t="str">
        <f>_xlfn.XLOOKUP(C519,Lookup!$A$3:$A$6,Lookup!$B$3:$B$6)</f>
        <v>Spring</v>
      </c>
      <c r="V519">
        <f>_xlfn.XLOOKUP(D519,Lookup!$D$3:$D$4,Lookup!$E$3:$E$4)</f>
        <v>2012</v>
      </c>
      <c r="W519" t="str">
        <f>_xlfn.XLOOKUP(I519,Lookup!$G$3:$G$6,Lookup!$H$3:$H$6)</f>
        <v>Misty/Cloudy</v>
      </c>
      <c r="X519" t="str">
        <f>_xlfn.XLOOKUP(E519,Lookup!$J$3:$J$14,Lookup!$K$3:$K$14)</f>
        <v>June</v>
      </c>
      <c r="Y519" t="str">
        <f>_xlfn.XLOOKUP(G519,Lookup!$M$3:$M$9,Lookup!$N$3:$N$9)</f>
        <v>Friday</v>
      </c>
    </row>
    <row r="520" spans="1:25" x14ac:dyDescent="0.3">
      <c r="A520">
        <v>519</v>
      </c>
      <c r="B520" s="1">
        <v>41062</v>
      </c>
      <c r="C520">
        <v>2</v>
      </c>
      <c r="D520">
        <v>1</v>
      </c>
      <c r="E520">
        <v>6</v>
      </c>
      <c r="F520">
        <v>0</v>
      </c>
      <c r="G520">
        <v>6</v>
      </c>
      <c r="H520">
        <v>0</v>
      </c>
      <c r="I520">
        <v>1</v>
      </c>
      <c r="J520">
        <v>0.58333299999999999</v>
      </c>
      <c r="K520">
        <v>0.56628800000000001</v>
      </c>
      <c r="L520">
        <v>0.54916699999999996</v>
      </c>
      <c r="M520">
        <v>0.18656200000000001</v>
      </c>
      <c r="N520">
        <v>2795</v>
      </c>
      <c r="O520">
        <v>5325</v>
      </c>
      <c r="P520">
        <v>8120</v>
      </c>
      <c r="Q520">
        <f t="shared" si="32"/>
        <v>19.416650999999998</v>
      </c>
      <c r="R520">
        <f t="shared" si="33"/>
        <v>21.375008000000001</v>
      </c>
      <c r="S520">
        <f t="shared" si="34"/>
        <v>54.916699999999999</v>
      </c>
      <c r="T520">
        <f t="shared" si="35"/>
        <v>12.499654</v>
      </c>
      <c r="U520" t="str">
        <f>_xlfn.XLOOKUP(C520,Lookup!$A$3:$A$6,Lookup!$B$3:$B$6)</f>
        <v>Spring</v>
      </c>
      <c r="V520">
        <f>_xlfn.XLOOKUP(D520,Lookup!$D$3:$D$4,Lookup!$E$3:$E$4)</f>
        <v>2012</v>
      </c>
      <c r="W520" t="str">
        <f>_xlfn.XLOOKUP(I520,Lookup!$G$3:$G$6,Lookup!$H$3:$H$6)</f>
        <v>Clear</v>
      </c>
      <c r="X520" t="str">
        <f>_xlfn.XLOOKUP(E520,Lookup!$J$3:$J$14,Lookup!$K$3:$K$14)</f>
        <v>June</v>
      </c>
      <c r="Y520" t="str">
        <f>_xlfn.XLOOKUP(G520,Lookup!$M$3:$M$9,Lookup!$N$3:$N$9)</f>
        <v>Saturday</v>
      </c>
    </row>
    <row r="521" spans="1:25" x14ac:dyDescent="0.3">
      <c r="A521">
        <v>520</v>
      </c>
      <c r="B521" s="1">
        <v>41063</v>
      </c>
      <c r="C521">
        <v>2</v>
      </c>
      <c r="D521">
        <v>1</v>
      </c>
      <c r="E521">
        <v>6</v>
      </c>
      <c r="F521">
        <v>0</v>
      </c>
      <c r="G521">
        <v>0</v>
      </c>
      <c r="H521">
        <v>0</v>
      </c>
      <c r="I521">
        <v>1</v>
      </c>
      <c r="J521">
        <v>0.60250000000000004</v>
      </c>
      <c r="K521">
        <v>0.57513300000000001</v>
      </c>
      <c r="L521">
        <v>0.49333300000000002</v>
      </c>
      <c r="M521">
        <v>0.184087</v>
      </c>
      <c r="N521">
        <v>2494</v>
      </c>
      <c r="O521">
        <v>5147</v>
      </c>
      <c r="P521">
        <v>7641</v>
      </c>
      <c r="Q521">
        <f t="shared" si="32"/>
        <v>20.317500000000003</v>
      </c>
      <c r="R521">
        <f t="shared" si="33"/>
        <v>21.958778000000002</v>
      </c>
      <c r="S521">
        <f t="shared" si="34"/>
        <v>49.333300000000001</v>
      </c>
      <c r="T521">
        <f t="shared" si="35"/>
        <v>12.333829</v>
      </c>
      <c r="U521" t="str">
        <f>_xlfn.XLOOKUP(C521,Lookup!$A$3:$A$6,Lookup!$B$3:$B$6)</f>
        <v>Spring</v>
      </c>
      <c r="V521">
        <f>_xlfn.XLOOKUP(D521,Lookup!$D$3:$D$4,Lookup!$E$3:$E$4)</f>
        <v>2012</v>
      </c>
      <c r="W521" t="str">
        <f>_xlfn.XLOOKUP(I521,Lookup!$G$3:$G$6,Lookup!$H$3:$H$6)</f>
        <v>Clear</v>
      </c>
      <c r="X521" t="str">
        <f>_xlfn.XLOOKUP(E521,Lookup!$J$3:$J$14,Lookup!$K$3:$K$14)</f>
        <v>June</v>
      </c>
      <c r="Y521" t="str">
        <f>_xlfn.XLOOKUP(G521,Lookup!$M$3:$M$9,Lookup!$N$3:$N$9)</f>
        <v>Sunday</v>
      </c>
    </row>
    <row r="522" spans="1:25" x14ac:dyDescent="0.3">
      <c r="A522">
        <v>521</v>
      </c>
      <c r="B522" s="1">
        <v>41064</v>
      </c>
      <c r="C522">
        <v>2</v>
      </c>
      <c r="D522">
        <v>1</v>
      </c>
      <c r="E522">
        <v>6</v>
      </c>
      <c r="F522">
        <v>0</v>
      </c>
      <c r="G522">
        <v>1</v>
      </c>
      <c r="H522">
        <v>1</v>
      </c>
      <c r="I522">
        <v>1</v>
      </c>
      <c r="J522">
        <v>0.59750000000000003</v>
      </c>
      <c r="K522">
        <v>0.57828299999999999</v>
      </c>
      <c r="L522">
        <v>0.48708299999999999</v>
      </c>
      <c r="M522">
        <v>0.284833</v>
      </c>
      <c r="N522">
        <v>1071</v>
      </c>
      <c r="O522">
        <v>5927</v>
      </c>
      <c r="P522">
        <v>6998</v>
      </c>
      <c r="Q522">
        <f t="shared" si="32"/>
        <v>20.082500000000003</v>
      </c>
      <c r="R522">
        <f t="shared" si="33"/>
        <v>22.166677999999997</v>
      </c>
      <c r="S522">
        <f t="shared" si="34"/>
        <v>48.708300000000001</v>
      </c>
      <c r="T522">
        <f t="shared" si="35"/>
        <v>19.083811000000001</v>
      </c>
      <c r="U522" t="str">
        <f>_xlfn.XLOOKUP(C522,Lookup!$A$3:$A$6,Lookup!$B$3:$B$6)</f>
        <v>Spring</v>
      </c>
      <c r="V522">
        <f>_xlfn.XLOOKUP(D522,Lookup!$D$3:$D$4,Lookup!$E$3:$E$4)</f>
        <v>2012</v>
      </c>
      <c r="W522" t="str">
        <f>_xlfn.XLOOKUP(I522,Lookup!$G$3:$G$6,Lookup!$H$3:$H$6)</f>
        <v>Clear</v>
      </c>
      <c r="X522" t="str">
        <f>_xlfn.XLOOKUP(E522,Lookup!$J$3:$J$14,Lookup!$K$3:$K$14)</f>
        <v>June</v>
      </c>
      <c r="Y522" t="str">
        <f>_xlfn.XLOOKUP(G522,Lookup!$M$3:$M$9,Lookup!$N$3:$N$9)</f>
        <v>Monday</v>
      </c>
    </row>
    <row r="523" spans="1:25" x14ac:dyDescent="0.3">
      <c r="A523">
        <v>522</v>
      </c>
      <c r="B523" s="1">
        <v>41065</v>
      </c>
      <c r="C523">
        <v>2</v>
      </c>
      <c r="D523">
        <v>1</v>
      </c>
      <c r="E523">
        <v>6</v>
      </c>
      <c r="F523">
        <v>0</v>
      </c>
      <c r="G523">
        <v>2</v>
      </c>
      <c r="H523">
        <v>1</v>
      </c>
      <c r="I523">
        <v>2</v>
      </c>
      <c r="J523">
        <v>0.54083300000000001</v>
      </c>
      <c r="K523">
        <v>0.52589200000000003</v>
      </c>
      <c r="L523">
        <v>0.61333300000000002</v>
      </c>
      <c r="M523">
        <v>0.20957500000000001</v>
      </c>
      <c r="N523">
        <v>968</v>
      </c>
      <c r="O523">
        <v>6033</v>
      </c>
      <c r="P523">
        <v>7001</v>
      </c>
      <c r="Q523">
        <f t="shared" si="32"/>
        <v>17.419150999999999</v>
      </c>
      <c r="R523">
        <f t="shared" si="33"/>
        <v>18.708872</v>
      </c>
      <c r="S523">
        <f t="shared" si="34"/>
        <v>61.333300000000001</v>
      </c>
      <c r="T523">
        <f t="shared" si="35"/>
        <v>14.041525</v>
      </c>
      <c r="U523" t="str">
        <f>_xlfn.XLOOKUP(C523,Lookup!$A$3:$A$6,Lookup!$B$3:$B$6)</f>
        <v>Spring</v>
      </c>
      <c r="V523">
        <f>_xlfn.XLOOKUP(D523,Lookup!$D$3:$D$4,Lookup!$E$3:$E$4)</f>
        <v>2012</v>
      </c>
      <c r="W523" t="str">
        <f>_xlfn.XLOOKUP(I523,Lookup!$G$3:$G$6,Lookup!$H$3:$H$6)</f>
        <v>Misty/Cloudy</v>
      </c>
      <c r="X523" t="str">
        <f>_xlfn.XLOOKUP(E523,Lookup!$J$3:$J$14,Lookup!$K$3:$K$14)</f>
        <v>June</v>
      </c>
      <c r="Y523" t="str">
        <f>_xlfn.XLOOKUP(G523,Lookup!$M$3:$M$9,Lookup!$N$3:$N$9)</f>
        <v>Tuesday</v>
      </c>
    </row>
    <row r="524" spans="1:25" x14ac:dyDescent="0.3">
      <c r="A524">
        <v>523</v>
      </c>
      <c r="B524" s="1">
        <v>41066</v>
      </c>
      <c r="C524">
        <v>2</v>
      </c>
      <c r="D524">
        <v>1</v>
      </c>
      <c r="E524">
        <v>6</v>
      </c>
      <c r="F524">
        <v>0</v>
      </c>
      <c r="G524">
        <v>3</v>
      </c>
      <c r="H524">
        <v>1</v>
      </c>
      <c r="I524">
        <v>1</v>
      </c>
      <c r="J524">
        <v>0.55416699999999997</v>
      </c>
      <c r="K524">
        <v>0.542292</v>
      </c>
      <c r="L524">
        <v>0.61124999999999996</v>
      </c>
      <c r="M524">
        <v>7.7124999999999999E-2</v>
      </c>
      <c r="N524">
        <v>1027</v>
      </c>
      <c r="O524">
        <v>6028</v>
      </c>
      <c r="P524">
        <v>7055</v>
      </c>
      <c r="Q524">
        <f t="shared" si="32"/>
        <v>18.045848999999997</v>
      </c>
      <c r="R524">
        <f t="shared" si="33"/>
        <v>19.791271999999999</v>
      </c>
      <c r="S524">
        <f t="shared" si="34"/>
        <v>61.124999999999993</v>
      </c>
      <c r="T524">
        <f t="shared" si="35"/>
        <v>5.1673749999999998</v>
      </c>
      <c r="U524" t="str">
        <f>_xlfn.XLOOKUP(C524,Lookup!$A$3:$A$6,Lookup!$B$3:$B$6)</f>
        <v>Spring</v>
      </c>
      <c r="V524">
        <f>_xlfn.XLOOKUP(D524,Lookup!$D$3:$D$4,Lookup!$E$3:$E$4)</f>
        <v>2012</v>
      </c>
      <c r="W524" t="str">
        <f>_xlfn.XLOOKUP(I524,Lookup!$G$3:$G$6,Lookup!$H$3:$H$6)</f>
        <v>Clear</v>
      </c>
      <c r="X524" t="str">
        <f>_xlfn.XLOOKUP(E524,Lookup!$J$3:$J$14,Lookup!$K$3:$K$14)</f>
        <v>June</v>
      </c>
      <c r="Y524" t="str">
        <f>_xlfn.XLOOKUP(G524,Lookup!$M$3:$M$9,Lookup!$N$3:$N$9)</f>
        <v>Wednesday</v>
      </c>
    </row>
    <row r="525" spans="1:25" x14ac:dyDescent="0.3">
      <c r="A525">
        <v>524</v>
      </c>
      <c r="B525" s="1">
        <v>41067</v>
      </c>
      <c r="C525">
        <v>2</v>
      </c>
      <c r="D525">
        <v>1</v>
      </c>
      <c r="E525">
        <v>6</v>
      </c>
      <c r="F525">
        <v>0</v>
      </c>
      <c r="G525">
        <v>4</v>
      </c>
      <c r="H525">
        <v>1</v>
      </c>
      <c r="I525">
        <v>1</v>
      </c>
      <c r="J525">
        <v>0.60250000000000004</v>
      </c>
      <c r="K525">
        <v>0.569442</v>
      </c>
      <c r="L525">
        <v>0.567083</v>
      </c>
      <c r="M525">
        <v>0.15734999999999999</v>
      </c>
      <c r="N525">
        <v>1038</v>
      </c>
      <c r="O525">
        <v>6456</v>
      </c>
      <c r="P525">
        <v>7494</v>
      </c>
      <c r="Q525">
        <f t="shared" si="32"/>
        <v>20.317500000000003</v>
      </c>
      <c r="R525">
        <f t="shared" si="33"/>
        <v>21.583171999999998</v>
      </c>
      <c r="S525">
        <f t="shared" si="34"/>
        <v>56.708300000000001</v>
      </c>
      <c r="T525">
        <f t="shared" si="35"/>
        <v>10.542449999999999</v>
      </c>
      <c r="U525" t="str">
        <f>_xlfn.XLOOKUP(C525,Lookup!$A$3:$A$6,Lookup!$B$3:$B$6)</f>
        <v>Spring</v>
      </c>
      <c r="V525">
        <f>_xlfn.XLOOKUP(D525,Lookup!$D$3:$D$4,Lookup!$E$3:$E$4)</f>
        <v>2012</v>
      </c>
      <c r="W525" t="str">
        <f>_xlfn.XLOOKUP(I525,Lookup!$G$3:$G$6,Lookup!$H$3:$H$6)</f>
        <v>Clear</v>
      </c>
      <c r="X525" t="str">
        <f>_xlfn.XLOOKUP(E525,Lookup!$J$3:$J$14,Lookup!$K$3:$K$14)</f>
        <v>June</v>
      </c>
      <c r="Y525" t="str">
        <f>_xlfn.XLOOKUP(G525,Lookup!$M$3:$M$9,Lookup!$N$3:$N$9)</f>
        <v>Thursday</v>
      </c>
    </row>
    <row r="526" spans="1:25" x14ac:dyDescent="0.3">
      <c r="A526">
        <v>525</v>
      </c>
      <c r="B526" s="1">
        <v>41068</v>
      </c>
      <c r="C526">
        <v>2</v>
      </c>
      <c r="D526">
        <v>1</v>
      </c>
      <c r="E526">
        <v>6</v>
      </c>
      <c r="F526">
        <v>0</v>
      </c>
      <c r="G526">
        <v>5</v>
      </c>
      <c r="H526">
        <v>1</v>
      </c>
      <c r="I526">
        <v>1</v>
      </c>
      <c r="J526">
        <v>0.64916700000000005</v>
      </c>
      <c r="K526">
        <v>0.597862</v>
      </c>
      <c r="L526">
        <v>0.46791700000000003</v>
      </c>
      <c r="M526">
        <v>0.17538300000000001</v>
      </c>
      <c r="N526">
        <v>1488</v>
      </c>
      <c r="O526">
        <v>6248</v>
      </c>
      <c r="P526">
        <v>7736</v>
      </c>
      <c r="Q526">
        <f t="shared" si="32"/>
        <v>22.510849000000004</v>
      </c>
      <c r="R526">
        <f t="shared" si="33"/>
        <v>23.458891999999999</v>
      </c>
      <c r="S526">
        <f t="shared" si="34"/>
        <v>46.791700000000006</v>
      </c>
      <c r="T526">
        <f t="shared" si="35"/>
        <v>11.750661000000001</v>
      </c>
      <c r="U526" t="str">
        <f>_xlfn.XLOOKUP(C526,Lookup!$A$3:$A$6,Lookup!$B$3:$B$6)</f>
        <v>Spring</v>
      </c>
      <c r="V526">
        <f>_xlfn.XLOOKUP(D526,Lookup!$D$3:$D$4,Lookup!$E$3:$E$4)</f>
        <v>2012</v>
      </c>
      <c r="W526" t="str">
        <f>_xlfn.XLOOKUP(I526,Lookup!$G$3:$G$6,Lookup!$H$3:$H$6)</f>
        <v>Clear</v>
      </c>
      <c r="X526" t="str">
        <f>_xlfn.XLOOKUP(E526,Lookup!$J$3:$J$14,Lookup!$K$3:$K$14)</f>
        <v>June</v>
      </c>
      <c r="Y526" t="str">
        <f>_xlfn.XLOOKUP(G526,Lookup!$M$3:$M$9,Lookup!$N$3:$N$9)</f>
        <v>Friday</v>
      </c>
    </row>
    <row r="527" spans="1:25" x14ac:dyDescent="0.3">
      <c r="A527">
        <v>526</v>
      </c>
      <c r="B527" s="1">
        <v>41069</v>
      </c>
      <c r="C527">
        <v>2</v>
      </c>
      <c r="D527">
        <v>1</v>
      </c>
      <c r="E527">
        <v>6</v>
      </c>
      <c r="F527">
        <v>0</v>
      </c>
      <c r="G527">
        <v>6</v>
      </c>
      <c r="H527">
        <v>0</v>
      </c>
      <c r="I527">
        <v>1</v>
      </c>
      <c r="J527">
        <v>0.71083300000000005</v>
      </c>
      <c r="K527">
        <v>0.64836700000000003</v>
      </c>
      <c r="L527">
        <v>0.437083</v>
      </c>
      <c r="M527">
        <v>0.144287</v>
      </c>
      <c r="N527">
        <v>2708</v>
      </c>
      <c r="O527">
        <v>4790</v>
      </c>
      <c r="P527">
        <v>7498</v>
      </c>
      <c r="Q527">
        <f t="shared" si="32"/>
        <v>25.409151000000001</v>
      </c>
      <c r="R527">
        <f t="shared" si="33"/>
        <v>26.792222000000002</v>
      </c>
      <c r="S527">
        <f t="shared" si="34"/>
        <v>43.708300000000001</v>
      </c>
      <c r="T527">
        <f t="shared" si="35"/>
        <v>9.6672290000000007</v>
      </c>
      <c r="U527" t="str">
        <f>_xlfn.XLOOKUP(C527,Lookup!$A$3:$A$6,Lookup!$B$3:$B$6)</f>
        <v>Spring</v>
      </c>
      <c r="V527">
        <f>_xlfn.XLOOKUP(D527,Lookup!$D$3:$D$4,Lookup!$E$3:$E$4)</f>
        <v>2012</v>
      </c>
      <c r="W527" t="str">
        <f>_xlfn.XLOOKUP(I527,Lookup!$G$3:$G$6,Lookup!$H$3:$H$6)</f>
        <v>Clear</v>
      </c>
      <c r="X527" t="str">
        <f>_xlfn.XLOOKUP(E527,Lookup!$J$3:$J$14,Lookup!$K$3:$K$14)</f>
        <v>June</v>
      </c>
      <c r="Y527" t="str">
        <f>_xlfn.XLOOKUP(G527,Lookup!$M$3:$M$9,Lookup!$N$3:$N$9)</f>
        <v>Saturday</v>
      </c>
    </row>
    <row r="528" spans="1:25" x14ac:dyDescent="0.3">
      <c r="A528">
        <v>527</v>
      </c>
      <c r="B528" s="1">
        <v>41070</v>
      </c>
      <c r="C528">
        <v>2</v>
      </c>
      <c r="D528">
        <v>1</v>
      </c>
      <c r="E528">
        <v>6</v>
      </c>
      <c r="F528">
        <v>0</v>
      </c>
      <c r="G528">
        <v>0</v>
      </c>
      <c r="H528">
        <v>0</v>
      </c>
      <c r="I528">
        <v>1</v>
      </c>
      <c r="J528">
        <v>0.72666699999999995</v>
      </c>
      <c r="K528">
        <v>0.66351700000000002</v>
      </c>
      <c r="L528">
        <v>0.53833299999999995</v>
      </c>
      <c r="M528">
        <v>0.13372100000000001</v>
      </c>
      <c r="N528">
        <v>2224</v>
      </c>
      <c r="O528">
        <v>4374</v>
      </c>
      <c r="P528">
        <v>6598</v>
      </c>
      <c r="Q528">
        <f t="shared" si="32"/>
        <v>26.153348999999999</v>
      </c>
      <c r="R528">
        <f t="shared" si="33"/>
        <v>27.792121999999999</v>
      </c>
      <c r="S528">
        <f t="shared" si="34"/>
        <v>53.833299999999994</v>
      </c>
      <c r="T528">
        <f t="shared" si="35"/>
        <v>8.9593070000000008</v>
      </c>
      <c r="U528" t="str">
        <f>_xlfn.XLOOKUP(C528,Lookup!$A$3:$A$6,Lookup!$B$3:$B$6)</f>
        <v>Spring</v>
      </c>
      <c r="V528">
        <f>_xlfn.XLOOKUP(D528,Lookup!$D$3:$D$4,Lookup!$E$3:$E$4)</f>
        <v>2012</v>
      </c>
      <c r="W528" t="str">
        <f>_xlfn.XLOOKUP(I528,Lookup!$G$3:$G$6,Lookup!$H$3:$H$6)</f>
        <v>Clear</v>
      </c>
      <c r="X528" t="str">
        <f>_xlfn.XLOOKUP(E528,Lookup!$J$3:$J$14,Lookup!$K$3:$K$14)</f>
        <v>June</v>
      </c>
      <c r="Y528" t="str">
        <f>_xlfn.XLOOKUP(G528,Lookup!$M$3:$M$9,Lookup!$N$3:$N$9)</f>
        <v>Sunday</v>
      </c>
    </row>
    <row r="529" spans="1:25" x14ac:dyDescent="0.3">
      <c r="A529">
        <v>528</v>
      </c>
      <c r="B529" s="1">
        <v>41071</v>
      </c>
      <c r="C529">
        <v>2</v>
      </c>
      <c r="D529">
        <v>1</v>
      </c>
      <c r="E529">
        <v>6</v>
      </c>
      <c r="F529">
        <v>0</v>
      </c>
      <c r="G529">
        <v>1</v>
      </c>
      <c r="H529">
        <v>1</v>
      </c>
      <c r="I529">
        <v>2</v>
      </c>
      <c r="J529">
        <v>0.72083299999999995</v>
      </c>
      <c r="K529">
        <v>0.659721</v>
      </c>
      <c r="L529">
        <v>0.58791700000000002</v>
      </c>
      <c r="M529">
        <v>0.20771300000000001</v>
      </c>
      <c r="N529">
        <v>1017</v>
      </c>
      <c r="O529">
        <v>5647</v>
      </c>
      <c r="P529">
        <v>6664</v>
      </c>
      <c r="Q529">
        <f t="shared" si="32"/>
        <v>25.879151</v>
      </c>
      <c r="R529">
        <f t="shared" si="33"/>
        <v>27.541586000000002</v>
      </c>
      <c r="S529">
        <f t="shared" si="34"/>
        <v>58.791700000000006</v>
      </c>
      <c r="T529">
        <f t="shared" si="35"/>
        <v>13.916771000000001</v>
      </c>
      <c r="U529" t="str">
        <f>_xlfn.XLOOKUP(C529,Lookup!$A$3:$A$6,Lookup!$B$3:$B$6)</f>
        <v>Spring</v>
      </c>
      <c r="V529">
        <f>_xlfn.XLOOKUP(D529,Lookup!$D$3:$D$4,Lookup!$E$3:$E$4)</f>
        <v>2012</v>
      </c>
      <c r="W529" t="str">
        <f>_xlfn.XLOOKUP(I529,Lookup!$G$3:$G$6,Lookup!$H$3:$H$6)</f>
        <v>Misty/Cloudy</v>
      </c>
      <c r="X529" t="str">
        <f>_xlfn.XLOOKUP(E529,Lookup!$J$3:$J$14,Lookup!$K$3:$K$14)</f>
        <v>June</v>
      </c>
      <c r="Y529" t="str">
        <f>_xlfn.XLOOKUP(G529,Lookup!$M$3:$M$9,Lookup!$N$3:$N$9)</f>
        <v>Monday</v>
      </c>
    </row>
    <row r="530" spans="1:25" x14ac:dyDescent="0.3">
      <c r="A530">
        <v>529</v>
      </c>
      <c r="B530" s="1">
        <v>41072</v>
      </c>
      <c r="C530">
        <v>2</v>
      </c>
      <c r="D530">
        <v>1</v>
      </c>
      <c r="E530">
        <v>6</v>
      </c>
      <c r="F530">
        <v>0</v>
      </c>
      <c r="G530">
        <v>2</v>
      </c>
      <c r="H530">
        <v>1</v>
      </c>
      <c r="I530">
        <v>2</v>
      </c>
      <c r="J530">
        <v>0.65333300000000005</v>
      </c>
      <c r="K530">
        <v>0.59787500000000005</v>
      </c>
      <c r="L530">
        <v>0.83333299999999999</v>
      </c>
      <c r="M530">
        <v>0.21454599999999999</v>
      </c>
      <c r="N530">
        <v>477</v>
      </c>
      <c r="O530">
        <v>4495</v>
      </c>
      <c r="P530">
        <v>4972</v>
      </c>
      <c r="Q530">
        <f t="shared" si="32"/>
        <v>22.706651000000001</v>
      </c>
      <c r="R530">
        <f t="shared" si="33"/>
        <v>23.45975</v>
      </c>
      <c r="S530">
        <f t="shared" si="34"/>
        <v>83.333299999999994</v>
      </c>
      <c r="T530">
        <f t="shared" si="35"/>
        <v>14.374581999999998</v>
      </c>
      <c r="U530" t="str">
        <f>_xlfn.XLOOKUP(C530,Lookup!$A$3:$A$6,Lookup!$B$3:$B$6)</f>
        <v>Spring</v>
      </c>
      <c r="V530">
        <f>_xlfn.XLOOKUP(D530,Lookup!$D$3:$D$4,Lookup!$E$3:$E$4)</f>
        <v>2012</v>
      </c>
      <c r="W530" t="str">
        <f>_xlfn.XLOOKUP(I530,Lookup!$G$3:$G$6,Lookup!$H$3:$H$6)</f>
        <v>Misty/Cloudy</v>
      </c>
      <c r="X530" t="str">
        <f>_xlfn.XLOOKUP(E530,Lookup!$J$3:$J$14,Lookup!$K$3:$K$14)</f>
        <v>June</v>
      </c>
      <c r="Y530" t="str">
        <f>_xlfn.XLOOKUP(G530,Lookup!$M$3:$M$9,Lookup!$N$3:$N$9)</f>
        <v>Tuesday</v>
      </c>
    </row>
    <row r="531" spans="1:25" x14ac:dyDescent="0.3">
      <c r="A531">
        <v>530</v>
      </c>
      <c r="B531" s="1">
        <v>41073</v>
      </c>
      <c r="C531">
        <v>2</v>
      </c>
      <c r="D531">
        <v>1</v>
      </c>
      <c r="E531">
        <v>6</v>
      </c>
      <c r="F531">
        <v>0</v>
      </c>
      <c r="G531">
        <v>3</v>
      </c>
      <c r="H531">
        <v>1</v>
      </c>
      <c r="I531">
        <v>1</v>
      </c>
      <c r="J531">
        <v>0.655833</v>
      </c>
      <c r="K531">
        <v>0.61111700000000002</v>
      </c>
      <c r="L531">
        <v>0.58208300000000002</v>
      </c>
      <c r="M531">
        <v>0.343279</v>
      </c>
      <c r="N531">
        <v>1173</v>
      </c>
      <c r="O531">
        <v>6248</v>
      </c>
      <c r="P531">
        <v>7421</v>
      </c>
      <c r="Q531">
        <f t="shared" si="32"/>
        <v>22.824151000000001</v>
      </c>
      <c r="R531">
        <f t="shared" si="33"/>
        <v>24.333722000000002</v>
      </c>
      <c r="S531">
        <f t="shared" si="34"/>
        <v>58.208300000000001</v>
      </c>
      <c r="T531">
        <f t="shared" si="35"/>
        <v>22.999693000000001</v>
      </c>
      <c r="U531" t="str">
        <f>_xlfn.XLOOKUP(C531,Lookup!$A$3:$A$6,Lookup!$B$3:$B$6)</f>
        <v>Spring</v>
      </c>
      <c r="V531">
        <f>_xlfn.XLOOKUP(D531,Lookup!$D$3:$D$4,Lookup!$E$3:$E$4)</f>
        <v>2012</v>
      </c>
      <c r="W531" t="str">
        <f>_xlfn.XLOOKUP(I531,Lookup!$G$3:$G$6,Lookup!$H$3:$H$6)</f>
        <v>Clear</v>
      </c>
      <c r="X531" t="str">
        <f>_xlfn.XLOOKUP(E531,Lookup!$J$3:$J$14,Lookup!$K$3:$K$14)</f>
        <v>June</v>
      </c>
      <c r="Y531" t="str">
        <f>_xlfn.XLOOKUP(G531,Lookup!$M$3:$M$9,Lookup!$N$3:$N$9)</f>
        <v>Wednesday</v>
      </c>
    </row>
    <row r="532" spans="1:25" x14ac:dyDescent="0.3">
      <c r="A532">
        <v>531</v>
      </c>
      <c r="B532" s="1">
        <v>41074</v>
      </c>
      <c r="C532">
        <v>2</v>
      </c>
      <c r="D532">
        <v>1</v>
      </c>
      <c r="E532">
        <v>6</v>
      </c>
      <c r="F532">
        <v>0</v>
      </c>
      <c r="G532">
        <v>4</v>
      </c>
      <c r="H532">
        <v>1</v>
      </c>
      <c r="I532">
        <v>1</v>
      </c>
      <c r="J532">
        <v>0.64833300000000005</v>
      </c>
      <c r="K532">
        <v>0.62438300000000002</v>
      </c>
      <c r="L532">
        <v>0.56958299999999995</v>
      </c>
      <c r="M532">
        <v>0.25373299999999999</v>
      </c>
      <c r="N532">
        <v>1180</v>
      </c>
      <c r="O532">
        <v>6183</v>
      </c>
      <c r="P532">
        <v>7363</v>
      </c>
      <c r="Q532">
        <f t="shared" si="32"/>
        <v>22.471651000000001</v>
      </c>
      <c r="R532">
        <f t="shared" si="33"/>
        <v>25.209278000000005</v>
      </c>
      <c r="S532">
        <f t="shared" si="34"/>
        <v>56.958299999999994</v>
      </c>
      <c r="T532">
        <f t="shared" si="35"/>
        <v>17.000111</v>
      </c>
      <c r="U532" t="str">
        <f>_xlfn.XLOOKUP(C532,Lookup!$A$3:$A$6,Lookup!$B$3:$B$6)</f>
        <v>Spring</v>
      </c>
      <c r="V532">
        <f>_xlfn.XLOOKUP(D532,Lookup!$D$3:$D$4,Lookup!$E$3:$E$4)</f>
        <v>2012</v>
      </c>
      <c r="W532" t="str">
        <f>_xlfn.XLOOKUP(I532,Lookup!$G$3:$G$6,Lookup!$H$3:$H$6)</f>
        <v>Clear</v>
      </c>
      <c r="X532" t="str">
        <f>_xlfn.XLOOKUP(E532,Lookup!$J$3:$J$14,Lookup!$K$3:$K$14)</f>
        <v>June</v>
      </c>
      <c r="Y532" t="str">
        <f>_xlfn.XLOOKUP(G532,Lookup!$M$3:$M$9,Lookup!$N$3:$N$9)</f>
        <v>Thursday</v>
      </c>
    </row>
    <row r="533" spans="1:25" x14ac:dyDescent="0.3">
      <c r="A533">
        <v>532</v>
      </c>
      <c r="B533" s="1">
        <v>41075</v>
      </c>
      <c r="C533">
        <v>2</v>
      </c>
      <c r="D533">
        <v>1</v>
      </c>
      <c r="E533">
        <v>6</v>
      </c>
      <c r="F533">
        <v>0</v>
      </c>
      <c r="G533">
        <v>5</v>
      </c>
      <c r="H533">
        <v>1</v>
      </c>
      <c r="I533">
        <v>1</v>
      </c>
      <c r="J533">
        <v>0.63916700000000004</v>
      </c>
      <c r="K533">
        <v>0.59975400000000001</v>
      </c>
      <c r="L533">
        <v>0.58958299999999997</v>
      </c>
      <c r="M533">
        <v>0.176617</v>
      </c>
      <c r="N533">
        <v>1563</v>
      </c>
      <c r="O533">
        <v>6102</v>
      </c>
      <c r="P533">
        <v>7665</v>
      </c>
      <c r="Q533">
        <f t="shared" si="32"/>
        <v>22.040849000000001</v>
      </c>
      <c r="R533">
        <f t="shared" si="33"/>
        <v>23.583764000000002</v>
      </c>
      <c r="S533">
        <f t="shared" si="34"/>
        <v>58.958299999999994</v>
      </c>
      <c r="T533">
        <f t="shared" si="35"/>
        <v>11.833339</v>
      </c>
      <c r="U533" t="str">
        <f>_xlfn.XLOOKUP(C533,Lookup!$A$3:$A$6,Lookup!$B$3:$B$6)</f>
        <v>Spring</v>
      </c>
      <c r="V533">
        <f>_xlfn.XLOOKUP(D533,Lookup!$D$3:$D$4,Lookup!$E$3:$E$4)</f>
        <v>2012</v>
      </c>
      <c r="W533" t="str">
        <f>_xlfn.XLOOKUP(I533,Lookup!$G$3:$G$6,Lookup!$H$3:$H$6)</f>
        <v>Clear</v>
      </c>
      <c r="X533" t="str">
        <f>_xlfn.XLOOKUP(E533,Lookup!$J$3:$J$14,Lookup!$K$3:$K$14)</f>
        <v>June</v>
      </c>
      <c r="Y533" t="str">
        <f>_xlfn.XLOOKUP(G533,Lookup!$M$3:$M$9,Lookup!$N$3:$N$9)</f>
        <v>Friday</v>
      </c>
    </row>
    <row r="534" spans="1:25" x14ac:dyDescent="0.3">
      <c r="A534">
        <v>533</v>
      </c>
      <c r="B534" s="1">
        <v>41076</v>
      </c>
      <c r="C534">
        <v>2</v>
      </c>
      <c r="D534">
        <v>1</v>
      </c>
      <c r="E534">
        <v>6</v>
      </c>
      <c r="F534">
        <v>0</v>
      </c>
      <c r="G534">
        <v>6</v>
      </c>
      <c r="H534">
        <v>0</v>
      </c>
      <c r="I534">
        <v>1</v>
      </c>
      <c r="J534">
        <v>0.63166699999999998</v>
      </c>
      <c r="K534">
        <v>0.59470800000000001</v>
      </c>
      <c r="L534">
        <v>0.50416700000000003</v>
      </c>
      <c r="M534">
        <v>0.16666700000000001</v>
      </c>
      <c r="N534">
        <v>2963</v>
      </c>
      <c r="O534">
        <v>4739</v>
      </c>
      <c r="P534">
        <v>7702</v>
      </c>
      <c r="Q534">
        <f t="shared" si="32"/>
        <v>21.688348999999999</v>
      </c>
      <c r="R534">
        <f t="shared" si="33"/>
        <v>23.250728000000002</v>
      </c>
      <c r="S534">
        <f t="shared" si="34"/>
        <v>50.416700000000006</v>
      </c>
      <c r="T534">
        <f t="shared" si="35"/>
        <v>11.166689</v>
      </c>
      <c r="U534" t="str">
        <f>_xlfn.XLOOKUP(C534,Lookup!$A$3:$A$6,Lookup!$B$3:$B$6)</f>
        <v>Spring</v>
      </c>
      <c r="V534">
        <f>_xlfn.XLOOKUP(D534,Lookup!$D$3:$D$4,Lookup!$E$3:$E$4)</f>
        <v>2012</v>
      </c>
      <c r="W534" t="str">
        <f>_xlfn.XLOOKUP(I534,Lookup!$G$3:$G$6,Lookup!$H$3:$H$6)</f>
        <v>Clear</v>
      </c>
      <c r="X534" t="str">
        <f>_xlfn.XLOOKUP(E534,Lookup!$J$3:$J$14,Lookup!$K$3:$K$14)</f>
        <v>June</v>
      </c>
      <c r="Y534" t="str">
        <f>_xlfn.XLOOKUP(G534,Lookup!$M$3:$M$9,Lookup!$N$3:$N$9)</f>
        <v>Saturday</v>
      </c>
    </row>
    <row r="535" spans="1:25" x14ac:dyDescent="0.3">
      <c r="A535">
        <v>534</v>
      </c>
      <c r="B535" s="1">
        <v>41077</v>
      </c>
      <c r="C535">
        <v>2</v>
      </c>
      <c r="D535">
        <v>1</v>
      </c>
      <c r="E535">
        <v>6</v>
      </c>
      <c r="F535">
        <v>0</v>
      </c>
      <c r="G535">
        <v>0</v>
      </c>
      <c r="H535">
        <v>0</v>
      </c>
      <c r="I535">
        <v>1</v>
      </c>
      <c r="J535">
        <v>0.59250000000000003</v>
      </c>
      <c r="K535">
        <v>0.57197500000000001</v>
      </c>
      <c r="L535">
        <v>0.59875</v>
      </c>
      <c r="M535">
        <v>0.14490400000000001</v>
      </c>
      <c r="N535">
        <v>2634</v>
      </c>
      <c r="O535">
        <v>4344</v>
      </c>
      <c r="P535">
        <v>6978</v>
      </c>
      <c r="Q535">
        <f t="shared" si="32"/>
        <v>19.8475</v>
      </c>
      <c r="R535">
        <f t="shared" si="33"/>
        <v>21.750349999999997</v>
      </c>
      <c r="S535">
        <f t="shared" si="34"/>
        <v>59.875</v>
      </c>
      <c r="T535">
        <f t="shared" si="35"/>
        <v>9.7085679999999996</v>
      </c>
      <c r="U535" t="str">
        <f>_xlfn.XLOOKUP(C535,Lookup!$A$3:$A$6,Lookup!$B$3:$B$6)</f>
        <v>Spring</v>
      </c>
      <c r="V535">
        <f>_xlfn.XLOOKUP(D535,Lookup!$D$3:$D$4,Lookup!$E$3:$E$4)</f>
        <v>2012</v>
      </c>
      <c r="W535" t="str">
        <f>_xlfn.XLOOKUP(I535,Lookup!$G$3:$G$6,Lookup!$H$3:$H$6)</f>
        <v>Clear</v>
      </c>
      <c r="X535" t="str">
        <f>_xlfn.XLOOKUP(E535,Lookup!$J$3:$J$14,Lookup!$K$3:$K$14)</f>
        <v>June</v>
      </c>
      <c r="Y535" t="str">
        <f>_xlfn.XLOOKUP(G535,Lookup!$M$3:$M$9,Lookup!$N$3:$N$9)</f>
        <v>Sunday</v>
      </c>
    </row>
    <row r="536" spans="1:25" x14ac:dyDescent="0.3">
      <c r="A536">
        <v>535</v>
      </c>
      <c r="B536" s="1">
        <v>41078</v>
      </c>
      <c r="C536">
        <v>2</v>
      </c>
      <c r="D536">
        <v>1</v>
      </c>
      <c r="E536">
        <v>6</v>
      </c>
      <c r="F536">
        <v>0</v>
      </c>
      <c r="G536">
        <v>1</v>
      </c>
      <c r="H536">
        <v>1</v>
      </c>
      <c r="I536">
        <v>2</v>
      </c>
      <c r="J536">
        <v>0.56833299999999998</v>
      </c>
      <c r="K536">
        <v>0.54484200000000005</v>
      </c>
      <c r="L536">
        <v>0.77791699999999997</v>
      </c>
      <c r="M536">
        <v>0.17474600000000001</v>
      </c>
      <c r="N536">
        <v>653</v>
      </c>
      <c r="O536">
        <v>4446</v>
      </c>
      <c r="P536">
        <v>5099</v>
      </c>
      <c r="Q536">
        <f t="shared" si="32"/>
        <v>18.711651</v>
      </c>
      <c r="R536">
        <f t="shared" si="33"/>
        <v>19.959572000000001</v>
      </c>
      <c r="S536">
        <f t="shared" si="34"/>
        <v>77.791699999999992</v>
      </c>
      <c r="T536">
        <f t="shared" si="35"/>
        <v>11.707982000000001</v>
      </c>
      <c r="U536" t="str">
        <f>_xlfn.XLOOKUP(C536,Lookup!$A$3:$A$6,Lookup!$B$3:$B$6)</f>
        <v>Spring</v>
      </c>
      <c r="V536">
        <f>_xlfn.XLOOKUP(D536,Lookup!$D$3:$D$4,Lookup!$E$3:$E$4)</f>
        <v>2012</v>
      </c>
      <c r="W536" t="str">
        <f>_xlfn.XLOOKUP(I536,Lookup!$G$3:$G$6,Lookup!$H$3:$H$6)</f>
        <v>Misty/Cloudy</v>
      </c>
      <c r="X536" t="str">
        <f>_xlfn.XLOOKUP(E536,Lookup!$J$3:$J$14,Lookup!$K$3:$K$14)</f>
        <v>June</v>
      </c>
      <c r="Y536" t="str">
        <f>_xlfn.XLOOKUP(G536,Lookup!$M$3:$M$9,Lookup!$N$3:$N$9)</f>
        <v>Monday</v>
      </c>
    </row>
    <row r="537" spans="1:25" x14ac:dyDescent="0.3">
      <c r="A537">
        <v>536</v>
      </c>
      <c r="B537" s="1">
        <v>41079</v>
      </c>
      <c r="C537">
        <v>2</v>
      </c>
      <c r="D537">
        <v>1</v>
      </c>
      <c r="E537">
        <v>6</v>
      </c>
      <c r="F537">
        <v>0</v>
      </c>
      <c r="G537">
        <v>2</v>
      </c>
      <c r="H537">
        <v>1</v>
      </c>
      <c r="I537">
        <v>1</v>
      </c>
      <c r="J537">
        <v>0.68833299999999997</v>
      </c>
      <c r="K537">
        <v>0.65469200000000005</v>
      </c>
      <c r="L537">
        <v>0.69</v>
      </c>
      <c r="M537">
        <v>0.14801700000000001</v>
      </c>
      <c r="N537">
        <v>968</v>
      </c>
      <c r="O537">
        <v>5857</v>
      </c>
      <c r="P537">
        <v>6825</v>
      </c>
      <c r="Q537">
        <f t="shared" si="32"/>
        <v>24.351650999999997</v>
      </c>
      <c r="R537">
        <f t="shared" si="33"/>
        <v>27.209672000000005</v>
      </c>
      <c r="S537">
        <f t="shared" si="34"/>
        <v>69</v>
      </c>
      <c r="T537">
        <f t="shared" si="35"/>
        <v>9.9171390000000006</v>
      </c>
      <c r="U537" t="str">
        <f>_xlfn.XLOOKUP(C537,Lookup!$A$3:$A$6,Lookup!$B$3:$B$6)</f>
        <v>Spring</v>
      </c>
      <c r="V537">
        <f>_xlfn.XLOOKUP(D537,Lookup!$D$3:$D$4,Lookup!$E$3:$E$4)</f>
        <v>2012</v>
      </c>
      <c r="W537" t="str">
        <f>_xlfn.XLOOKUP(I537,Lookup!$G$3:$G$6,Lookup!$H$3:$H$6)</f>
        <v>Clear</v>
      </c>
      <c r="X537" t="str">
        <f>_xlfn.XLOOKUP(E537,Lookup!$J$3:$J$14,Lookup!$K$3:$K$14)</f>
        <v>June</v>
      </c>
      <c r="Y537" t="str">
        <f>_xlfn.XLOOKUP(G537,Lookup!$M$3:$M$9,Lookup!$N$3:$N$9)</f>
        <v>Tuesday</v>
      </c>
    </row>
    <row r="538" spans="1:25" x14ac:dyDescent="0.3">
      <c r="A538">
        <v>537</v>
      </c>
      <c r="B538" s="1">
        <v>41080</v>
      </c>
      <c r="C538">
        <v>2</v>
      </c>
      <c r="D538">
        <v>1</v>
      </c>
      <c r="E538">
        <v>6</v>
      </c>
      <c r="F538">
        <v>0</v>
      </c>
      <c r="G538">
        <v>3</v>
      </c>
      <c r="H538">
        <v>1</v>
      </c>
      <c r="I538">
        <v>1</v>
      </c>
      <c r="J538">
        <v>0.78249999999999997</v>
      </c>
      <c r="K538">
        <v>0.72097500000000003</v>
      </c>
      <c r="L538">
        <v>0.59208300000000003</v>
      </c>
      <c r="M538">
        <v>0.113812</v>
      </c>
      <c r="N538">
        <v>872</v>
      </c>
      <c r="O538">
        <v>5339</v>
      </c>
      <c r="P538">
        <v>6211</v>
      </c>
      <c r="Q538">
        <f t="shared" si="32"/>
        <v>28.777499999999996</v>
      </c>
      <c r="R538">
        <f t="shared" si="33"/>
        <v>31.584350000000001</v>
      </c>
      <c r="S538">
        <f t="shared" si="34"/>
        <v>59.208300000000001</v>
      </c>
      <c r="T538">
        <f t="shared" si="35"/>
        <v>7.6254039999999996</v>
      </c>
      <c r="U538" t="str">
        <f>_xlfn.XLOOKUP(C538,Lookup!$A$3:$A$6,Lookup!$B$3:$B$6)</f>
        <v>Spring</v>
      </c>
      <c r="V538">
        <f>_xlfn.XLOOKUP(D538,Lookup!$D$3:$D$4,Lookup!$E$3:$E$4)</f>
        <v>2012</v>
      </c>
      <c r="W538" t="str">
        <f>_xlfn.XLOOKUP(I538,Lookup!$G$3:$G$6,Lookup!$H$3:$H$6)</f>
        <v>Clear</v>
      </c>
      <c r="X538" t="str">
        <f>_xlfn.XLOOKUP(E538,Lookup!$J$3:$J$14,Lookup!$K$3:$K$14)</f>
        <v>June</v>
      </c>
      <c r="Y538" t="str">
        <f>_xlfn.XLOOKUP(G538,Lookup!$M$3:$M$9,Lookup!$N$3:$N$9)</f>
        <v>Wednesday</v>
      </c>
    </row>
    <row r="539" spans="1:25" x14ac:dyDescent="0.3">
      <c r="A539">
        <v>538</v>
      </c>
      <c r="B539" s="1">
        <v>41081</v>
      </c>
      <c r="C539">
        <v>3</v>
      </c>
      <c r="D539">
        <v>1</v>
      </c>
      <c r="E539">
        <v>6</v>
      </c>
      <c r="F539">
        <v>0</v>
      </c>
      <c r="G539">
        <v>4</v>
      </c>
      <c r="H539">
        <v>1</v>
      </c>
      <c r="I539">
        <v>1</v>
      </c>
      <c r="J539">
        <v>0.80583300000000002</v>
      </c>
      <c r="K539">
        <v>0.75254200000000004</v>
      </c>
      <c r="L539">
        <v>0.56791700000000001</v>
      </c>
      <c r="M539">
        <v>0.118787</v>
      </c>
      <c r="N539">
        <v>778</v>
      </c>
      <c r="O539">
        <v>5127</v>
      </c>
      <c r="P539">
        <v>5905</v>
      </c>
      <c r="Q539">
        <f t="shared" si="32"/>
        <v>29.874150999999998</v>
      </c>
      <c r="R539">
        <f t="shared" si="33"/>
        <v>33.667771999999999</v>
      </c>
      <c r="S539">
        <f t="shared" si="34"/>
        <v>56.791699999999999</v>
      </c>
      <c r="T539">
        <f t="shared" si="35"/>
        <v>7.9587289999999999</v>
      </c>
      <c r="U539" t="str">
        <f>_xlfn.XLOOKUP(C539,Lookup!$A$3:$A$6,Lookup!$B$3:$B$6)</f>
        <v>Summer</v>
      </c>
      <c r="V539">
        <f>_xlfn.XLOOKUP(D539,Lookup!$D$3:$D$4,Lookup!$E$3:$E$4)</f>
        <v>2012</v>
      </c>
      <c r="W539" t="str">
        <f>_xlfn.XLOOKUP(I539,Lookup!$G$3:$G$6,Lookup!$H$3:$H$6)</f>
        <v>Clear</v>
      </c>
      <c r="X539" t="str">
        <f>_xlfn.XLOOKUP(E539,Lookup!$J$3:$J$14,Lookup!$K$3:$K$14)</f>
        <v>June</v>
      </c>
      <c r="Y539" t="str">
        <f>_xlfn.XLOOKUP(G539,Lookup!$M$3:$M$9,Lookup!$N$3:$N$9)</f>
        <v>Thursday</v>
      </c>
    </row>
    <row r="540" spans="1:25" x14ac:dyDescent="0.3">
      <c r="A540">
        <v>539</v>
      </c>
      <c r="B540" s="1">
        <v>41082</v>
      </c>
      <c r="C540">
        <v>3</v>
      </c>
      <c r="D540">
        <v>1</v>
      </c>
      <c r="E540">
        <v>6</v>
      </c>
      <c r="F540">
        <v>0</v>
      </c>
      <c r="G540">
        <v>5</v>
      </c>
      <c r="H540">
        <v>1</v>
      </c>
      <c r="I540">
        <v>1</v>
      </c>
      <c r="J540">
        <v>0.77749999999999997</v>
      </c>
      <c r="K540">
        <v>0.72412100000000001</v>
      </c>
      <c r="L540">
        <v>0.57374999999999998</v>
      </c>
      <c r="M540">
        <v>0.182842</v>
      </c>
      <c r="N540">
        <v>964</v>
      </c>
      <c r="O540">
        <v>4859</v>
      </c>
      <c r="P540">
        <v>5823</v>
      </c>
      <c r="Q540">
        <f t="shared" si="32"/>
        <v>28.542499999999997</v>
      </c>
      <c r="R540">
        <f t="shared" si="33"/>
        <v>31.791986000000001</v>
      </c>
      <c r="S540">
        <f t="shared" si="34"/>
        <v>57.375</v>
      </c>
      <c r="T540">
        <f t="shared" si="35"/>
        <v>12.250414000000001</v>
      </c>
      <c r="U540" t="str">
        <f>_xlfn.XLOOKUP(C540,Lookup!$A$3:$A$6,Lookup!$B$3:$B$6)</f>
        <v>Summer</v>
      </c>
      <c r="V540">
        <f>_xlfn.XLOOKUP(D540,Lookup!$D$3:$D$4,Lookup!$E$3:$E$4)</f>
        <v>2012</v>
      </c>
      <c r="W540" t="str">
        <f>_xlfn.XLOOKUP(I540,Lookup!$G$3:$G$6,Lookup!$H$3:$H$6)</f>
        <v>Clear</v>
      </c>
      <c r="X540" t="str">
        <f>_xlfn.XLOOKUP(E540,Lookup!$J$3:$J$14,Lookup!$K$3:$K$14)</f>
        <v>June</v>
      </c>
      <c r="Y540" t="str">
        <f>_xlfn.XLOOKUP(G540,Lookup!$M$3:$M$9,Lookup!$N$3:$N$9)</f>
        <v>Friday</v>
      </c>
    </row>
    <row r="541" spans="1:25" x14ac:dyDescent="0.3">
      <c r="A541">
        <v>540</v>
      </c>
      <c r="B541" s="1">
        <v>41083</v>
      </c>
      <c r="C541">
        <v>3</v>
      </c>
      <c r="D541">
        <v>1</v>
      </c>
      <c r="E541">
        <v>6</v>
      </c>
      <c r="F541">
        <v>0</v>
      </c>
      <c r="G541">
        <v>6</v>
      </c>
      <c r="H541">
        <v>0</v>
      </c>
      <c r="I541">
        <v>1</v>
      </c>
      <c r="J541">
        <v>0.73166699999999996</v>
      </c>
      <c r="K541">
        <v>0.65279200000000004</v>
      </c>
      <c r="L541">
        <v>0.53458300000000003</v>
      </c>
      <c r="M541">
        <v>0.17972099999999999</v>
      </c>
      <c r="N541">
        <v>2657</v>
      </c>
      <c r="O541">
        <v>4801</v>
      </c>
      <c r="P541">
        <v>7458</v>
      </c>
      <c r="Q541">
        <f t="shared" si="32"/>
        <v>26.388348999999998</v>
      </c>
      <c r="R541">
        <f t="shared" si="33"/>
        <v>27.084272000000006</v>
      </c>
      <c r="S541">
        <f t="shared" si="34"/>
        <v>53.458300000000001</v>
      </c>
      <c r="T541">
        <f t="shared" si="35"/>
        <v>12.041307</v>
      </c>
      <c r="U541" t="str">
        <f>_xlfn.XLOOKUP(C541,Lookup!$A$3:$A$6,Lookup!$B$3:$B$6)</f>
        <v>Summer</v>
      </c>
      <c r="V541">
        <f>_xlfn.XLOOKUP(D541,Lookup!$D$3:$D$4,Lookup!$E$3:$E$4)</f>
        <v>2012</v>
      </c>
      <c r="W541" t="str">
        <f>_xlfn.XLOOKUP(I541,Lookup!$G$3:$G$6,Lookup!$H$3:$H$6)</f>
        <v>Clear</v>
      </c>
      <c r="X541" t="str">
        <f>_xlfn.XLOOKUP(E541,Lookup!$J$3:$J$14,Lookup!$K$3:$K$14)</f>
        <v>June</v>
      </c>
      <c r="Y541" t="str">
        <f>_xlfn.XLOOKUP(G541,Lookup!$M$3:$M$9,Lookup!$N$3:$N$9)</f>
        <v>Saturday</v>
      </c>
    </row>
    <row r="542" spans="1:25" x14ac:dyDescent="0.3">
      <c r="A542">
        <v>541</v>
      </c>
      <c r="B542" s="1">
        <v>41084</v>
      </c>
      <c r="C542">
        <v>3</v>
      </c>
      <c r="D542">
        <v>1</v>
      </c>
      <c r="E542">
        <v>6</v>
      </c>
      <c r="F542">
        <v>0</v>
      </c>
      <c r="G542">
        <v>0</v>
      </c>
      <c r="H542">
        <v>0</v>
      </c>
      <c r="I542">
        <v>1</v>
      </c>
      <c r="J542">
        <v>0.74333300000000002</v>
      </c>
      <c r="K542">
        <v>0.67425400000000002</v>
      </c>
      <c r="L542">
        <v>0.47916700000000001</v>
      </c>
      <c r="M542">
        <v>0.14552499999999999</v>
      </c>
      <c r="N542">
        <v>2551</v>
      </c>
      <c r="O542">
        <v>4340</v>
      </c>
      <c r="P542">
        <v>6891</v>
      </c>
      <c r="Q542">
        <f t="shared" si="32"/>
        <v>26.936650999999998</v>
      </c>
      <c r="R542">
        <f t="shared" si="33"/>
        <v>28.500764000000004</v>
      </c>
      <c r="S542">
        <f t="shared" si="34"/>
        <v>47.916699999999999</v>
      </c>
      <c r="T542">
        <f t="shared" si="35"/>
        <v>9.7501749999999987</v>
      </c>
      <c r="U542" t="str">
        <f>_xlfn.XLOOKUP(C542,Lookup!$A$3:$A$6,Lookup!$B$3:$B$6)</f>
        <v>Summer</v>
      </c>
      <c r="V542">
        <f>_xlfn.XLOOKUP(D542,Lookup!$D$3:$D$4,Lookup!$E$3:$E$4)</f>
        <v>2012</v>
      </c>
      <c r="W542" t="str">
        <f>_xlfn.XLOOKUP(I542,Lookup!$G$3:$G$6,Lookup!$H$3:$H$6)</f>
        <v>Clear</v>
      </c>
      <c r="X542" t="str">
        <f>_xlfn.XLOOKUP(E542,Lookup!$J$3:$J$14,Lookup!$K$3:$K$14)</f>
        <v>June</v>
      </c>
      <c r="Y542" t="str">
        <f>_xlfn.XLOOKUP(G542,Lookup!$M$3:$M$9,Lookup!$N$3:$N$9)</f>
        <v>Sunday</v>
      </c>
    </row>
    <row r="543" spans="1:25" x14ac:dyDescent="0.3">
      <c r="A543">
        <v>542</v>
      </c>
      <c r="B543" s="1">
        <v>41085</v>
      </c>
      <c r="C543">
        <v>3</v>
      </c>
      <c r="D543">
        <v>1</v>
      </c>
      <c r="E543">
        <v>6</v>
      </c>
      <c r="F543">
        <v>0</v>
      </c>
      <c r="G543">
        <v>1</v>
      </c>
      <c r="H543">
        <v>1</v>
      </c>
      <c r="I543">
        <v>1</v>
      </c>
      <c r="J543">
        <v>0.71583300000000005</v>
      </c>
      <c r="K543">
        <v>0.65404200000000001</v>
      </c>
      <c r="L543">
        <v>0.50416700000000003</v>
      </c>
      <c r="M543">
        <v>0.30038300000000001</v>
      </c>
      <c r="N543">
        <v>1139</v>
      </c>
      <c r="O543">
        <v>5640</v>
      </c>
      <c r="P543">
        <v>6779</v>
      </c>
      <c r="Q543">
        <f t="shared" si="32"/>
        <v>25.644151000000001</v>
      </c>
      <c r="R543">
        <f t="shared" si="33"/>
        <v>27.166772000000002</v>
      </c>
      <c r="S543">
        <f t="shared" si="34"/>
        <v>50.416700000000006</v>
      </c>
      <c r="T543">
        <f t="shared" si="35"/>
        <v>20.125661000000001</v>
      </c>
      <c r="U543" t="str">
        <f>_xlfn.XLOOKUP(C543,Lookup!$A$3:$A$6,Lookup!$B$3:$B$6)</f>
        <v>Summer</v>
      </c>
      <c r="V543">
        <f>_xlfn.XLOOKUP(D543,Lookup!$D$3:$D$4,Lookup!$E$3:$E$4)</f>
        <v>2012</v>
      </c>
      <c r="W543" t="str">
        <f>_xlfn.XLOOKUP(I543,Lookup!$G$3:$G$6,Lookup!$H$3:$H$6)</f>
        <v>Clear</v>
      </c>
      <c r="X543" t="str">
        <f>_xlfn.XLOOKUP(E543,Lookup!$J$3:$J$14,Lookup!$K$3:$K$14)</f>
        <v>June</v>
      </c>
      <c r="Y543" t="str">
        <f>_xlfn.XLOOKUP(G543,Lookup!$M$3:$M$9,Lookup!$N$3:$N$9)</f>
        <v>Monday</v>
      </c>
    </row>
    <row r="544" spans="1:25" x14ac:dyDescent="0.3">
      <c r="A544">
        <v>543</v>
      </c>
      <c r="B544" s="1">
        <v>41086</v>
      </c>
      <c r="C544">
        <v>3</v>
      </c>
      <c r="D544">
        <v>1</v>
      </c>
      <c r="E544">
        <v>6</v>
      </c>
      <c r="F544">
        <v>0</v>
      </c>
      <c r="G544">
        <v>2</v>
      </c>
      <c r="H544">
        <v>1</v>
      </c>
      <c r="I544">
        <v>1</v>
      </c>
      <c r="J544">
        <v>0.63083299999999998</v>
      </c>
      <c r="K544">
        <v>0.59470400000000001</v>
      </c>
      <c r="L544">
        <v>0.37333300000000003</v>
      </c>
      <c r="M544">
        <v>0.34764200000000001</v>
      </c>
      <c r="N544">
        <v>1077</v>
      </c>
      <c r="O544">
        <v>6365</v>
      </c>
      <c r="P544">
        <v>7442</v>
      </c>
      <c r="Q544">
        <f t="shared" si="32"/>
        <v>21.649151</v>
      </c>
      <c r="R544">
        <f t="shared" si="33"/>
        <v>23.250464000000001</v>
      </c>
      <c r="S544">
        <f t="shared" si="34"/>
        <v>37.333300000000001</v>
      </c>
      <c r="T544">
        <f t="shared" si="35"/>
        <v>23.292014000000002</v>
      </c>
      <c r="U544" t="str">
        <f>_xlfn.XLOOKUP(C544,Lookup!$A$3:$A$6,Lookup!$B$3:$B$6)</f>
        <v>Summer</v>
      </c>
      <c r="V544">
        <f>_xlfn.XLOOKUP(D544,Lookup!$D$3:$D$4,Lookup!$E$3:$E$4)</f>
        <v>2012</v>
      </c>
      <c r="W544" t="str">
        <f>_xlfn.XLOOKUP(I544,Lookup!$G$3:$G$6,Lookup!$H$3:$H$6)</f>
        <v>Clear</v>
      </c>
      <c r="X544" t="str">
        <f>_xlfn.XLOOKUP(E544,Lookup!$J$3:$J$14,Lookup!$K$3:$K$14)</f>
        <v>June</v>
      </c>
      <c r="Y544" t="str">
        <f>_xlfn.XLOOKUP(G544,Lookup!$M$3:$M$9,Lookup!$N$3:$N$9)</f>
        <v>Tuesday</v>
      </c>
    </row>
    <row r="545" spans="1:25" x14ac:dyDescent="0.3">
      <c r="A545">
        <v>544</v>
      </c>
      <c r="B545" s="1">
        <v>41087</v>
      </c>
      <c r="C545">
        <v>3</v>
      </c>
      <c r="D545">
        <v>1</v>
      </c>
      <c r="E545">
        <v>6</v>
      </c>
      <c r="F545">
        <v>0</v>
      </c>
      <c r="G545">
        <v>3</v>
      </c>
      <c r="H545">
        <v>1</v>
      </c>
      <c r="I545">
        <v>1</v>
      </c>
      <c r="J545">
        <v>0.69750000000000001</v>
      </c>
      <c r="K545">
        <v>0.64079200000000003</v>
      </c>
      <c r="L545">
        <v>0.36</v>
      </c>
      <c r="M545">
        <v>0.27177499999999999</v>
      </c>
      <c r="N545">
        <v>1077</v>
      </c>
      <c r="O545">
        <v>6258</v>
      </c>
      <c r="P545">
        <v>7335</v>
      </c>
      <c r="Q545">
        <f t="shared" si="32"/>
        <v>24.782499999999999</v>
      </c>
      <c r="R545">
        <f t="shared" si="33"/>
        <v>26.292272000000004</v>
      </c>
      <c r="S545">
        <f t="shared" si="34"/>
        <v>36</v>
      </c>
      <c r="T545">
        <f t="shared" si="35"/>
        <v>18.208925000000001</v>
      </c>
      <c r="U545" t="str">
        <f>_xlfn.XLOOKUP(C545,Lookup!$A$3:$A$6,Lookup!$B$3:$B$6)</f>
        <v>Summer</v>
      </c>
      <c r="V545">
        <f>_xlfn.XLOOKUP(D545,Lookup!$D$3:$D$4,Lookup!$E$3:$E$4)</f>
        <v>2012</v>
      </c>
      <c r="W545" t="str">
        <f>_xlfn.XLOOKUP(I545,Lookup!$G$3:$G$6,Lookup!$H$3:$H$6)</f>
        <v>Clear</v>
      </c>
      <c r="X545" t="str">
        <f>_xlfn.XLOOKUP(E545,Lookup!$J$3:$J$14,Lookup!$K$3:$K$14)</f>
        <v>June</v>
      </c>
      <c r="Y545" t="str">
        <f>_xlfn.XLOOKUP(G545,Lookup!$M$3:$M$9,Lookup!$N$3:$N$9)</f>
        <v>Wednesday</v>
      </c>
    </row>
    <row r="546" spans="1:25" x14ac:dyDescent="0.3">
      <c r="A546">
        <v>545</v>
      </c>
      <c r="B546" s="1">
        <v>41088</v>
      </c>
      <c r="C546">
        <v>3</v>
      </c>
      <c r="D546">
        <v>1</v>
      </c>
      <c r="E546">
        <v>6</v>
      </c>
      <c r="F546">
        <v>0</v>
      </c>
      <c r="G546">
        <v>4</v>
      </c>
      <c r="H546">
        <v>1</v>
      </c>
      <c r="I546">
        <v>1</v>
      </c>
      <c r="J546">
        <v>0.74916700000000003</v>
      </c>
      <c r="K546">
        <v>0.675512</v>
      </c>
      <c r="L546">
        <v>0.42249999999999999</v>
      </c>
      <c r="M546">
        <v>0.17165</v>
      </c>
      <c r="N546">
        <v>921</v>
      </c>
      <c r="O546">
        <v>5958</v>
      </c>
      <c r="P546">
        <v>6879</v>
      </c>
      <c r="Q546">
        <f t="shared" si="32"/>
        <v>27.210849000000003</v>
      </c>
      <c r="R546">
        <f t="shared" si="33"/>
        <v>28.583792000000003</v>
      </c>
      <c r="S546">
        <f t="shared" si="34"/>
        <v>42.25</v>
      </c>
      <c r="T546">
        <f t="shared" si="35"/>
        <v>11.50055</v>
      </c>
      <c r="U546" t="str">
        <f>_xlfn.XLOOKUP(C546,Lookup!$A$3:$A$6,Lookup!$B$3:$B$6)</f>
        <v>Summer</v>
      </c>
      <c r="V546">
        <f>_xlfn.XLOOKUP(D546,Lookup!$D$3:$D$4,Lookup!$E$3:$E$4)</f>
        <v>2012</v>
      </c>
      <c r="W546" t="str">
        <f>_xlfn.XLOOKUP(I546,Lookup!$G$3:$G$6,Lookup!$H$3:$H$6)</f>
        <v>Clear</v>
      </c>
      <c r="X546" t="str">
        <f>_xlfn.XLOOKUP(E546,Lookup!$J$3:$J$14,Lookup!$K$3:$K$14)</f>
        <v>June</v>
      </c>
      <c r="Y546" t="str">
        <f>_xlfn.XLOOKUP(G546,Lookup!$M$3:$M$9,Lookup!$N$3:$N$9)</f>
        <v>Thursday</v>
      </c>
    </row>
    <row r="547" spans="1:25" x14ac:dyDescent="0.3">
      <c r="A547">
        <v>546</v>
      </c>
      <c r="B547" s="1">
        <v>41089</v>
      </c>
      <c r="C547">
        <v>3</v>
      </c>
      <c r="D547">
        <v>1</v>
      </c>
      <c r="E547">
        <v>6</v>
      </c>
      <c r="F547">
        <v>0</v>
      </c>
      <c r="G547">
        <v>5</v>
      </c>
      <c r="H547">
        <v>1</v>
      </c>
      <c r="I547">
        <v>1</v>
      </c>
      <c r="J547">
        <v>0.83416699999999999</v>
      </c>
      <c r="K547">
        <v>0.78661300000000001</v>
      </c>
      <c r="L547">
        <v>0.48875000000000002</v>
      </c>
      <c r="M547">
        <v>0.16541700000000001</v>
      </c>
      <c r="N547">
        <v>829</v>
      </c>
      <c r="O547">
        <v>4634</v>
      </c>
      <c r="P547">
        <v>5463</v>
      </c>
      <c r="Q547">
        <f t="shared" si="32"/>
        <v>31.205849000000001</v>
      </c>
      <c r="R547">
        <f t="shared" si="33"/>
        <v>35.916457999999999</v>
      </c>
      <c r="S547">
        <f t="shared" si="34"/>
        <v>48.875</v>
      </c>
      <c r="T547">
        <f t="shared" si="35"/>
        <v>11.082939000000001</v>
      </c>
      <c r="U547" t="str">
        <f>_xlfn.XLOOKUP(C547,Lookup!$A$3:$A$6,Lookup!$B$3:$B$6)</f>
        <v>Summer</v>
      </c>
      <c r="V547">
        <f>_xlfn.XLOOKUP(D547,Lookup!$D$3:$D$4,Lookup!$E$3:$E$4)</f>
        <v>2012</v>
      </c>
      <c r="W547" t="str">
        <f>_xlfn.XLOOKUP(I547,Lookup!$G$3:$G$6,Lookup!$H$3:$H$6)</f>
        <v>Clear</v>
      </c>
      <c r="X547" t="str">
        <f>_xlfn.XLOOKUP(E547,Lookup!$J$3:$J$14,Lookup!$K$3:$K$14)</f>
        <v>June</v>
      </c>
      <c r="Y547" t="str">
        <f>_xlfn.XLOOKUP(G547,Lookup!$M$3:$M$9,Lookup!$N$3:$N$9)</f>
        <v>Friday</v>
      </c>
    </row>
    <row r="548" spans="1:25" x14ac:dyDescent="0.3">
      <c r="A548">
        <v>547</v>
      </c>
      <c r="B548" s="1">
        <v>41090</v>
      </c>
      <c r="C548">
        <v>3</v>
      </c>
      <c r="D548">
        <v>1</v>
      </c>
      <c r="E548">
        <v>6</v>
      </c>
      <c r="F548">
        <v>0</v>
      </c>
      <c r="G548">
        <v>6</v>
      </c>
      <c r="H548">
        <v>0</v>
      </c>
      <c r="I548">
        <v>1</v>
      </c>
      <c r="J548">
        <v>0.76500000000000001</v>
      </c>
      <c r="K548">
        <v>0.68750800000000001</v>
      </c>
      <c r="L548">
        <v>0.60124999999999995</v>
      </c>
      <c r="M548">
        <v>0.16107099999999999</v>
      </c>
      <c r="N548">
        <v>1455</v>
      </c>
      <c r="O548">
        <v>4232</v>
      </c>
      <c r="P548">
        <v>5687</v>
      </c>
      <c r="Q548">
        <f t="shared" si="32"/>
        <v>27.954999999999998</v>
      </c>
      <c r="R548">
        <f t="shared" si="33"/>
        <v>29.375528000000003</v>
      </c>
      <c r="S548">
        <f t="shared" si="34"/>
        <v>60.124999999999993</v>
      </c>
      <c r="T548">
        <f t="shared" si="35"/>
        <v>10.791756999999999</v>
      </c>
      <c r="U548" t="str">
        <f>_xlfn.XLOOKUP(C548,Lookup!$A$3:$A$6,Lookup!$B$3:$B$6)</f>
        <v>Summer</v>
      </c>
      <c r="V548">
        <f>_xlfn.XLOOKUP(D548,Lookup!$D$3:$D$4,Lookup!$E$3:$E$4)</f>
        <v>2012</v>
      </c>
      <c r="W548" t="str">
        <f>_xlfn.XLOOKUP(I548,Lookup!$G$3:$G$6,Lookup!$H$3:$H$6)</f>
        <v>Clear</v>
      </c>
      <c r="X548" t="str">
        <f>_xlfn.XLOOKUP(E548,Lookup!$J$3:$J$14,Lookup!$K$3:$K$14)</f>
        <v>June</v>
      </c>
      <c r="Y548" t="str">
        <f>_xlfn.XLOOKUP(G548,Lookup!$M$3:$M$9,Lookup!$N$3:$N$9)</f>
        <v>Saturday</v>
      </c>
    </row>
    <row r="549" spans="1:25" x14ac:dyDescent="0.3">
      <c r="A549">
        <v>548</v>
      </c>
      <c r="B549" s="1">
        <v>41091</v>
      </c>
      <c r="C549">
        <v>3</v>
      </c>
      <c r="D549">
        <v>1</v>
      </c>
      <c r="E549">
        <v>7</v>
      </c>
      <c r="F549">
        <v>0</v>
      </c>
      <c r="G549">
        <v>0</v>
      </c>
      <c r="H549">
        <v>0</v>
      </c>
      <c r="I549">
        <v>1</v>
      </c>
      <c r="J549">
        <v>0.81583300000000003</v>
      </c>
      <c r="K549">
        <v>0.75062899999999999</v>
      </c>
      <c r="L549">
        <v>0.51875000000000004</v>
      </c>
      <c r="M549">
        <v>0.16852900000000001</v>
      </c>
      <c r="N549">
        <v>1421</v>
      </c>
      <c r="O549">
        <v>4110</v>
      </c>
      <c r="P549">
        <v>5531</v>
      </c>
      <c r="Q549">
        <f t="shared" si="32"/>
        <v>30.344151000000004</v>
      </c>
      <c r="R549">
        <f t="shared" si="33"/>
        <v>33.541513999999999</v>
      </c>
      <c r="S549">
        <f t="shared" si="34"/>
        <v>51.875000000000007</v>
      </c>
      <c r="T549">
        <f t="shared" si="35"/>
        <v>11.291443000000001</v>
      </c>
      <c r="U549" t="str">
        <f>_xlfn.XLOOKUP(C549,Lookup!$A$3:$A$6,Lookup!$B$3:$B$6)</f>
        <v>Summer</v>
      </c>
      <c r="V549">
        <f>_xlfn.XLOOKUP(D549,Lookup!$D$3:$D$4,Lookup!$E$3:$E$4)</f>
        <v>2012</v>
      </c>
      <c r="W549" t="str">
        <f>_xlfn.XLOOKUP(I549,Lookup!$G$3:$G$6,Lookup!$H$3:$H$6)</f>
        <v>Clear</v>
      </c>
      <c r="X549" t="str">
        <f>_xlfn.XLOOKUP(E549,Lookup!$J$3:$J$14,Lookup!$K$3:$K$14)</f>
        <v>July</v>
      </c>
      <c r="Y549" t="str">
        <f>_xlfn.XLOOKUP(G549,Lookup!$M$3:$M$9,Lookup!$N$3:$N$9)</f>
        <v>Sunday</v>
      </c>
    </row>
    <row r="550" spans="1:25" x14ac:dyDescent="0.3">
      <c r="A550">
        <v>549</v>
      </c>
      <c r="B550" s="1">
        <v>41092</v>
      </c>
      <c r="C550">
        <v>3</v>
      </c>
      <c r="D550">
        <v>1</v>
      </c>
      <c r="E550">
        <v>7</v>
      </c>
      <c r="F550">
        <v>0</v>
      </c>
      <c r="G550">
        <v>1</v>
      </c>
      <c r="H550">
        <v>1</v>
      </c>
      <c r="I550">
        <v>1</v>
      </c>
      <c r="J550">
        <v>0.781667</v>
      </c>
      <c r="K550">
        <v>0.70203800000000005</v>
      </c>
      <c r="L550">
        <v>0.44708300000000001</v>
      </c>
      <c r="M550">
        <v>0.195267</v>
      </c>
      <c r="N550">
        <v>904</v>
      </c>
      <c r="O550">
        <v>5323</v>
      </c>
      <c r="P550">
        <v>6227</v>
      </c>
      <c r="Q550">
        <f t="shared" si="32"/>
        <v>28.738348999999999</v>
      </c>
      <c r="R550">
        <f t="shared" si="33"/>
        <v>30.334508000000007</v>
      </c>
      <c r="S550">
        <f t="shared" si="34"/>
        <v>44.708300000000001</v>
      </c>
      <c r="T550">
        <f t="shared" si="35"/>
        <v>13.082889</v>
      </c>
      <c r="U550" t="str">
        <f>_xlfn.XLOOKUP(C550,Lookup!$A$3:$A$6,Lookup!$B$3:$B$6)</f>
        <v>Summer</v>
      </c>
      <c r="V550">
        <f>_xlfn.XLOOKUP(D550,Lookup!$D$3:$D$4,Lookup!$E$3:$E$4)</f>
        <v>2012</v>
      </c>
      <c r="W550" t="str">
        <f>_xlfn.XLOOKUP(I550,Lookup!$G$3:$G$6,Lookup!$H$3:$H$6)</f>
        <v>Clear</v>
      </c>
      <c r="X550" t="str">
        <f>_xlfn.XLOOKUP(E550,Lookup!$J$3:$J$14,Lookup!$K$3:$K$14)</f>
        <v>July</v>
      </c>
      <c r="Y550" t="str">
        <f>_xlfn.XLOOKUP(G550,Lookup!$M$3:$M$9,Lookup!$N$3:$N$9)</f>
        <v>Monday</v>
      </c>
    </row>
    <row r="551" spans="1:25" x14ac:dyDescent="0.3">
      <c r="A551">
        <v>550</v>
      </c>
      <c r="B551" s="1">
        <v>41093</v>
      </c>
      <c r="C551">
        <v>3</v>
      </c>
      <c r="D551">
        <v>1</v>
      </c>
      <c r="E551">
        <v>7</v>
      </c>
      <c r="F551">
        <v>0</v>
      </c>
      <c r="G551">
        <v>2</v>
      </c>
      <c r="H551">
        <v>1</v>
      </c>
      <c r="I551">
        <v>1</v>
      </c>
      <c r="J551">
        <v>0.780833</v>
      </c>
      <c r="K551">
        <v>0.70265</v>
      </c>
      <c r="L551">
        <v>0.49208299999999999</v>
      </c>
      <c r="M551">
        <v>0.12623699999999999</v>
      </c>
      <c r="N551">
        <v>1052</v>
      </c>
      <c r="O551">
        <v>5608</v>
      </c>
      <c r="P551">
        <v>6660</v>
      </c>
      <c r="Q551">
        <f t="shared" si="32"/>
        <v>28.699151000000001</v>
      </c>
      <c r="R551">
        <f t="shared" si="33"/>
        <v>30.374899999999997</v>
      </c>
      <c r="S551">
        <f t="shared" si="34"/>
        <v>49.208300000000001</v>
      </c>
      <c r="T551">
        <f t="shared" si="35"/>
        <v>8.4578789999999984</v>
      </c>
      <c r="U551" t="str">
        <f>_xlfn.XLOOKUP(C551,Lookup!$A$3:$A$6,Lookup!$B$3:$B$6)</f>
        <v>Summer</v>
      </c>
      <c r="V551">
        <f>_xlfn.XLOOKUP(D551,Lookup!$D$3:$D$4,Lookup!$E$3:$E$4)</f>
        <v>2012</v>
      </c>
      <c r="W551" t="str">
        <f>_xlfn.XLOOKUP(I551,Lookup!$G$3:$G$6,Lookup!$H$3:$H$6)</f>
        <v>Clear</v>
      </c>
      <c r="X551" t="str">
        <f>_xlfn.XLOOKUP(E551,Lookup!$J$3:$J$14,Lookup!$K$3:$K$14)</f>
        <v>July</v>
      </c>
      <c r="Y551" t="str">
        <f>_xlfn.XLOOKUP(G551,Lookup!$M$3:$M$9,Lookup!$N$3:$N$9)</f>
        <v>Tuesday</v>
      </c>
    </row>
    <row r="552" spans="1:25" x14ac:dyDescent="0.3">
      <c r="A552">
        <v>551</v>
      </c>
      <c r="B552" s="1">
        <v>41094</v>
      </c>
      <c r="C552">
        <v>3</v>
      </c>
      <c r="D552">
        <v>1</v>
      </c>
      <c r="E552">
        <v>7</v>
      </c>
      <c r="F552">
        <v>1</v>
      </c>
      <c r="G552">
        <v>3</v>
      </c>
      <c r="H552">
        <v>0</v>
      </c>
      <c r="I552">
        <v>1</v>
      </c>
      <c r="J552">
        <v>0.78916699999999995</v>
      </c>
      <c r="K552">
        <v>0.73233700000000002</v>
      </c>
      <c r="L552">
        <v>0.53874999999999995</v>
      </c>
      <c r="M552">
        <v>0.13494999999999999</v>
      </c>
      <c r="N552">
        <v>2562</v>
      </c>
      <c r="O552">
        <v>4841</v>
      </c>
      <c r="P552">
        <v>7403</v>
      </c>
      <c r="Q552">
        <f t="shared" si="32"/>
        <v>29.090848999999999</v>
      </c>
      <c r="R552">
        <f t="shared" si="33"/>
        <v>32.334242000000003</v>
      </c>
      <c r="S552">
        <f t="shared" si="34"/>
        <v>53.874999999999993</v>
      </c>
      <c r="T552">
        <f t="shared" si="35"/>
        <v>9.0416499999999989</v>
      </c>
      <c r="U552" t="str">
        <f>_xlfn.XLOOKUP(C552,Lookup!$A$3:$A$6,Lookup!$B$3:$B$6)</f>
        <v>Summer</v>
      </c>
      <c r="V552">
        <f>_xlfn.XLOOKUP(D552,Lookup!$D$3:$D$4,Lookup!$E$3:$E$4)</f>
        <v>2012</v>
      </c>
      <c r="W552" t="str">
        <f>_xlfn.XLOOKUP(I552,Lookup!$G$3:$G$6,Lookup!$H$3:$H$6)</f>
        <v>Clear</v>
      </c>
      <c r="X552" t="str">
        <f>_xlfn.XLOOKUP(E552,Lookup!$J$3:$J$14,Lookup!$K$3:$K$14)</f>
        <v>July</v>
      </c>
      <c r="Y552" t="str">
        <f>_xlfn.XLOOKUP(G552,Lookup!$M$3:$M$9,Lookup!$N$3:$N$9)</f>
        <v>Wednesday</v>
      </c>
    </row>
    <row r="553" spans="1:25" x14ac:dyDescent="0.3">
      <c r="A553">
        <v>552</v>
      </c>
      <c r="B553" s="1">
        <v>41095</v>
      </c>
      <c r="C553">
        <v>3</v>
      </c>
      <c r="D553">
        <v>1</v>
      </c>
      <c r="E553">
        <v>7</v>
      </c>
      <c r="F553">
        <v>0</v>
      </c>
      <c r="G553">
        <v>4</v>
      </c>
      <c r="H553">
        <v>1</v>
      </c>
      <c r="I553">
        <v>1</v>
      </c>
      <c r="J553">
        <v>0.82750000000000001</v>
      </c>
      <c r="K553">
        <v>0.76136700000000002</v>
      </c>
      <c r="L553">
        <v>0.45791700000000002</v>
      </c>
      <c r="M553">
        <v>0.19402900000000001</v>
      </c>
      <c r="N553">
        <v>1405</v>
      </c>
      <c r="O553">
        <v>4836</v>
      </c>
      <c r="P553">
        <v>6241</v>
      </c>
      <c r="Q553">
        <f t="shared" si="32"/>
        <v>30.892499999999998</v>
      </c>
      <c r="R553">
        <f t="shared" si="33"/>
        <v>34.250222000000001</v>
      </c>
      <c r="S553">
        <f t="shared" si="34"/>
        <v>45.791699999999999</v>
      </c>
      <c r="T553">
        <f t="shared" si="35"/>
        <v>12.999943</v>
      </c>
      <c r="U553" t="str">
        <f>_xlfn.XLOOKUP(C553,Lookup!$A$3:$A$6,Lookup!$B$3:$B$6)</f>
        <v>Summer</v>
      </c>
      <c r="V553">
        <f>_xlfn.XLOOKUP(D553,Lookup!$D$3:$D$4,Lookup!$E$3:$E$4)</f>
        <v>2012</v>
      </c>
      <c r="W553" t="str">
        <f>_xlfn.XLOOKUP(I553,Lookup!$G$3:$G$6,Lookup!$H$3:$H$6)</f>
        <v>Clear</v>
      </c>
      <c r="X553" t="str">
        <f>_xlfn.XLOOKUP(E553,Lookup!$J$3:$J$14,Lookup!$K$3:$K$14)</f>
        <v>July</v>
      </c>
      <c r="Y553" t="str">
        <f>_xlfn.XLOOKUP(G553,Lookup!$M$3:$M$9,Lookup!$N$3:$N$9)</f>
        <v>Thursday</v>
      </c>
    </row>
    <row r="554" spans="1:25" x14ac:dyDescent="0.3">
      <c r="A554">
        <v>553</v>
      </c>
      <c r="B554" s="1">
        <v>41096</v>
      </c>
      <c r="C554">
        <v>3</v>
      </c>
      <c r="D554">
        <v>1</v>
      </c>
      <c r="E554">
        <v>7</v>
      </c>
      <c r="F554">
        <v>0</v>
      </c>
      <c r="G554">
        <v>5</v>
      </c>
      <c r="H554">
        <v>1</v>
      </c>
      <c r="I554">
        <v>1</v>
      </c>
      <c r="J554">
        <v>0.82833299999999999</v>
      </c>
      <c r="K554">
        <v>0.75253300000000001</v>
      </c>
      <c r="L554">
        <v>0.45083299999999998</v>
      </c>
      <c r="M554">
        <v>0.14614199999999999</v>
      </c>
      <c r="N554">
        <v>1366</v>
      </c>
      <c r="O554">
        <v>4841</v>
      </c>
      <c r="P554">
        <v>6207</v>
      </c>
      <c r="Q554">
        <f t="shared" si="32"/>
        <v>30.931651000000002</v>
      </c>
      <c r="R554">
        <f t="shared" si="33"/>
        <v>33.667178</v>
      </c>
      <c r="S554">
        <f t="shared" si="34"/>
        <v>45.083300000000001</v>
      </c>
      <c r="T554">
        <f t="shared" si="35"/>
        <v>9.7915139999999994</v>
      </c>
      <c r="U554" t="str">
        <f>_xlfn.XLOOKUP(C554,Lookup!$A$3:$A$6,Lookup!$B$3:$B$6)</f>
        <v>Summer</v>
      </c>
      <c r="V554">
        <f>_xlfn.XLOOKUP(D554,Lookup!$D$3:$D$4,Lookup!$E$3:$E$4)</f>
        <v>2012</v>
      </c>
      <c r="W554" t="str">
        <f>_xlfn.XLOOKUP(I554,Lookup!$G$3:$G$6,Lookup!$H$3:$H$6)</f>
        <v>Clear</v>
      </c>
      <c r="X554" t="str">
        <f>_xlfn.XLOOKUP(E554,Lookup!$J$3:$J$14,Lookup!$K$3:$K$14)</f>
        <v>July</v>
      </c>
      <c r="Y554" t="str">
        <f>_xlfn.XLOOKUP(G554,Lookup!$M$3:$M$9,Lookup!$N$3:$N$9)</f>
        <v>Friday</v>
      </c>
    </row>
    <row r="555" spans="1:25" x14ac:dyDescent="0.3">
      <c r="A555">
        <v>554</v>
      </c>
      <c r="B555" s="1">
        <v>41097</v>
      </c>
      <c r="C555">
        <v>3</v>
      </c>
      <c r="D555">
        <v>1</v>
      </c>
      <c r="E555">
        <v>7</v>
      </c>
      <c r="F555">
        <v>0</v>
      </c>
      <c r="G555">
        <v>6</v>
      </c>
      <c r="H555">
        <v>0</v>
      </c>
      <c r="I555">
        <v>1</v>
      </c>
      <c r="J555">
        <v>0.86166699999999996</v>
      </c>
      <c r="K555">
        <v>0.80491299999999999</v>
      </c>
      <c r="L555">
        <v>0.49208299999999999</v>
      </c>
      <c r="M555">
        <v>0.163554</v>
      </c>
      <c r="N555">
        <v>1448</v>
      </c>
      <c r="O555">
        <v>3392</v>
      </c>
      <c r="P555">
        <v>4840</v>
      </c>
      <c r="Q555">
        <f t="shared" si="32"/>
        <v>32.498348999999997</v>
      </c>
      <c r="R555">
        <f t="shared" si="33"/>
        <v>37.124257999999998</v>
      </c>
      <c r="S555">
        <f t="shared" si="34"/>
        <v>49.208300000000001</v>
      </c>
      <c r="T555">
        <f t="shared" si="35"/>
        <v>10.958118000000001</v>
      </c>
      <c r="U555" t="str">
        <f>_xlfn.XLOOKUP(C555,Lookup!$A$3:$A$6,Lookup!$B$3:$B$6)</f>
        <v>Summer</v>
      </c>
      <c r="V555">
        <f>_xlfn.XLOOKUP(D555,Lookup!$D$3:$D$4,Lookup!$E$3:$E$4)</f>
        <v>2012</v>
      </c>
      <c r="W555" t="str">
        <f>_xlfn.XLOOKUP(I555,Lookup!$G$3:$G$6,Lookup!$H$3:$H$6)</f>
        <v>Clear</v>
      </c>
      <c r="X555" t="str">
        <f>_xlfn.XLOOKUP(E555,Lookup!$J$3:$J$14,Lookup!$K$3:$K$14)</f>
        <v>July</v>
      </c>
      <c r="Y555" t="str">
        <f>_xlfn.XLOOKUP(G555,Lookup!$M$3:$M$9,Lookup!$N$3:$N$9)</f>
        <v>Saturday</v>
      </c>
    </row>
    <row r="556" spans="1:25" x14ac:dyDescent="0.3">
      <c r="A556">
        <v>555</v>
      </c>
      <c r="B556" s="1">
        <v>41098</v>
      </c>
      <c r="C556">
        <v>3</v>
      </c>
      <c r="D556">
        <v>1</v>
      </c>
      <c r="E556">
        <v>7</v>
      </c>
      <c r="F556">
        <v>0</v>
      </c>
      <c r="G556">
        <v>0</v>
      </c>
      <c r="H556">
        <v>0</v>
      </c>
      <c r="I556">
        <v>1</v>
      </c>
      <c r="J556">
        <v>0.82250000000000001</v>
      </c>
      <c r="K556">
        <v>0.79039599999999999</v>
      </c>
      <c r="L556">
        <v>0.57374999999999998</v>
      </c>
      <c r="M556">
        <v>0.12562899999999999</v>
      </c>
      <c r="N556">
        <v>1203</v>
      </c>
      <c r="O556">
        <v>3469</v>
      </c>
      <c r="P556">
        <v>4672</v>
      </c>
      <c r="Q556">
        <f t="shared" si="32"/>
        <v>30.657499999999999</v>
      </c>
      <c r="R556">
        <f t="shared" si="33"/>
        <v>36.166136000000002</v>
      </c>
      <c r="S556">
        <f t="shared" si="34"/>
        <v>57.375</v>
      </c>
      <c r="T556">
        <f t="shared" si="35"/>
        <v>8.4171429999999994</v>
      </c>
      <c r="U556" t="str">
        <f>_xlfn.XLOOKUP(C556,Lookup!$A$3:$A$6,Lookup!$B$3:$B$6)</f>
        <v>Summer</v>
      </c>
      <c r="V556">
        <f>_xlfn.XLOOKUP(D556,Lookup!$D$3:$D$4,Lookup!$E$3:$E$4)</f>
        <v>2012</v>
      </c>
      <c r="W556" t="str">
        <f>_xlfn.XLOOKUP(I556,Lookup!$G$3:$G$6,Lookup!$H$3:$H$6)</f>
        <v>Clear</v>
      </c>
      <c r="X556" t="str">
        <f>_xlfn.XLOOKUP(E556,Lookup!$J$3:$J$14,Lookup!$K$3:$K$14)</f>
        <v>July</v>
      </c>
      <c r="Y556" t="str">
        <f>_xlfn.XLOOKUP(G556,Lookup!$M$3:$M$9,Lookup!$N$3:$N$9)</f>
        <v>Sunday</v>
      </c>
    </row>
    <row r="557" spans="1:25" x14ac:dyDescent="0.3">
      <c r="A557">
        <v>556</v>
      </c>
      <c r="B557" s="1">
        <v>41099</v>
      </c>
      <c r="C557">
        <v>3</v>
      </c>
      <c r="D557">
        <v>1</v>
      </c>
      <c r="E557">
        <v>7</v>
      </c>
      <c r="F557">
        <v>0</v>
      </c>
      <c r="G557">
        <v>1</v>
      </c>
      <c r="H557">
        <v>1</v>
      </c>
      <c r="I557">
        <v>2</v>
      </c>
      <c r="J557">
        <v>0.71083300000000005</v>
      </c>
      <c r="K557">
        <v>0.65405400000000002</v>
      </c>
      <c r="L557">
        <v>0.68333299999999997</v>
      </c>
      <c r="M557">
        <v>0.180975</v>
      </c>
      <c r="N557">
        <v>998</v>
      </c>
      <c r="O557">
        <v>5571</v>
      </c>
      <c r="P557">
        <v>6569</v>
      </c>
      <c r="Q557">
        <f t="shared" si="32"/>
        <v>25.409151000000001</v>
      </c>
      <c r="R557">
        <f t="shared" si="33"/>
        <v>27.167563999999999</v>
      </c>
      <c r="S557">
        <f t="shared" si="34"/>
        <v>68.333299999999994</v>
      </c>
      <c r="T557">
        <f t="shared" si="35"/>
        <v>12.125325</v>
      </c>
      <c r="U557" t="str">
        <f>_xlfn.XLOOKUP(C557,Lookup!$A$3:$A$6,Lookup!$B$3:$B$6)</f>
        <v>Summer</v>
      </c>
      <c r="V557">
        <f>_xlfn.XLOOKUP(D557,Lookup!$D$3:$D$4,Lookup!$E$3:$E$4)</f>
        <v>2012</v>
      </c>
      <c r="W557" t="str">
        <f>_xlfn.XLOOKUP(I557,Lookup!$G$3:$G$6,Lookup!$H$3:$H$6)</f>
        <v>Misty/Cloudy</v>
      </c>
      <c r="X557" t="str">
        <f>_xlfn.XLOOKUP(E557,Lookup!$J$3:$J$14,Lookup!$K$3:$K$14)</f>
        <v>July</v>
      </c>
      <c r="Y557" t="str">
        <f>_xlfn.XLOOKUP(G557,Lookup!$M$3:$M$9,Lookup!$N$3:$N$9)</f>
        <v>Monday</v>
      </c>
    </row>
    <row r="558" spans="1:25" x14ac:dyDescent="0.3">
      <c r="A558">
        <v>557</v>
      </c>
      <c r="B558" s="1">
        <v>41100</v>
      </c>
      <c r="C558">
        <v>3</v>
      </c>
      <c r="D558">
        <v>1</v>
      </c>
      <c r="E558">
        <v>7</v>
      </c>
      <c r="F558">
        <v>0</v>
      </c>
      <c r="G558">
        <v>2</v>
      </c>
      <c r="H558">
        <v>1</v>
      </c>
      <c r="I558">
        <v>2</v>
      </c>
      <c r="J558">
        <v>0.72083299999999995</v>
      </c>
      <c r="K558">
        <v>0.66479600000000005</v>
      </c>
      <c r="L558">
        <v>0.66749999999999998</v>
      </c>
      <c r="M558">
        <v>0.15173700000000001</v>
      </c>
      <c r="N558">
        <v>954</v>
      </c>
      <c r="O558">
        <v>5336</v>
      </c>
      <c r="P558">
        <v>6290</v>
      </c>
      <c r="Q558">
        <f t="shared" si="32"/>
        <v>25.879151</v>
      </c>
      <c r="R558">
        <f t="shared" si="33"/>
        <v>27.876536000000002</v>
      </c>
      <c r="S558">
        <f t="shared" si="34"/>
        <v>66.75</v>
      </c>
      <c r="T558">
        <f t="shared" si="35"/>
        <v>10.166379000000001</v>
      </c>
      <c r="U558" t="str">
        <f>_xlfn.XLOOKUP(C558,Lookup!$A$3:$A$6,Lookup!$B$3:$B$6)</f>
        <v>Summer</v>
      </c>
      <c r="V558">
        <f>_xlfn.XLOOKUP(D558,Lookup!$D$3:$D$4,Lookup!$E$3:$E$4)</f>
        <v>2012</v>
      </c>
      <c r="W558" t="str">
        <f>_xlfn.XLOOKUP(I558,Lookup!$G$3:$G$6,Lookup!$H$3:$H$6)</f>
        <v>Misty/Cloudy</v>
      </c>
      <c r="X558" t="str">
        <f>_xlfn.XLOOKUP(E558,Lookup!$J$3:$J$14,Lookup!$K$3:$K$14)</f>
        <v>July</v>
      </c>
      <c r="Y558" t="str">
        <f>_xlfn.XLOOKUP(G558,Lookup!$M$3:$M$9,Lookup!$N$3:$N$9)</f>
        <v>Tuesday</v>
      </c>
    </row>
    <row r="559" spans="1:25" x14ac:dyDescent="0.3">
      <c r="A559">
        <v>558</v>
      </c>
      <c r="B559" s="1">
        <v>41101</v>
      </c>
      <c r="C559">
        <v>3</v>
      </c>
      <c r="D559">
        <v>1</v>
      </c>
      <c r="E559">
        <v>7</v>
      </c>
      <c r="F559">
        <v>0</v>
      </c>
      <c r="G559">
        <v>3</v>
      </c>
      <c r="H559">
        <v>1</v>
      </c>
      <c r="I559">
        <v>1</v>
      </c>
      <c r="J559">
        <v>0.71666700000000005</v>
      </c>
      <c r="K559">
        <v>0.65027100000000004</v>
      </c>
      <c r="L559">
        <v>0.63333300000000003</v>
      </c>
      <c r="M559">
        <v>0.15173300000000001</v>
      </c>
      <c r="N559">
        <v>975</v>
      </c>
      <c r="O559">
        <v>6289</v>
      </c>
      <c r="P559">
        <v>7264</v>
      </c>
      <c r="Q559">
        <f t="shared" si="32"/>
        <v>25.683349</v>
      </c>
      <c r="R559">
        <f t="shared" si="33"/>
        <v>26.917886000000003</v>
      </c>
      <c r="S559">
        <f t="shared" si="34"/>
        <v>63.333300000000001</v>
      </c>
      <c r="T559">
        <f t="shared" si="35"/>
        <v>10.166111000000001</v>
      </c>
      <c r="U559" t="str">
        <f>_xlfn.XLOOKUP(C559,Lookup!$A$3:$A$6,Lookup!$B$3:$B$6)</f>
        <v>Summer</v>
      </c>
      <c r="V559">
        <f>_xlfn.XLOOKUP(D559,Lookup!$D$3:$D$4,Lookup!$E$3:$E$4)</f>
        <v>2012</v>
      </c>
      <c r="W559" t="str">
        <f>_xlfn.XLOOKUP(I559,Lookup!$G$3:$G$6,Lookup!$H$3:$H$6)</f>
        <v>Clear</v>
      </c>
      <c r="X559" t="str">
        <f>_xlfn.XLOOKUP(E559,Lookup!$J$3:$J$14,Lookup!$K$3:$K$14)</f>
        <v>July</v>
      </c>
      <c r="Y559" t="str">
        <f>_xlfn.XLOOKUP(G559,Lookup!$M$3:$M$9,Lookup!$N$3:$N$9)</f>
        <v>Wednesday</v>
      </c>
    </row>
    <row r="560" spans="1:25" x14ac:dyDescent="0.3">
      <c r="A560">
        <v>559</v>
      </c>
      <c r="B560" s="1">
        <v>41102</v>
      </c>
      <c r="C560">
        <v>3</v>
      </c>
      <c r="D560">
        <v>1</v>
      </c>
      <c r="E560">
        <v>7</v>
      </c>
      <c r="F560">
        <v>0</v>
      </c>
      <c r="G560">
        <v>4</v>
      </c>
      <c r="H560">
        <v>1</v>
      </c>
      <c r="I560">
        <v>1</v>
      </c>
      <c r="J560">
        <v>0.71583300000000005</v>
      </c>
      <c r="K560">
        <v>0.65468300000000001</v>
      </c>
      <c r="L560">
        <v>0.52958300000000003</v>
      </c>
      <c r="M560">
        <v>0.14677499999999999</v>
      </c>
      <c r="N560">
        <v>1032</v>
      </c>
      <c r="O560">
        <v>6414</v>
      </c>
      <c r="P560">
        <v>7446</v>
      </c>
      <c r="Q560">
        <f t="shared" si="32"/>
        <v>25.644151000000001</v>
      </c>
      <c r="R560">
        <f t="shared" si="33"/>
        <v>27.209077999999998</v>
      </c>
      <c r="S560">
        <f t="shared" si="34"/>
        <v>52.958300000000001</v>
      </c>
      <c r="T560">
        <f t="shared" si="35"/>
        <v>9.8339249999999989</v>
      </c>
      <c r="U560" t="str">
        <f>_xlfn.XLOOKUP(C560,Lookup!$A$3:$A$6,Lookup!$B$3:$B$6)</f>
        <v>Summer</v>
      </c>
      <c r="V560">
        <f>_xlfn.XLOOKUP(D560,Lookup!$D$3:$D$4,Lookup!$E$3:$E$4)</f>
        <v>2012</v>
      </c>
      <c r="W560" t="str">
        <f>_xlfn.XLOOKUP(I560,Lookup!$G$3:$G$6,Lookup!$H$3:$H$6)</f>
        <v>Clear</v>
      </c>
      <c r="X560" t="str">
        <f>_xlfn.XLOOKUP(E560,Lookup!$J$3:$J$14,Lookup!$K$3:$K$14)</f>
        <v>July</v>
      </c>
      <c r="Y560" t="str">
        <f>_xlfn.XLOOKUP(G560,Lookup!$M$3:$M$9,Lookup!$N$3:$N$9)</f>
        <v>Thursday</v>
      </c>
    </row>
    <row r="561" spans="1:25" x14ac:dyDescent="0.3">
      <c r="A561">
        <v>560</v>
      </c>
      <c r="B561" s="1">
        <v>41103</v>
      </c>
      <c r="C561">
        <v>3</v>
      </c>
      <c r="D561">
        <v>1</v>
      </c>
      <c r="E561">
        <v>7</v>
      </c>
      <c r="F561">
        <v>0</v>
      </c>
      <c r="G561">
        <v>5</v>
      </c>
      <c r="H561">
        <v>1</v>
      </c>
      <c r="I561">
        <v>2</v>
      </c>
      <c r="J561">
        <v>0.73166699999999996</v>
      </c>
      <c r="K561">
        <v>0.667933</v>
      </c>
      <c r="L561">
        <v>0.48583300000000001</v>
      </c>
      <c r="M561">
        <v>8.0850000000000005E-2</v>
      </c>
      <c r="N561">
        <v>1511</v>
      </c>
      <c r="O561">
        <v>5988</v>
      </c>
      <c r="P561">
        <v>7499</v>
      </c>
      <c r="Q561">
        <f t="shared" si="32"/>
        <v>26.388348999999998</v>
      </c>
      <c r="R561">
        <f t="shared" si="33"/>
        <v>28.083578000000003</v>
      </c>
      <c r="S561">
        <f t="shared" si="34"/>
        <v>48.583300000000001</v>
      </c>
      <c r="T561">
        <f t="shared" si="35"/>
        <v>5.4169499999999999</v>
      </c>
      <c r="U561" t="str">
        <f>_xlfn.XLOOKUP(C561,Lookup!$A$3:$A$6,Lookup!$B$3:$B$6)</f>
        <v>Summer</v>
      </c>
      <c r="V561">
        <f>_xlfn.XLOOKUP(D561,Lookup!$D$3:$D$4,Lookup!$E$3:$E$4)</f>
        <v>2012</v>
      </c>
      <c r="W561" t="str">
        <f>_xlfn.XLOOKUP(I561,Lookup!$G$3:$G$6,Lookup!$H$3:$H$6)</f>
        <v>Misty/Cloudy</v>
      </c>
      <c r="X561" t="str">
        <f>_xlfn.XLOOKUP(E561,Lookup!$J$3:$J$14,Lookup!$K$3:$K$14)</f>
        <v>July</v>
      </c>
      <c r="Y561" t="str">
        <f>_xlfn.XLOOKUP(G561,Lookup!$M$3:$M$9,Lookup!$N$3:$N$9)</f>
        <v>Friday</v>
      </c>
    </row>
    <row r="562" spans="1:25" x14ac:dyDescent="0.3">
      <c r="A562">
        <v>561</v>
      </c>
      <c r="B562" s="1">
        <v>41104</v>
      </c>
      <c r="C562">
        <v>3</v>
      </c>
      <c r="D562">
        <v>1</v>
      </c>
      <c r="E562">
        <v>7</v>
      </c>
      <c r="F562">
        <v>0</v>
      </c>
      <c r="G562">
        <v>6</v>
      </c>
      <c r="H562">
        <v>0</v>
      </c>
      <c r="I562">
        <v>2</v>
      </c>
      <c r="J562">
        <v>0.70333299999999999</v>
      </c>
      <c r="K562">
        <v>0.66604200000000002</v>
      </c>
      <c r="L562">
        <v>0.69916699999999998</v>
      </c>
      <c r="M562">
        <v>0.143679</v>
      </c>
      <c r="N562">
        <v>2355</v>
      </c>
      <c r="O562">
        <v>4614</v>
      </c>
      <c r="P562">
        <v>6969</v>
      </c>
      <c r="Q562">
        <f t="shared" si="32"/>
        <v>25.056651000000002</v>
      </c>
      <c r="R562">
        <f t="shared" si="33"/>
        <v>27.958772000000003</v>
      </c>
      <c r="S562">
        <f t="shared" si="34"/>
        <v>69.916699999999992</v>
      </c>
      <c r="T562">
        <f t="shared" si="35"/>
        <v>9.626493</v>
      </c>
      <c r="U562" t="str">
        <f>_xlfn.XLOOKUP(C562,Lookup!$A$3:$A$6,Lookup!$B$3:$B$6)</f>
        <v>Summer</v>
      </c>
      <c r="V562">
        <f>_xlfn.XLOOKUP(D562,Lookup!$D$3:$D$4,Lookup!$E$3:$E$4)</f>
        <v>2012</v>
      </c>
      <c r="W562" t="str">
        <f>_xlfn.XLOOKUP(I562,Lookup!$G$3:$G$6,Lookup!$H$3:$H$6)</f>
        <v>Misty/Cloudy</v>
      </c>
      <c r="X562" t="str">
        <f>_xlfn.XLOOKUP(E562,Lookup!$J$3:$J$14,Lookup!$K$3:$K$14)</f>
        <v>July</v>
      </c>
      <c r="Y562" t="str">
        <f>_xlfn.XLOOKUP(G562,Lookup!$M$3:$M$9,Lookup!$N$3:$N$9)</f>
        <v>Saturday</v>
      </c>
    </row>
    <row r="563" spans="1:25" x14ac:dyDescent="0.3">
      <c r="A563">
        <v>562</v>
      </c>
      <c r="B563" s="1">
        <v>41105</v>
      </c>
      <c r="C563">
        <v>3</v>
      </c>
      <c r="D563">
        <v>1</v>
      </c>
      <c r="E563">
        <v>7</v>
      </c>
      <c r="F563">
        <v>0</v>
      </c>
      <c r="G563">
        <v>0</v>
      </c>
      <c r="H563">
        <v>0</v>
      </c>
      <c r="I563">
        <v>1</v>
      </c>
      <c r="J563">
        <v>0.74583299999999997</v>
      </c>
      <c r="K563">
        <v>0.70519600000000005</v>
      </c>
      <c r="L563">
        <v>0.71791700000000003</v>
      </c>
      <c r="M563">
        <v>0.16666700000000001</v>
      </c>
      <c r="N563">
        <v>1920</v>
      </c>
      <c r="O563">
        <v>4111</v>
      </c>
      <c r="P563">
        <v>6031</v>
      </c>
      <c r="Q563">
        <f t="shared" si="32"/>
        <v>27.054150999999997</v>
      </c>
      <c r="R563">
        <f t="shared" si="33"/>
        <v>30.542936000000005</v>
      </c>
      <c r="S563">
        <f t="shared" si="34"/>
        <v>71.791700000000006</v>
      </c>
      <c r="T563">
        <f t="shared" si="35"/>
        <v>11.166689</v>
      </c>
      <c r="U563" t="str">
        <f>_xlfn.XLOOKUP(C563,Lookup!$A$3:$A$6,Lookup!$B$3:$B$6)</f>
        <v>Summer</v>
      </c>
      <c r="V563">
        <f>_xlfn.XLOOKUP(D563,Lookup!$D$3:$D$4,Lookup!$E$3:$E$4)</f>
        <v>2012</v>
      </c>
      <c r="W563" t="str">
        <f>_xlfn.XLOOKUP(I563,Lookup!$G$3:$G$6,Lookup!$H$3:$H$6)</f>
        <v>Clear</v>
      </c>
      <c r="X563" t="str">
        <f>_xlfn.XLOOKUP(E563,Lookup!$J$3:$J$14,Lookup!$K$3:$K$14)</f>
        <v>July</v>
      </c>
      <c r="Y563" t="str">
        <f>_xlfn.XLOOKUP(G563,Lookup!$M$3:$M$9,Lookup!$N$3:$N$9)</f>
        <v>Sunday</v>
      </c>
    </row>
    <row r="564" spans="1:25" x14ac:dyDescent="0.3">
      <c r="A564">
        <v>563</v>
      </c>
      <c r="B564" s="1">
        <v>41106</v>
      </c>
      <c r="C564">
        <v>3</v>
      </c>
      <c r="D564">
        <v>1</v>
      </c>
      <c r="E564">
        <v>7</v>
      </c>
      <c r="F564">
        <v>0</v>
      </c>
      <c r="G564">
        <v>1</v>
      </c>
      <c r="H564">
        <v>1</v>
      </c>
      <c r="I564">
        <v>1</v>
      </c>
      <c r="J564">
        <v>0.76333300000000004</v>
      </c>
      <c r="K564">
        <v>0.72412500000000002</v>
      </c>
      <c r="L564">
        <v>0.64500000000000002</v>
      </c>
      <c r="M564">
        <v>0.164187</v>
      </c>
      <c r="N564">
        <v>1088</v>
      </c>
      <c r="O564">
        <v>5742</v>
      </c>
      <c r="P564">
        <v>6830</v>
      </c>
      <c r="Q564">
        <f t="shared" si="32"/>
        <v>27.876651000000003</v>
      </c>
      <c r="R564">
        <f t="shared" si="33"/>
        <v>31.792250000000003</v>
      </c>
      <c r="S564">
        <f t="shared" si="34"/>
        <v>64.5</v>
      </c>
      <c r="T564">
        <f t="shared" si="35"/>
        <v>11.000529</v>
      </c>
      <c r="U564" t="str">
        <f>_xlfn.XLOOKUP(C564,Lookup!$A$3:$A$6,Lookup!$B$3:$B$6)</f>
        <v>Summer</v>
      </c>
      <c r="V564">
        <f>_xlfn.XLOOKUP(D564,Lookup!$D$3:$D$4,Lookup!$E$3:$E$4)</f>
        <v>2012</v>
      </c>
      <c r="W564" t="str">
        <f>_xlfn.XLOOKUP(I564,Lookup!$G$3:$G$6,Lookup!$H$3:$H$6)</f>
        <v>Clear</v>
      </c>
      <c r="X564" t="str">
        <f>_xlfn.XLOOKUP(E564,Lookup!$J$3:$J$14,Lookup!$K$3:$K$14)</f>
        <v>July</v>
      </c>
      <c r="Y564" t="str">
        <f>_xlfn.XLOOKUP(G564,Lookup!$M$3:$M$9,Lookup!$N$3:$N$9)</f>
        <v>Monday</v>
      </c>
    </row>
    <row r="565" spans="1:25" x14ac:dyDescent="0.3">
      <c r="A565">
        <v>564</v>
      </c>
      <c r="B565" s="1">
        <v>41107</v>
      </c>
      <c r="C565">
        <v>3</v>
      </c>
      <c r="D565">
        <v>1</v>
      </c>
      <c r="E565">
        <v>7</v>
      </c>
      <c r="F565">
        <v>0</v>
      </c>
      <c r="G565">
        <v>2</v>
      </c>
      <c r="H565">
        <v>1</v>
      </c>
      <c r="I565">
        <v>1</v>
      </c>
      <c r="J565">
        <v>0.81833299999999998</v>
      </c>
      <c r="K565">
        <v>0.75568299999999999</v>
      </c>
      <c r="L565">
        <v>0.50583299999999998</v>
      </c>
      <c r="M565">
        <v>0.114429</v>
      </c>
      <c r="N565">
        <v>921</v>
      </c>
      <c r="O565">
        <v>5865</v>
      </c>
      <c r="P565">
        <v>6786</v>
      </c>
      <c r="Q565">
        <f t="shared" si="32"/>
        <v>30.461650999999996</v>
      </c>
      <c r="R565">
        <f t="shared" si="33"/>
        <v>33.875078000000002</v>
      </c>
      <c r="S565">
        <f t="shared" si="34"/>
        <v>50.583299999999994</v>
      </c>
      <c r="T565">
        <f t="shared" si="35"/>
        <v>7.6667430000000003</v>
      </c>
      <c r="U565" t="str">
        <f>_xlfn.XLOOKUP(C565,Lookup!$A$3:$A$6,Lookup!$B$3:$B$6)</f>
        <v>Summer</v>
      </c>
      <c r="V565">
        <f>_xlfn.XLOOKUP(D565,Lookup!$D$3:$D$4,Lookup!$E$3:$E$4)</f>
        <v>2012</v>
      </c>
      <c r="W565" t="str">
        <f>_xlfn.XLOOKUP(I565,Lookup!$G$3:$G$6,Lookup!$H$3:$H$6)</f>
        <v>Clear</v>
      </c>
      <c r="X565" t="str">
        <f>_xlfn.XLOOKUP(E565,Lookup!$J$3:$J$14,Lookup!$K$3:$K$14)</f>
        <v>July</v>
      </c>
      <c r="Y565" t="str">
        <f>_xlfn.XLOOKUP(G565,Lookup!$M$3:$M$9,Lookup!$N$3:$N$9)</f>
        <v>Tuesday</v>
      </c>
    </row>
    <row r="566" spans="1:25" x14ac:dyDescent="0.3">
      <c r="A566">
        <v>565</v>
      </c>
      <c r="B566" s="1">
        <v>41108</v>
      </c>
      <c r="C566">
        <v>3</v>
      </c>
      <c r="D566">
        <v>1</v>
      </c>
      <c r="E566">
        <v>7</v>
      </c>
      <c r="F566">
        <v>0</v>
      </c>
      <c r="G566">
        <v>3</v>
      </c>
      <c r="H566">
        <v>1</v>
      </c>
      <c r="I566">
        <v>1</v>
      </c>
      <c r="J566">
        <v>0.79333299999999995</v>
      </c>
      <c r="K566">
        <v>0.745583</v>
      </c>
      <c r="L566">
        <v>0.57708300000000001</v>
      </c>
      <c r="M566">
        <v>0.13744200000000001</v>
      </c>
      <c r="N566">
        <v>799</v>
      </c>
      <c r="O566">
        <v>4914</v>
      </c>
      <c r="P566">
        <v>5713</v>
      </c>
      <c r="Q566">
        <f t="shared" si="32"/>
        <v>29.286650999999999</v>
      </c>
      <c r="R566">
        <f t="shared" si="33"/>
        <v>33.208477999999999</v>
      </c>
      <c r="S566">
        <f t="shared" si="34"/>
        <v>57.708300000000001</v>
      </c>
      <c r="T566">
        <f t="shared" si="35"/>
        <v>9.2086140000000007</v>
      </c>
      <c r="U566" t="str">
        <f>_xlfn.XLOOKUP(C566,Lookup!$A$3:$A$6,Lookup!$B$3:$B$6)</f>
        <v>Summer</v>
      </c>
      <c r="V566">
        <f>_xlfn.XLOOKUP(D566,Lookup!$D$3:$D$4,Lookup!$E$3:$E$4)</f>
        <v>2012</v>
      </c>
      <c r="W566" t="str">
        <f>_xlfn.XLOOKUP(I566,Lookup!$G$3:$G$6,Lookup!$H$3:$H$6)</f>
        <v>Clear</v>
      </c>
      <c r="X566" t="str">
        <f>_xlfn.XLOOKUP(E566,Lookup!$J$3:$J$14,Lookup!$K$3:$K$14)</f>
        <v>July</v>
      </c>
      <c r="Y566" t="str">
        <f>_xlfn.XLOOKUP(G566,Lookup!$M$3:$M$9,Lookup!$N$3:$N$9)</f>
        <v>Wednesday</v>
      </c>
    </row>
    <row r="567" spans="1:25" x14ac:dyDescent="0.3">
      <c r="A567">
        <v>566</v>
      </c>
      <c r="B567" s="1">
        <v>41109</v>
      </c>
      <c r="C567">
        <v>3</v>
      </c>
      <c r="D567">
        <v>1</v>
      </c>
      <c r="E567">
        <v>7</v>
      </c>
      <c r="F567">
        <v>0</v>
      </c>
      <c r="G567">
        <v>4</v>
      </c>
      <c r="H567">
        <v>1</v>
      </c>
      <c r="I567">
        <v>1</v>
      </c>
      <c r="J567">
        <v>0.77</v>
      </c>
      <c r="K567">
        <v>0.714642</v>
      </c>
      <c r="L567">
        <v>0.60041699999999998</v>
      </c>
      <c r="M567">
        <v>0.16542899999999999</v>
      </c>
      <c r="N567">
        <v>888</v>
      </c>
      <c r="O567">
        <v>5703</v>
      </c>
      <c r="P567">
        <v>6591</v>
      </c>
      <c r="Q567">
        <f t="shared" si="32"/>
        <v>28.189999999999998</v>
      </c>
      <c r="R567">
        <f t="shared" si="33"/>
        <v>31.166372000000003</v>
      </c>
      <c r="S567">
        <f t="shared" si="34"/>
        <v>60.041699999999999</v>
      </c>
      <c r="T567">
        <f t="shared" si="35"/>
        <v>11.083743</v>
      </c>
      <c r="U567" t="str">
        <f>_xlfn.XLOOKUP(C567,Lookup!$A$3:$A$6,Lookup!$B$3:$B$6)</f>
        <v>Summer</v>
      </c>
      <c r="V567">
        <f>_xlfn.XLOOKUP(D567,Lookup!$D$3:$D$4,Lookup!$E$3:$E$4)</f>
        <v>2012</v>
      </c>
      <c r="W567" t="str">
        <f>_xlfn.XLOOKUP(I567,Lookup!$G$3:$G$6,Lookup!$H$3:$H$6)</f>
        <v>Clear</v>
      </c>
      <c r="X567" t="str">
        <f>_xlfn.XLOOKUP(E567,Lookup!$J$3:$J$14,Lookup!$K$3:$K$14)</f>
        <v>July</v>
      </c>
      <c r="Y567" t="str">
        <f>_xlfn.XLOOKUP(G567,Lookup!$M$3:$M$9,Lookup!$N$3:$N$9)</f>
        <v>Thursday</v>
      </c>
    </row>
    <row r="568" spans="1:25" x14ac:dyDescent="0.3">
      <c r="A568">
        <v>567</v>
      </c>
      <c r="B568" s="1">
        <v>41110</v>
      </c>
      <c r="C568">
        <v>3</v>
      </c>
      <c r="D568">
        <v>1</v>
      </c>
      <c r="E568">
        <v>7</v>
      </c>
      <c r="F568">
        <v>0</v>
      </c>
      <c r="G568">
        <v>5</v>
      </c>
      <c r="H568">
        <v>1</v>
      </c>
      <c r="I568">
        <v>2</v>
      </c>
      <c r="J568">
        <v>0.66583300000000001</v>
      </c>
      <c r="K568">
        <v>0.61302500000000004</v>
      </c>
      <c r="L568">
        <v>0.844167</v>
      </c>
      <c r="M568">
        <v>0.20896700000000001</v>
      </c>
      <c r="N568">
        <v>747</v>
      </c>
      <c r="O568">
        <v>5123</v>
      </c>
      <c r="P568">
        <v>5870</v>
      </c>
      <c r="Q568">
        <f t="shared" si="32"/>
        <v>23.294150999999999</v>
      </c>
      <c r="R568">
        <f t="shared" si="33"/>
        <v>24.459650000000003</v>
      </c>
      <c r="S568">
        <f t="shared" si="34"/>
        <v>84.416700000000006</v>
      </c>
      <c r="T568">
        <f t="shared" si="35"/>
        <v>14.000789000000001</v>
      </c>
      <c r="U568" t="str">
        <f>_xlfn.XLOOKUP(C568,Lookup!$A$3:$A$6,Lookup!$B$3:$B$6)</f>
        <v>Summer</v>
      </c>
      <c r="V568">
        <f>_xlfn.XLOOKUP(D568,Lookup!$D$3:$D$4,Lookup!$E$3:$E$4)</f>
        <v>2012</v>
      </c>
      <c r="W568" t="str">
        <f>_xlfn.XLOOKUP(I568,Lookup!$G$3:$G$6,Lookup!$H$3:$H$6)</f>
        <v>Misty/Cloudy</v>
      </c>
      <c r="X568" t="str">
        <f>_xlfn.XLOOKUP(E568,Lookup!$J$3:$J$14,Lookup!$K$3:$K$14)</f>
        <v>July</v>
      </c>
      <c r="Y568" t="str">
        <f>_xlfn.XLOOKUP(G568,Lookup!$M$3:$M$9,Lookup!$N$3:$N$9)</f>
        <v>Friday</v>
      </c>
    </row>
    <row r="569" spans="1:25" x14ac:dyDescent="0.3">
      <c r="A569">
        <v>568</v>
      </c>
      <c r="B569" s="1">
        <v>41111</v>
      </c>
      <c r="C569">
        <v>3</v>
      </c>
      <c r="D569">
        <v>1</v>
      </c>
      <c r="E569">
        <v>7</v>
      </c>
      <c r="F569">
        <v>0</v>
      </c>
      <c r="G569">
        <v>6</v>
      </c>
      <c r="H569">
        <v>0</v>
      </c>
      <c r="I569">
        <v>3</v>
      </c>
      <c r="J569">
        <v>0.59583299999999995</v>
      </c>
      <c r="K569">
        <v>0.54991199999999996</v>
      </c>
      <c r="L569">
        <v>0.86541699999999999</v>
      </c>
      <c r="M569">
        <v>0.21329999999999999</v>
      </c>
      <c r="N569">
        <v>1264</v>
      </c>
      <c r="O569">
        <v>3195</v>
      </c>
      <c r="P569">
        <v>4459</v>
      </c>
      <c r="Q569">
        <f t="shared" si="32"/>
        <v>20.004150999999997</v>
      </c>
      <c r="R569">
        <f t="shared" si="33"/>
        <v>20.294191999999995</v>
      </c>
      <c r="S569">
        <f t="shared" si="34"/>
        <v>86.541700000000006</v>
      </c>
      <c r="T569">
        <f t="shared" si="35"/>
        <v>14.2911</v>
      </c>
      <c r="U569" t="str">
        <f>_xlfn.XLOOKUP(C569,Lookup!$A$3:$A$6,Lookup!$B$3:$B$6)</f>
        <v>Summer</v>
      </c>
      <c r="V569">
        <f>_xlfn.XLOOKUP(D569,Lookup!$D$3:$D$4,Lookup!$E$3:$E$4)</f>
        <v>2012</v>
      </c>
      <c r="W569" t="str">
        <f>_xlfn.XLOOKUP(I569,Lookup!$G$3:$G$6,Lookup!$H$3:$H$6)</f>
        <v>Light Snow/Rain</v>
      </c>
      <c r="X569" t="str">
        <f>_xlfn.XLOOKUP(E569,Lookup!$J$3:$J$14,Lookup!$K$3:$K$14)</f>
        <v>July</v>
      </c>
      <c r="Y569" t="str">
        <f>_xlfn.XLOOKUP(G569,Lookup!$M$3:$M$9,Lookup!$N$3:$N$9)</f>
        <v>Saturday</v>
      </c>
    </row>
    <row r="570" spans="1:25" x14ac:dyDescent="0.3">
      <c r="A570">
        <v>569</v>
      </c>
      <c r="B570" s="1">
        <v>41112</v>
      </c>
      <c r="C570">
        <v>3</v>
      </c>
      <c r="D570">
        <v>1</v>
      </c>
      <c r="E570">
        <v>7</v>
      </c>
      <c r="F570">
        <v>0</v>
      </c>
      <c r="G570">
        <v>0</v>
      </c>
      <c r="H570">
        <v>0</v>
      </c>
      <c r="I570">
        <v>2</v>
      </c>
      <c r="J570">
        <v>0.66749999999999998</v>
      </c>
      <c r="K570">
        <v>0.62312500000000004</v>
      </c>
      <c r="L570">
        <v>0.76249999999999996</v>
      </c>
      <c r="M570">
        <v>9.3920799999999999E-2</v>
      </c>
      <c r="N570">
        <v>2544</v>
      </c>
      <c r="O570">
        <v>4866</v>
      </c>
      <c r="P570">
        <v>7410</v>
      </c>
      <c r="Q570">
        <f t="shared" si="32"/>
        <v>23.372499999999999</v>
      </c>
      <c r="R570">
        <f t="shared" si="33"/>
        <v>25.126250000000006</v>
      </c>
      <c r="S570">
        <f t="shared" si="34"/>
        <v>76.25</v>
      </c>
      <c r="T570">
        <f t="shared" si="35"/>
        <v>6.2926935999999998</v>
      </c>
      <c r="U570" t="str">
        <f>_xlfn.XLOOKUP(C570,Lookup!$A$3:$A$6,Lookup!$B$3:$B$6)</f>
        <v>Summer</v>
      </c>
      <c r="V570">
        <f>_xlfn.XLOOKUP(D570,Lookup!$D$3:$D$4,Lookup!$E$3:$E$4)</f>
        <v>2012</v>
      </c>
      <c r="W570" t="str">
        <f>_xlfn.XLOOKUP(I570,Lookup!$G$3:$G$6,Lookup!$H$3:$H$6)</f>
        <v>Misty/Cloudy</v>
      </c>
      <c r="X570" t="str">
        <f>_xlfn.XLOOKUP(E570,Lookup!$J$3:$J$14,Lookup!$K$3:$K$14)</f>
        <v>July</v>
      </c>
      <c r="Y570" t="str">
        <f>_xlfn.XLOOKUP(G570,Lookup!$M$3:$M$9,Lookup!$N$3:$N$9)</f>
        <v>Sunday</v>
      </c>
    </row>
    <row r="571" spans="1:25" x14ac:dyDescent="0.3">
      <c r="A571">
        <v>570</v>
      </c>
      <c r="B571" s="1">
        <v>41113</v>
      </c>
      <c r="C571">
        <v>3</v>
      </c>
      <c r="D571">
        <v>1</v>
      </c>
      <c r="E571">
        <v>7</v>
      </c>
      <c r="F571">
        <v>0</v>
      </c>
      <c r="G571">
        <v>1</v>
      </c>
      <c r="H571">
        <v>1</v>
      </c>
      <c r="I571">
        <v>1</v>
      </c>
      <c r="J571">
        <v>0.74166699999999997</v>
      </c>
      <c r="K571">
        <v>0.69001699999999999</v>
      </c>
      <c r="L571">
        <v>0.69416699999999998</v>
      </c>
      <c r="M571">
        <v>0.138683</v>
      </c>
      <c r="N571">
        <v>1135</v>
      </c>
      <c r="O571">
        <v>5831</v>
      </c>
      <c r="P571">
        <v>6966</v>
      </c>
      <c r="Q571">
        <f t="shared" si="32"/>
        <v>26.858348999999997</v>
      </c>
      <c r="R571">
        <f t="shared" si="33"/>
        <v>29.541122000000001</v>
      </c>
      <c r="S571">
        <f t="shared" si="34"/>
        <v>69.416699999999992</v>
      </c>
      <c r="T571">
        <f t="shared" si="35"/>
        <v>9.2917609999999993</v>
      </c>
      <c r="U571" t="str">
        <f>_xlfn.XLOOKUP(C571,Lookup!$A$3:$A$6,Lookup!$B$3:$B$6)</f>
        <v>Summer</v>
      </c>
      <c r="V571">
        <f>_xlfn.XLOOKUP(D571,Lookup!$D$3:$D$4,Lookup!$E$3:$E$4)</f>
        <v>2012</v>
      </c>
      <c r="W571" t="str">
        <f>_xlfn.XLOOKUP(I571,Lookup!$G$3:$G$6,Lookup!$H$3:$H$6)</f>
        <v>Clear</v>
      </c>
      <c r="X571" t="str">
        <f>_xlfn.XLOOKUP(E571,Lookup!$J$3:$J$14,Lookup!$K$3:$K$14)</f>
        <v>July</v>
      </c>
      <c r="Y571" t="str">
        <f>_xlfn.XLOOKUP(G571,Lookup!$M$3:$M$9,Lookup!$N$3:$N$9)</f>
        <v>Monday</v>
      </c>
    </row>
    <row r="572" spans="1:25" x14ac:dyDescent="0.3">
      <c r="A572">
        <v>571</v>
      </c>
      <c r="B572" s="1">
        <v>41114</v>
      </c>
      <c r="C572">
        <v>3</v>
      </c>
      <c r="D572">
        <v>1</v>
      </c>
      <c r="E572">
        <v>7</v>
      </c>
      <c r="F572">
        <v>0</v>
      </c>
      <c r="G572">
        <v>2</v>
      </c>
      <c r="H572">
        <v>1</v>
      </c>
      <c r="I572">
        <v>1</v>
      </c>
      <c r="J572">
        <v>0.75083299999999997</v>
      </c>
      <c r="K572">
        <v>0.70645000000000002</v>
      </c>
      <c r="L572">
        <v>0.65500000000000003</v>
      </c>
      <c r="M572">
        <v>0.211454</v>
      </c>
      <c r="N572">
        <v>1140</v>
      </c>
      <c r="O572">
        <v>6452</v>
      </c>
      <c r="P572">
        <v>7592</v>
      </c>
      <c r="Q572">
        <f t="shared" si="32"/>
        <v>27.289150999999997</v>
      </c>
      <c r="R572">
        <f t="shared" si="33"/>
        <v>30.625700000000002</v>
      </c>
      <c r="S572">
        <f t="shared" si="34"/>
        <v>65.5</v>
      </c>
      <c r="T572">
        <f t="shared" si="35"/>
        <v>14.167418</v>
      </c>
      <c r="U572" t="str">
        <f>_xlfn.XLOOKUP(C572,Lookup!$A$3:$A$6,Lookup!$B$3:$B$6)</f>
        <v>Summer</v>
      </c>
      <c r="V572">
        <f>_xlfn.XLOOKUP(D572,Lookup!$D$3:$D$4,Lookup!$E$3:$E$4)</f>
        <v>2012</v>
      </c>
      <c r="W572" t="str">
        <f>_xlfn.XLOOKUP(I572,Lookup!$G$3:$G$6,Lookup!$H$3:$H$6)</f>
        <v>Clear</v>
      </c>
      <c r="X572" t="str">
        <f>_xlfn.XLOOKUP(E572,Lookup!$J$3:$J$14,Lookup!$K$3:$K$14)</f>
        <v>July</v>
      </c>
      <c r="Y572" t="str">
        <f>_xlfn.XLOOKUP(G572,Lookup!$M$3:$M$9,Lookup!$N$3:$N$9)</f>
        <v>Tuesday</v>
      </c>
    </row>
    <row r="573" spans="1:25" x14ac:dyDescent="0.3">
      <c r="A573">
        <v>572</v>
      </c>
      <c r="B573" s="1">
        <v>41115</v>
      </c>
      <c r="C573">
        <v>3</v>
      </c>
      <c r="D573">
        <v>1</v>
      </c>
      <c r="E573">
        <v>7</v>
      </c>
      <c r="F573">
        <v>0</v>
      </c>
      <c r="G573">
        <v>3</v>
      </c>
      <c r="H573">
        <v>1</v>
      </c>
      <c r="I573">
        <v>1</v>
      </c>
      <c r="J573">
        <v>0.72416700000000001</v>
      </c>
      <c r="K573">
        <v>0.65405400000000002</v>
      </c>
      <c r="L573">
        <v>0.45</v>
      </c>
      <c r="M573">
        <v>0.1648</v>
      </c>
      <c r="N573">
        <v>1383</v>
      </c>
      <c r="O573">
        <v>6790</v>
      </c>
      <c r="P573">
        <v>8173</v>
      </c>
      <c r="Q573">
        <f t="shared" si="32"/>
        <v>26.035848999999999</v>
      </c>
      <c r="R573">
        <f t="shared" si="33"/>
        <v>27.167563999999999</v>
      </c>
      <c r="S573">
        <f t="shared" si="34"/>
        <v>45</v>
      </c>
      <c r="T573">
        <f t="shared" si="35"/>
        <v>11.041600000000001</v>
      </c>
      <c r="U573" t="str">
        <f>_xlfn.XLOOKUP(C573,Lookup!$A$3:$A$6,Lookup!$B$3:$B$6)</f>
        <v>Summer</v>
      </c>
      <c r="V573">
        <f>_xlfn.XLOOKUP(D573,Lookup!$D$3:$D$4,Lookup!$E$3:$E$4)</f>
        <v>2012</v>
      </c>
      <c r="W573" t="str">
        <f>_xlfn.XLOOKUP(I573,Lookup!$G$3:$G$6,Lookup!$H$3:$H$6)</f>
        <v>Clear</v>
      </c>
      <c r="X573" t="str">
        <f>_xlfn.XLOOKUP(E573,Lookup!$J$3:$J$14,Lookup!$K$3:$K$14)</f>
        <v>July</v>
      </c>
      <c r="Y573" t="str">
        <f>_xlfn.XLOOKUP(G573,Lookup!$M$3:$M$9,Lookup!$N$3:$N$9)</f>
        <v>Wednesday</v>
      </c>
    </row>
    <row r="574" spans="1:25" x14ac:dyDescent="0.3">
      <c r="A574">
        <v>573</v>
      </c>
      <c r="B574" s="1">
        <v>41116</v>
      </c>
      <c r="C574">
        <v>3</v>
      </c>
      <c r="D574">
        <v>1</v>
      </c>
      <c r="E574">
        <v>7</v>
      </c>
      <c r="F574">
        <v>0</v>
      </c>
      <c r="G574">
        <v>4</v>
      </c>
      <c r="H574">
        <v>1</v>
      </c>
      <c r="I574">
        <v>1</v>
      </c>
      <c r="J574">
        <v>0.776667</v>
      </c>
      <c r="K574">
        <v>0.739263</v>
      </c>
      <c r="L574">
        <v>0.59666699999999995</v>
      </c>
      <c r="M574">
        <v>0.28481299999999998</v>
      </c>
      <c r="N574">
        <v>1036</v>
      </c>
      <c r="O574">
        <v>5825</v>
      </c>
      <c r="P574">
        <v>6861</v>
      </c>
      <c r="Q574">
        <f t="shared" si="32"/>
        <v>28.503349</v>
      </c>
      <c r="R574">
        <f t="shared" si="33"/>
        <v>32.791358000000002</v>
      </c>
      <c r="S574">
        <f t="shared" si="34"/>
        <v>59.666699999999992</v>
      </c>
      <c r="T574">
        <f t="shared" si="35"/>
        <v>19.082470999999998</v>
      </c>
      <c r="U574" t="str">
        <f>_xlfn.XLOOKUP(C574,Lookup!$A$3:$A$6,Lookup!$B$3:$B$6)</f>
        <v>Summer</v>
      </c>
      <c r="V574">
        <f>_xlfn.XLOOKUP(D574,Lookup!$D$3:$D$4,Lookup!$E$3:$E$4)</f>
        <v>2012</v>
      </c>
      <c r="W574" t="str">
        <f>_xlfn.XLOOKUP(I574,Lookup!$G$3:$G$6,Lookup!$H$3:$H$6)</f>
        <v>Clear</v>
      </c>
      <c r="X574" t="str">
        <f>_xlfn.XLOOKUP(E574,Lookup!$J$3:$J$14,Lookup!$K$3:$K$14)</f>
        <v>July</v>
      </c>
      <c r="Y574" t="str">
        <f>_xlfn.XLOOKUP(G574,Lookup!$M$3:$M$9,Lookup!$N$3:$N$9)</f>
        <v>Thursday</v>
      </c>
    </row>
    <row r="575" spans="1:25" x14ac:dyDescent="0.3">
      <c r="A575">
        <v>574</v>
      </c>
      <c r="B575" s="1">
        <v>41117</v>
      </c>
      <c r="C575">
        <v>3</v>
      </c>
      <c r="D575">
        <v>1</v>
      </c>
      <c r="E575">
        <v>7</v>
      </c>
      <c r="F575">
        <v>0</v>
      </c>
      <c r="G575">
        <v>5</v>
      </c>
      <c r="H575">
        <v>1</v>
      </c>
      <c r="I575">
        <v>1</v>
      </c>
      <c r="J575">
        <v>0.781667</v>
      </c>
      <c r="K575">
        <v>0.73421700000000001</v>
      </c>
      <c r="L575">
        <v>0.59458299999999997</v>
      </c>
      <c r="M575">
        <v>0.15299199999999999</v>
      </c>
      <c r="N575">
        <v>1259</v>
      </c>
      <c r="O575">
        <v>5645</v>
      </c>
      <c r="P575">
        <v>6904</v>
      </c>
      <c r="Q575">
        <f t="shared" si="32"/>
        <v>28.738348999999999</v>
      </c>
      <c r="R575">
        <f t="shared" si="33"/>
        <v>32.458322000000003</v>
      </c>
      <c r="S575">
        <f t="shared" si="34"/>
        <v>59.458299999999994</v>
      </c>
      <c r="T575">
        <f t="shared" si="35"/>
        <v>10.250463999999999</v>
      </c>
      <c r="U575" t="str">
        <f>_xlfn.XLOOKUP(C575,Lookup!$A$3:$A$6,Lookup!$B$3:$B$6)</f>
        <v>Summer</v>
      </c>
      <c r="V575">
        <f>_xlfn.XLOOKUP(D575,Lookup!$D$3:$D$4,Lookup!$E$3:$E$4)</f>
        <v>2012</v>
      </c>
      <c r="W575" t="str">
        <f>_xlfn.XLOOKUP(I575,Lookup!$G$3:$G$6,Lookup!$H$3:$H$6)</f>
        <v>Clear</v>
      </c>
      <c r="X575" t="str">
        <f>_xlfn.XLOOKUP(E575,Lookup!$J$3:$J$14,Lookup!$K$3:$K$14)</f>
        <v>July</v>
      </c>
      <c r="Y575" t="str">
        <f>_xlfn.XLOOKUP(G575,Lookup!$M$3:$M$9,Lookup!$N$3:$N$9)</f>
        <v>Friday</v>
      </c>
    </row>
    <row r="576" spans="1:25" x14ac:dyDescent="0.3">
      <c r="A576">
        <v>575</v>
      </c>
      <c r="B576" s="1">
        <v>41118</v>
      </c>
      <c r="C576">
        <v>3</v>
      </c>
      <c r="D576">
        <v>1</v>
      </c>
      <c r="E576">
        <v>7</v>
      </c>
      <c r="F576">
        <v>0</v>
      </c>
      <c r="G576">
        <v>6</v>
      </c>
      <c r="H576">
        <v>0</v>
      </c>
      <c r="I576">
        <v>1</v>
      </c>
      <c r="J576">
        <v>0.75583299999999998</v>
      </c>
      <c r="K576">
        <v>0.697604</v>
      </c>
      <c r="L576">
        <v>0.61333300000000002</v>
      </c>
      <c r="M576">
        <v>0.15734999999999999</v>
      </c>
      <c r="N576">
        <v>2234</v>
      </c>
      <c r="O576">
        <v>4451</v>
      </c>
      <c r="P576">
        <v>6685</v>
      </c>
      <c r="Q576">
        <f t="shared" si="32"/>
        <v>27.524150999999996</v>
      </c>
      <c r="R576">
        <f t="shared" si="33"/>
        <v>30.041863999999997</v>
      </c>
      <c r="S576">
        <f t="shared" si="34"/>
        <v>61.333300000000001</v>
      </c>
      <c r="T576">
        <f t="shared" si="35"/>
        <v>10.542449999999999</v>
      </c>
      <c r="U576" t="str">
        <f>_xlfn.XLOOKUP(C576,Lookup!$A$3:$A$6,Lookup!$B$3:$B$6)</f>
        <v>Summer</v>
      </c>
      <c r="V576">
        <f>_xlfn.XLOOKUP(D576,Lookup!$D$3:$D$4,Lookup!$E$3:$E$4)</f>
        <v>2012</v>
      </c>
      <c r="W576" t="str">
        <f>_xlfn.XLOOKUP(I576,Lookup!$G$3:$G$6,Lookup!$H$3:$H$6)</f>
        <v>Clear</v>
      </c>
      <c r="X576" t="str">
        <f>_xlfn.XLOOKUP(E576,Lookup!$J$3:$J$14,Lookup!$K$3:$K$14)</f>
        <v>July</v>
      </c>
      <c r="Y576" t="str">
        <f>_xlfn.XLOOKUP(G576,Lookup!$M$3:$M$9,Lookup!$N$3:$N$9)</f>
        <v>Saturday</v>
      </c>
    </row>
    <row r="577" spans="1:25" x14ac:dyDescent="0.3">
      <c r="A577">
        <v>576</v>
      </c>
      <c r="B577" s="1">
        <v>41119</v>
      </c>
      <c r="C577">
        <v>3</v>
      </c>
      <c r="D577">
        <v>1</v>
      </c>
      <c r="E577">
        <v>7</v>
      </c>
      <c r="F577">
        <v>0</v>
      </c>
      <c r="G577">
        <v>0</v>
      </c>
      <c r="H577">
        <v>0</v>
      </c>
      <c r="I577">
        <v>1</v>
      </c>
      <c r="J577">
        <v>0.72166699999999995</v>
      </c>
      <c r="K577">
        <v>0.667933</v>
      </c>
      <c r="L577">
        <v>0.62375000000000003</v>
      </c>
      <c r="M577">
        <v>0.17039599999999999</v>
      </c>
      <c r="N577">
        <v>2153</v>
      </c>
      <c r="O577">
        <v>4444</v>
      </c>
      <c r="P577">
        <v>6597</v>
      </c>
      <c r="Q577">
        <f t="shared" si="32"/>
        <v>25.918348999999999</v>
      </c>
      <c r="R577">
        <f t="shared" si="33"/>
        <v>28.083578000000003</v>
      </c>
      <c r="S577">
        <f t="shared" si="34"/>
        <v>62.375</v>
      </c>
      <c r="T577">
        <f t="shared" si="35"/>
        <v>11.416532</v>
      </c>
      <c r="U577" t="str">
        <f>_xlfn.XLOOKUP(C577,Lookup!$A$3:$A$6,Lookup!$B$3:$B$6)</f>
        <v>Summer</v>
      </c>
      <c r="V577">
        <f>_xlfn.XLOOKUP(D577,Lookup!$D$3:$D$4,Lookup!$E$3:$E$4)</f>
        <v>2012</v>
      </c>
      <c r="W577" t="str">
        <f>_xlfn.XLOOKUP(I577,Lookup!$G$3:$G$6,Lookup!$H$3:$H$6)</f>
        <v>Clear</v>
      </c>
      <c r="X577" t="str">
        <f>_xlfn.XLOOKUP(E577,Lookup!$J$3:$J$14,Lookup!$K$3:$K$14)</f>
        <v>July</v>
      </c>
      <c r="Y577" t="str">
        <f>_xlfn.XLOOKUP(G577,Lookup!$M$3:$M$9,Lookup!$N$3:$N$9)</f>
        <v>Sunday</v>
      </c>
    </row>
    <row r="578" spans="1:25" x14ac:dyDescent="0.3">
      <c r="A578">
        <v>577</v>
      </c>
      <c r="B578" s="1">
        <v>41120</v>
      </c>
      <c r="C578">
        <v>3</v>
      </c>
      <c r="D578">
        <v>1</v>
      </c>
      <c r="E578">
        <v>7</v>
      </c>
      <c r="F578">
        <v>0</v>
      </c>
      <c r="G578">
        <v>1</v>
      </c>
      <c r="H578">
        <v>1</v>
      </c>
      <c r="I578">
        <v>1</v>
      </c>
      <c r="J578">
        <v>0.73083299999999995</v>
      </c>
      <c r="K578">
        <v>0.68498700000000001</v>
      </c>
      <c r="L578">
        <v>0.66874999999999996</v>
      </c>
      <c r="M578">
        <v>0.153617</v>
      </c>
      <c r="N578">
        <v>1040</v>
      </c>
      <c r="O578">
        <v>6065</v>
      </c>
      <c r="P578">
        <v>7105</v>
      </c>
      <c r="Q578">
        <f t="shared" si="32"/>
        <v>26.349150999999999</v>
      </c>
      <c r="R578">
        <f t="shared" si="33"/>
        <v>29.209142</v>
      </c>
      <c r="S578">
        <f t="shared" si="34"/>
        <v>66.875</v>
      </c>
      <c r="T578">
        <f t="shared" si="35"/>
        <v>10.292339</v>
      </c>
      <c r="U578" t="str">
        <f>_xlfn.XLOOKUP(C578,Lookup!$A$3:$A$6,Lookup!$B$3:$B$6)</f>
        <v>Summer</v>
      </c>
      <c r="V578">
        <f>_xlfn.XLOOKUP(D578,Lookup!$D$3:$D$4,Lookup!$E$3:$E$4)</f>
        <v>2012</v>
      </c>
      <c r="W578" t="str">
        <f>_xlfn.XLOOKUP(I578,Lookup!$G$3:$G$6,Lookup!$H$3:$H$6)</f>
        <v>Clear</v>
      </c>
      <c r="X578" t="str">
        <f>_xlfn.XLOOKUP(E578,Lookup!$J$3:$J$14,Lookup!$K$3:$K$14)</f>
        <v>July</v>
      </c>
      <c r="Y578" t="str">
        <f>_xlfn.XLOOKUP(G578,Lookup!$M$3:$M$9,Lookup!$N$3:$N$9)</f>
        <v>Monday</v>
      </c>
    </row>
    <row r="579" spans="1:25" x14ac:dyDescent="0.3">
      <c r="A579">
        <v>578</v>
      </c>
      <c r="B579" s="1">
        <v>41121</v>
      </c>
      <c r="C579">
        <v>3</v>
      </c>
      <c r="D579">
        <v>1</v>
      </c>
      <c r="E579">
        <v>7</v>
      </c>
      <c r="F579">
        <v>0</v>
      </c>
      <c r="G579">
        <v>2</v>
      </c>
      <c r="H579">
        <v>1</v>
      </c>
      <c r="I579">
        <v>1</v>
      </c>
      <c r="J579">
        <v>0.71333299999999999</v>
      </c>
      <c r="K579">
        <v>0.66289600000000004</v>
      </c>
      <c r="L579">
        <v>0.70416699999999999</v>
      </c>
      <c r="M579">
        <v>0.16542499999999999</v>
      </c>
      <c r="N579">
        <v>968</v>
      </c>
      <c r="O579">
        <v>6248</v>
      </c>
      <c r="P579">
        <v>7216</v>
      </c>
      <c r="Q579">
        <f t="shared" ref="Q579:Q642" si="36">J579*47-8</f>
        <v>25.526651000000001</v>
      </c>
      <c r="R579">
        <f t="shared" ref="R579:R642" si="37">K579*66-16</f>
        <v>27.751136000000002</v>
      </c>
      <c r="S579">
        <f t="shared" ref="S579:S642" si="38">L579*100</f>
        <v>70.416699999999992</v>
      </c>
      <c r="T579">
        <f t="shared" ref="T579:T642" si="39">M579*67</f>
        <v>11.083475</v>
      </c>
      <c r="U579" t="str">
        <f>_xlfn.XLOOKUP(C579,Lookup!$A$3:$A$6,Lookup!$B$3:$B$6)</f>
        <v>Summer</v>
      </c>
      <c r="V579">
        <f>_xlfn.XLOOKUP(D579,Lookup!$D$3:$D$4,Lookup!$E$3:$E$4)</f>
        <v>2012</v>
      </c>
      <c r="W579" t="str">
        <f>_xlfn.XLOOKUP(I579,Lookup!$G$3:$G$6,Lookup!$H$3:$H$6)</f>
        <v>Clear</v>
      </c>
      <c r="X579" t="str">
        <f>_xlfn.XLOOKUP(E579,Lookup!$J$3:$J$14,Lookup!$K$3:$K$14)</f>
        <v>July</v>
      </c>
      <c r="Y579" t="str">
        <f>_xlfn.XLOOKUP(G579,Lookup!$M$3:$M$9,Lookup!$N$3:$N$9)</f>
        <v>Tuesday</v>
      </c>
    </row>
    <row r="580" spans="1:25" x14ac:dyDescent="0.3">
      <c r="A580">
        <v>579</v>
      </c>
      <c r="B580" s="1">
        <v>41122</v>
      </c>
      <c r="C580">
        <v>3</v>
      </c>
      <c r="D580">
        <v>1</v>
      </c>
      <c r="E580">
        <v>8</v>
      </c>
      <c r="F580">
        <v>0</v>
      </c>
      <c r="G580">
        <v>3</v>
      </c>
      <c r="H580">
        <v>1</v>
      </c>
      <c r="I580">
        <v>1</v>
      </c>
      <c r="J580">
        <v>0.71750000000000003</v>
      </c>
      <c r="K580">
        <v>0.66730800000000001</v>
      </c>
      <c r="L580">
        <v>0.67749999999999999</v>
      </c>
      <c r="M580">
        <v>0.141179</v>
      </c>
      <c r="N580">
        <v>1074</v>
      </c>
      <c r="O580">
        <v>6506</v>
      </c>
      <c r="P580">
        <v>7580</v>
      </c>
      <c r="Q580">
        <f t="shared" si="36"/>
        <v>25.722500000000004</v>
      </c>
      <c r="R580">
        <f t="shared" si="37"/>
        <v>28.042327999999998</v>
      </c>
      <c r="S580">
        <f t="shared" si="38"/>
        <v>67.75</v>
      </c>
      <c r="T580">
        <f t="shared" si="39"/>
        <v>9.4589929999999995</v>
      </c>
      <c r="U580" t="str">
        <f>_xlfn.XLOOKUP(C580,Lookup!$A$3:$A$6,Lookup!$B$3:$B$6)</f>
        <v>Summer</v>
      </c>
      <c r="V580">
        <f>_xlfn.XLOOKUP(D580,Lookup!$D$3:$D$4,Lookup!$E$3:$E$4)</f>
        <v>2012</v>
      </c>
      <c r="W580" t="str">
        <f>_xlfn.XLOOKUP(I580,Lookup!$G$3:$G$6,Lookup!$H$3:$H$6)</f>
        <v>Clear</v>
      </c>
      <c r="X580" t="str">
        <f>_xlfn.XLOOKUP(E580,Lookup!$J$3:$J$14,Lookup!$K$3:$K$14)</f>
        <v>August</v>
      </c>
      <c r="Y580" t="str">
        <f>_xlfn.XLOOKUP(G580,Lookup!$M$3:$M$9,Lookup!$N$3:$N$9)</f>
        <v>Wednesday</v>
      </c>
    </row>
    <row r="581" spans="1:25" x14ac:dyDescent="0.3">
      <c r="A581">
        <v>580</v>
      </c>
      <c r="B581" s="1">
        <v>41123</v>
      </c>
      <c r="C581">
        <v>3</v>
      </c>
      <c r="D581">
        <v>1</v>
      </c>
      <c r="E581">
        <v>8</v>
      </c>
      <c r="F581">
        <v>0</v>
      </c>
      <c r="G581">
        <v>4</v>
      </c>
      <c r="H581">
        <v>1</v>
      </c>
      <c r="I581">
        <v>1</v>
      </c>
      <c r="J581">
        <v>0.75249999999999995</v>
      </c>
      <c r="K581">
        <v>0.70708800000000005</v>
      </c>
      <c r="L581">
        <v>0.65958300000000003</v>
      </c>
      <c r="M581">
        <v>0.129354</v>
      </c>
      <c r="N581">
        <v>983</v>
      </c>
      <c r="O581">
        <v>6278</v>
      </c>
      <c r="P581">
        <v>7261</v>
      </c>
      <c r="Q581">
        <f t="shared" si="36"/>
        <v>27.3675</v>
      </c>
      <c r="R581">
        <f t="shared" si="37"/>
        <v>30.667808000000001</v>
      </c>
      <c r="S581">
        <f t="shared" si="38"/>
        <v>65.958300000000008</v>
      </c>
      <c r="T581">
        <f t="shared" si="39"/>
        <v>8.6667179999999995</v>
      </c>
      <c r="U581" t="str">
        <f>_xlfn.XLOOKUP(C581,Lookup!$A$3:$A$6,Lookup!$B$3:$B$6)</f>
        <v>Summer</v>
      </c>
      <c r="V581">
        <f>_xlfn.XLOOKUP(D581,Lookup!$D$3:$D$4,Lookup!$E$3:$E$4)</f>
        <v>2012</v>
      </c>
      <c r="W581" t="str">
        <f>_xlfn.XLOOKUP(I581,Lookup!$G$3:$G$6,Lookup!$H$3:$H$6)</f>
        <v>Clear</v>
      </c>
      <c r="X581" t="str">
        <f>_xlfn.XLOOKUP(E581,Lookup!$J$3:$J$14,Lookup!$K$3:$K$14)</f>
        <v>August</v>
      </c>
      <c r="Y581" t="str">
        <f>_xlfn.XLOOKUP(G581,Lookup!$M$3:$M$9,Lookup!$N$3:$N$9)</f>
        <v>Thursday</v>
      </c>
    </row>
    <row r="582" spans="1:25" x14ac:dyDescent="0.3">
      <c r="A582">
        <v>581</v>
      </c>
      <c r="B582" s="1">
        <v>41124</v>
      </c>
      <c r="C582">
        <v>3</v>
      </c>
      <c r="D582">
        <v>1</v>
      </c>
      <c r="E582">
        <v>8</v>
      </c>
      <c r="F582">
        <v>0</v>
      </c>
      <c r="G582">
        <v>5</v>
      </c>
      <c r="H582">
        <v>1</v>
      </c>
      <c r="I582">
        <v>2</v>
      </c>
      <c r="J582">
        <v>0.76583299999999999</v>
      </c>
      <c r="K582">
        <v>0.72286700000000004</v>
      </c>
      <c r="L582">
        <v>0.64249999999999996</v>
      </c>
      <c r="M582">
        <v>0.21579200000000001</v>
      </c>
      <c r="N582">
        <v>1328</v>
      </c>
      <c r="O582">
        <v>5847</v>
      </c>
      <c r="P582">
        <v>7175</v>
      </c>
      <c r="Q582">
        <f t="shared" si="36"/>
        <v>27.994151000000002</v>
      </c>
      <c r="R582">
        <f t="shared" si="37"/>
        <v>31.709222000000004</v>
      </c>
      <c r="S582">
        <f t="shared" si="38"/>
        <v>64.25</v>
      </c>
      <c r="T582">
        <f t="shared" si="39"/>
        <v>14.458064</v>
      </c>
      <c r="U582" t="str">
        <f>_xlfn.XLOOKUP(C582,Lookup!$A$3:$A$6,Lookup!$B$3:$B$6)</f>
        <v>Summer</v>
      </c>
      <c r="V582">
        <f>_xlfn.XLOOKUP(D582,Lookup!$D$3:$D$4,Lookup!$E$3:$E$4)</f>
        <v>2012</v>
      </c>
      <c r="W582" t="str">
        <f>_xlfn.XLOOKUP(I582,Lookup!$G$3:$G$6,Lookup!$H$3:$H$6)</f>
        <v>Misty/Cloudy</v>
      </c>
      <c r="X582" t="str">
        <f>_xlfn.XLOOKUP(E582,Lookup!$J$3:$J$14,Lookup!$K$3:$K$14)</f>
        <v>August</v>
      </c>
      <c r="Y582" t="str">
        <f>_xlfn.XLOOKUP(G582,Lookup!$M$3:$M$9,Lookup!$N$3:$N$9)</f>
        <v>Friday</v>
      </c>
    </row>
    <row r="583" spans="1:25" x14ac:dyDescent="0.3">
      <c r="A583">
        <v>582</v>
      </c>
      <c r="B583" s="1">
        <v>41125</v>
      </c>
      <c r="C583">
        <v>3</v>
      </c>
      <c r="D583">
        <v>1</v>
      </c>
      <c r="E583">
        <v>8</v>
      </c>
      <c r="F583">
        <v>0</v>
      </c>
      <c r="G583">
        <v>6</v>
      </c>
      <c r="H583">
        <v>0</v>
      </c>
      <c r="I583">
        <v>1</v>
      </c>
      <c r="J583">
        <v>0.79333299999999995</v>
      </c>
      <c r="K583">
        <v>0.75126700000000002</v>
      </c>
      <c r="L583">
        <v>0.61333300000000002</v>
      </c>
      <c r="M583">
        <v>0.25745800000000002</v>
      </c>
      <c r="N583">
        <v>2345</v>
      </c>
      <c r="O583">
        <v>4479</v>
      </c>
      <c r="P583">
        <v>6824</v>
      </c>
      <c r="Q583">
        <f t="shared" si="36"/>
        <v>29.286650999999999</v>
      </c>
      <c r="R583">
        <f t="shared" si="37"/>
        <v>33.583621999999998</v>
      </c>
      <c r="S583">
        <f t="shared" si="38"/>
        <v>61.333300000000001</v>
      </c>
      <c r="T583">
        <f t="shared" si="39"/>
        <v>17.249686000000001</v>
      </c>
      <c r="U583" t="str">
        <f>_xlfn.XLOOKUP(C583,Lookup!$A$3:$A$6,Lookup!$B$3:$B$6)</f>
        <v>Summer</v>
      </c>
      <c r="V583">
        <f>_xlfn.XLOOKUP(D583,Lookup!$D$3:$D$4,Lookup!$E$3:$E$4)</f>
        <v>2012</v>
      </c>
      <c r="W583" t="str">
        <f>_xlfn.XLOOKUP(I583,Lookup!$G$3:$G$6,Lookup!$H$3:$H$6)</f>
        <v>Clear</v>
      </c>
      <c r="X583" t="str">
        <f>_xlfn.XLOOKUP(E583,Lookup!$J$3:$J$14,Lookup!$K$3:$K$14)</f>
        <v>August</v>
      </c>
      <c r="Y583" t="str">
        <f>_xlfn.XLOOKUP(G583,Lookup!$M$3:$M$9,Lookup!$N$3:$N$9)</f>
        <v>Saturday</v>
      </c>
    </row>
    <row r="584" spans="1:25" x14ac:dyDescent="0.3">
      <c r="A584">
        <v>583</v>
      </c>
      <c r="B584" s="1">
        <v>41126</v>
      </c>
      <c r="C584">
        <v>3</v>
      </c>
      <c r="D584">
        <v>1</v>
      </c>
      <c r="E584">
        <v>8</v>
      </c>
      <c r="F584">
        <v>0</v>
      </c>
      <c r="G584">
        <v>0</v>
      </c>
      <c r="H584">
        <v>0</v>
      </c>
      <c r="I584">
        <v>1</v>
      </c>
      <c r="J584">
        <v>0.76916700000000005</v>
      </c>
      <c r="K584">
        <v>0.73107900000000003</v>
      </c>
      <c r="L584">
        <v>0.65249999999999997</v>
      </c>
      <c r="M584">
        <v>0.29042099999999998</v>
      </c>
      <c r="N584">
        <v>1707</v>
      </c>
      <c r="O584">
        <v>3757</v>
      </c>
      <c r="P584">
        <v>5464</v>
      </c>
      <c r="Q584">
        <f t="shared" si="36"/>
        <v>28.150849000000001</v>
      </c>
      <c r="R584">
        <f t="shared" si="37"/>
        <v>32.251214000000004</v>
      </c>
      <c r="S584">
        <f t="shared" si="38"/>
        <v>65.25</v>
      </c>
      <c r="T584">
        <f t="shared" si="39"/>
        <v>19.458206999999998</v>
      </c>
      <c r="U584" t="str">
        <f>_xlfn.XLOOKUP(C584,Lookup!$A$3:$A$6,Lookup!$B$3:$B$6)</f>
        <v>Summer</v>
      </c>
      <c r="V584">
        <f>_xlfn.XLOOKUP(D584,Lookup!$D$3:$D$4,Lookup!$E$3:$E$4)</f>
        <v>2012</v>
      </c>
      <c r="W584" t="str">
        <f>_xlfn.XLOOKUP(I584,Lookup!$G$3:$G$6,Lookup!$H$3:$H$6)</f>
        <v>Clear</v>
      </c>
      <c r="X584" t="str">
        <f>_xlfn.XLOOKUP(E584,Lookup!$J$3:$J$14,Lookup!$K$3:$K$14)</f>
        <v>August</v>
      </c>
      <c r="Y584" t="str">
        <f>_xlfn.XLOOKUP(G584,Lookup!$M$3:$M$9,Lookup!$N$3:$N$9)</f>
        <v>Sunday</v>
      </c>
    </row>
    <row r="585" spans="1:25" x14ac:dyDescent="0.3">
      <c r="A585">
        <v>584</v>
      </c>
      <c r="B585" s="1">
        <v>41127</v>
      </c>
      <c r="C585">
        <v>3</v>
      </c>
      <c r="D585">
        <v>1</v>
      </c>
      <c r="E585">
        <v>8</v>
      </c>
      <c r="F585">
        <v>0</v>
      </c>
      <c r="G585">
        <v>1</v>
      </c>
      <c r="H585">
        <v>1</v>
      </c>
      <c r="I585">
        <v>2</v>
      </c>
      <c r="J585">
        <v>0.75249999999999995</v>
      </c>
      <c r="K585">
        <v>0.71024600000000004</v>
      </c>
      <c r="L585">
        <v>0.65416700000000005</v>
      </c>
      <c r="M585">
        <v>0.129354</v>
      </c>
      <c r="N585">
        <v>1233</v>
      </c>
      <c r="O585">
        <v>5780</v>
      </c>
      <c r="P585">
        <v>7013</v>
      </c>
      <c r="Q585">
        <f t="shared" si="36"/>
        <v>27.3675</v>
      </c>
      <c r="R585">
        <f t="shared" si="37"/>
        <v>30.876236000000006</v>
      </c>
      <c r="S585">
        <f t="shared" si="38"/>
        <v>65.416700000000006</v>
      </c>
      <c r="T585">
        <f t="shared" si="39"/>
        <v>8.6667179999999995</v>
      </c>
      <c r="U585" t="str">
        <f>_xlfn.XLOOKUP(C585,Lookup!$A$3:$A$6,Lookup!$B$3:$B$6)</f>
        <v>Summer</v>
      </c>
      <c r="V585">
        <f>_xlfn.XLOOKUP(D585,Lookup!$D$3:$D$4,Lookup!$E$3:$E$4)</f>
        <v>2012</v>
      </c>
      <c r="W585" t="str">
        <f>_xlfn.XLOOKUP(I585,Lookup!$G$3:$G$6,Lookup!$H$3:$H$6)</f>
        <v>Misty/Cloudy</v>
      </c>
      <c r="X585" t="str">
        <f>_xlfn.XLOOKUP(E585,Lookup!$J$3:$J$14,Lookup!$K$3:$K$14)</f>
        <v>August</v>
      </c>
      <c r="Y585" t="str">
        <f>_xlfn.XLOOKUP(G585,Lookup!$M$3:$M$9,Lookup!$N$3:$N$9)</f>
        <v>Monday</v>
      </c>
    </row>
    <row r="586" spans="1:25" x14ac:dyDescent="0.3">
      <c r="A586">
        <v>585</v>
      </c>
      <c r="B586" s="1">
        <v>41128</v>
      </c>
      <c r="C586">
        <v>3</v>
      </c>
      <c r="D586">
        <v>1</v>
      </c>
      <c r="E586">
        <v>8</v>
      </c>
      <c r="F586">
        <v>0</v>
      </c>
      <c r="G586">
        <v>2</v>
      </c>
      <c r="H586">
        <v>1</v>
      </c>
      <c r="I586">
        <v>2</v>
      </c>
      <c r="J586">
        <v>0.73583299999999996</v>
      </c>
      <c r="K586">
        <v>0.69762100000000005</v>
      </c>
      <c r="L586">
        <v>0.70374999999999999</v>
      </c>
      <c r="M586">
        <v>0.116908</v>
      </c>
      <c r="N586">
        <v>1278</v>
      </c>
      <c r="O586">
        <v>5995</v>
      </c>
      <c r="P586">
        <v>7273</v>
      </c>
      <c r="Q586">
        <f t="shared" si="36"/>
        <v>26.584150999999999</v>
      </c>
      <c r="R586">
        <f t="shared" si="37"/>
        <v>30.042986000000006</v>
      </c>
      <c r="S586">
        <f t="shared" si="38"/>
        <v>70.375</v>
      </c>
      <c r="T586">
        <f t="shared" si="39"/>
        <v>7.8328359999999995</v>
      </c>
      <c r="U586" t="str">
        <f>_xlfn.XLOOKUP(C586,Lookup!$A$3:$A$6,Lookup!$B$3:$B$6)</f>
        <v>Summer</v>
      </c>
      <c r="V586">
        <f>_xlfn.XLOOKUP(D586,Lookup!$D$3:$D$4,Lookup!$E$3:$E$4)</f>
        <v>2012</v>
      </c>
      <c r="W586" t="str">
        <f>_xlfn.XLOOKUP(I586,Lookup!$G$3:$G$6,Lookup!$H$3:$H$6)</f>
        <v>Misty/Cloudy</v>
      </c>
      <c r="X586" t="str">
        <f>_xlfn.XLOOKUP(E586,Lookup!$J$3:$J$14,Lookup!$K$3:$K$14)</f>
        <v>August</v>
      </c>
      <c r="Y586" t="str">
        <f>_xlfn.XLOOKUP(G586,Lookup!$M$3:$M$9,Lookup!$N$3:$N$9)</f>
        <v>Tuesday</v>
      </c>
    </row>
    <row r="587" spans="1:25" x14ac:dyDescent="0.3">
      <c r="A587">
        <v>586</v>
      </c>
      <c r="B587" s="1">
        <v>41129</v>
      </c>
      <c r="C587">
        <v>3</v>
      </c>
      <c r="D587">
        <v>1</v>
      </c>
      <c r="E587">
        <v>8</v>
      </c>
      <c r="F587">
        <v>0</v>
      </c>
      <c r="G587">
        <v>3</v>
      </c>
      <c r="H587">
        <v>1</v>
      </c>
      <c r="I587">
        <v>2</v>
      </c>
      <c r="J587">
        <v>0.75</v>
      </c>
      <c r="K587">
        <v>0.70771700000000004</v>
      </c>
      <c r="L587">
        <v>0.67291699999999999</v>
      </c>
      <c r="M587">
        <v>0.11070000000000001</v>
      </c>
      <c r="N587">
        <v>1263</v>
      </c>
      <c r="O587">
        <v>6271</v>
      </c>
      <c r="P587">
        <v>7534</v>
      </c>
      <c r="Q587">
        <f t="shared" si="36"/>
        <v>27.25</v>
      </c>
      <c r="R587">
        <f t="shared" si="37"/>
        <v>30.709322</v>
      </c>
      <c r="S587">
        <f t="shared" si="38"/>
        <v>67.291699999999992</v>
      </c>
      <c r="T587">
        <f t="shared" si="39"/>
        <v>7.4169</v>
      </c>
      <c r="U587" t="str">
        <f>_xlfn.XLOOKUP(C587,Lookup!$A$3:$A$6,Lookup!$B$3:$B$6)</f>
        <v>Summer</v>
      </c>
      <c r="V587">
        <f>_xlfn.XLOOKUP(D587,Lookup!$D$3:$D$4,Lookup!$E$3:$E$4)</f>
        <v>2012</v>
      </c>
      <c r="W587" t="str">
        <f>_xlfn.XLOOKUP(I587,Lookup!$G$3:$G$6,Lookup!$H$3:$H$6)</f>
        <v>Misty/Cloudy</v>
      </c>
      <c r="X587" t="str">
        <f>_xlfn.XLOOKUP(E587,Lookup!$J$3:$J$14,Lookup!$K$3:$K$14)</f>
        <v>August</v>
      </c>
      <c r="Y587" t="str">
        <f>_xlfn.XLOOKUP(G587,Lookup!$M$3:$M$9,Lookup!$N$3:$N$9)</f>
        <v>Wednesday</v>
      </c>
    </row>
    <row r="588" spans="1:25" x14ac:dyDescent="0.3">
      <c r="A588">
        <v>587</v>
      </c>
      <c r="B588" s="1">
        <v>41130</v>
      </c>
      <c r="C588">
        <v>3</v>
      </c>
      <c r="D588">
        <v>1</v>
      </c>
      <c r="E588">
        <v>8</v>
      </c>
      <c r="F588">
        <v>0</v>
      </c>
      <c r="G588">
        <v>4</v>
      </c>
      <c r="H588">
        <v>1</v>
      </c>
      <c r="I588">
        <v>1</v>
      </c>
      <c r="J588">
        <v>0.75583299999999998</v>
      </c>
      <c r="K588">
        <v>0.69950800000000002</v>
      </c>
      <c r="L588">
        <v>0.620417</v>
      </c>
      <c r="M588">
        <v>0.15609999999999999</v>
      </c>
      <c r="N588">
        <v>1196</v>
      </c>
      <c r="O588">
        <v>6090</v>
      </c>
      <c r="P588">
        <v>7286</v>
      </c>
      <c r="Q588">
        <f t="shared" si="36"/>
        <v>27.524150999999996</v>
      </c>
      <c r="R588">
        <f t="shared" si="37"/>
        <v>30.167528000000004</v>
      </c>
      <c r="S588">
        <f t="shared" si="38"/>
        <v>62.041699999999999</v>
      </c>
      <c r="T588">
        <f t="shared" si="39"/>
        <v>10.458699999999999</v>
      </c>
      <c r="U588" t="str">
        <f>_xlfn.XLOOKUP(C588,Lookup!$A$3:$A$6,Lookup!$B$3:$B$6)</f>
        <v>Summer</v>
      </c>
      <c r="V588">
        <f>_xlfn.XLOOKUP(D588,Lookup!$D$3:$D$4,Lookup!$E$3:$E$4)</f>
        <v>2012</v>
      </c>
      <c r="W588" t="str">
        <f>_xlfn.XLOOKUP(I588,Lookup!$G$3:$G$6,Lookup!$H$3:$H$6)</f>
        <v>Clear</v>
      </c>
      <c r="X588" t="str">
        <f>_xlfn.XLOOKUP(E588,Lookup!$J$3:$J$14,Lookup!$K$3:$K$14)</f>
        <v>August</v>
      </c>
      <c r="Y588" t="str">
        <f>_xlfn.XLOOKUP(G588,Lookup!$M$3:$M$9,Lookup!$N$3:$N$9)</f>
        <v>Thursday</v>
      </c>
    </row>
    <row r="589" spans="1:25" x14ac:dyDescent="0.3">
      <c r="A589">
        <v>588</v>
      </c>
      <c r="B589" s="1">
        <v>41131</v>
      </c>
      <c r="C589">
        <v>3</v>
      </c>
      <c r="D589">
        <v>1</v>
      </c>
      <c r="E589">
        <v>8</v>
      </c>
      <c r="F589">
        <v>0</v>
      </c>
      <c r="G589">
        <v>5</v>
      </c>
      <c r="H589">
        <v>1</v>
      </c>
      <c r="I589">
        <v>2</v>
      </c>
      <c r="J589">
        <v>0.71583300000000005</v>
      </c>
      <c r="K589">
        <v>0.66794200000000004</v>
      </c>
      <c r="L589">
        <v>0.71583300000000005</v>
      </c>
      <c r="M589">
        <v>0.238813</v>
      </c>
      <c r="N589">
        <v>1065</v>
      </c>
      <c r="O589">
        <v>4721</v>
      </c>
      <c r="P589">
        <v>5786</v>
      </c>
      <c r="Q589">
        <f t="shared" si="36"/>
        <v>25.644151000000001</v>
      </c>
      <c r="R589">
        <f t="shared" si="37"/>
        <v>28.084172000000002</v>
      </c>
      <c r="S589">
        <f t="shared" si="38"/>
        <v>71.583300000000008</v>
      </c>
      <c r="T589">
        <f t="shared" si="39"/>
        <v>16.000471000000001</v>
      </c>
      <c r="U589" t="str">
        <f>_xlfn.XLOOKUP(C589,Lookup!$A$3:$A$6,Lookup!$B$3:$B$6)</f>
        <v>Summer</v>
      </c>
      <c r="V589">
        <f>_xlfn.XLOOKUP(D589,Lookup!$D$3:$D$4,Lookup!$E$3:$E$4)</f>
        <v>2012</v>
      </c>
      <c r="W589" t="str">
        <f>_xlfn.XLOOKUP(I589,Lookup!$G$3:$G$6,Lookup!$H$3:$H$6)</f>
        <v>Misty/Cloudy</v>
      </c>
      <c r="X589" t="str">
        <f>_xlfn.XLOOKUP(E589,Lookup!$J$3:$J$14,Lookup!$K$3:$K$14)</f>
        <v>August</v>
      </c>
      <c r="Y589" t="str">
        <f>_xlfn.XLOOKUP(G589,Lookup!$M$3:$M$9,Lookup!$N$3:$N$9)</f>
        <v>Friday</v>
      </c>
    </row>
    <row r="590" spans="1:25" x14ac:dyDescent="0.3">
      <c r="A590">
        <v>589</v>
      </c>
      <c r="B590" s="1">
        <v>41132</v>
      </c>
      <c r="C590">
        <v>3</v>
      </c>
      <c r="D590">
        <v>1</v>
      </c>
      <c r="E590">
        <v>8</v>
      </c>
      <c r="F590">
        <v>0</v>
      </c>
      <c r="G590">
        <v>6</v>
      </c>
      <c r="H590">
        <v>0</v>
      </c>
      <c r="I590">
        <v>2</v>
      </c>
      <c r="J590">
        <v>0.6925</v>
      </c>
      <c r="K590">
        <v>0.63826700000000003</v>
      </c>
      <c r="L590">
        <v>0.73291700000000004</v>
      </c>
      <c r="M590">
        <v>0.206479</v>
      </c>
      <c r="N590">
        <v>2247</v>
      </c>
      <c r="O590">
        <v>4052</v>
      </c>
      <c r="P590">
        <v>6299</v>
      </c>
      <c r="Q590">
        <f t="shared" si="36"/>
        <v>24.547499999999999</v>
      </c>
      <c r="R590">
        <f t="shared" si="37"/>
        <v>26.125622</v>
      </c>
      <c r="S590">
        <f t="shared" si="38"/>
        <v>73.291700000000006</v>
      </c>
      <c r="T590">
        <f t="shared" si="39"/>
        <v>13.834092999999999</v>
      </c>
      <c r="U590" t="str">
        <f>_xlfn.XLOOKUP(C590,Lookup!$A$3:$A$6,Lookup!$B$3:$B$6)</f>
        <v>Summer</v>
      </c>
      <c r="V590">
        <f>_xlfn.XLOOKUP(D590,Lookup!$D$3:$D$4,Lookup!$E$3:$E$4)</f>
        <v>2012</v>
      </c>
      <c r="W590" t="str">
        <f>_xlfn.XLOOKUP(I590,Lookup!$G$3:$G$6,Lookup!$H$3:$H$6)</f>
        <v>Misty/Cloudy</v>
      </c>
      <c r="X590" t="str">
        <f>_xlfn.XLOOKUP(E590,Lookup!$J$3:$J$14,Lookup!$K$3:$K$14)</f>
        <v>August</v>
      </c>
      <c r="Y590" t="str">
        <f>_xlfn.XLOOKUP(G590,Lookup!$M$3:$M$9,Lookup!$N$3:$N$9)</f>
        <v>Saturday</v>
      </c>
    </row>
    <row r="591" spans="1:25" x14ac:dyDescent="0.3">
      <c r="A591">
        <v>590</v>
      </c>
      <c r="B591" s="1">
        <v>41133</v>
      </c>
      <c r="C591">
        <v>3</v>
      </c>
      <c r="D591">
        <v>1</v>
      </c>
      <c r="E591">
        <v>8</v>
      </c>
      <c r="F591">
        <v>0</v>
      </c>
      <c r="G591">
        <v>0</v>
      </c>
      <c r="H591">
        <v>0</v>
      </c>
      <c r="I591">
        <v>1</v>
      </c>
      <c r="J591">
        <v>0.70083300000000004</v>
      </c>
      <c r="K591">
        <v>0.64457900000000001</v>
      </c>
      <c r="L591">
        <v>0.53041700000000003</v>
      </c>
      <c r="M591">
        <v>0.122512</v>
      </c>
      <c r="N591">
        <v>2182</v>
      </c>
      <c r="O591">
        <v>4362</v>
      </c>
      <c r="P591">
        <v>6544</v>
      </c>
      <c r="Q591">
        <f t="shared" si="36"/>
        <v>24.939151000000003</v>
      </c>
      <c r="R591">
        <f t="shared" si="37"/>
        <v>26.542214000000001</v>
      </c>
      <c r="S591">
        <f t="shared" si="38"/>
        <v>53.041700000000006</v>
      </c>
      <c r="T591">
        <f t="shared" si="39"/>
        <v>8.208304</v>
      </c>
      <c r="U591" t="str">
        <f>_xlfn.XLOOKUP(C591,Lookup!$A$3:$A$6,Lookup!$B$3:$B$6)</f>
        <v>Summer</v>
      </c>
      <c r="V591">
        <f>_xlfn.XLOOKUP(D591,Lookup!$D$3:$D$4,Lookup!$E$3:$E$4)</f>
        <v>2012</v>
      </c>
      <c r="W591" t="str">
        <f>_xlfn.XLOOKUP(I591,Lookup!$G$3:$G$6,Lookup!$H$3:$H$6)</f>
        <v>Clear</v>
      </c>
      <c r="X591" t="str">
        <f>_xlfn.XLOOKUP(E591,Lookup!$J$3:$J$14,Lookup!$K$3:$K$14)</f>
        <v>August</v>
      </c>
      <c r="Y591" t="str">
        <f>_xlfn.XLOOKUP(G591,Lookup!$M$3:$M$9,Lookup!$N$3:$N$9)</f>
        <v>Sunday</v>
      </c>
    </row>
    <row r="592" spans="1:25" x14ac:dyDescent="0.3">
      <c r="A592">
        <v>591</v>
      </c>
      <c r="B592" s="1">
        <v>41134</v>
      </c>
      <c r="C592">
        <v>3</v>
      </c>
      <c r="D592">
        <v>1</v>
      </c>
      <c r="E592">
        <v>8</v>
      </c>
      <c r="F592">
        <v>0</v>
      </c>
      <c r="G592">
        <v>1</v>
      </c>
      <c r="H592">
        <v>1</v>
      </c>
      <c r="I592">
        <v>1</v>
      </c>
      <c r="J592">
        <v>0.72083299999999995</v>
      </c>
      <c r="K592">
        <v>0.66225400000000001</v>
      </c>
      <c r="L592">
        <v>0.54541700000000004</v>
      </c>
      <c r="M592">
        <v>0.136212</v>
      </c>
      <c r="N592">
        <v>1207</v>
      </c>
      <c r="O592">
        <v>5676</v>
      </c>
      <c r="P592">
        <v>6883</v>
      </c>
      <c r="Q592">
        <f t="shared" si="36"/>
        <v>25.879151</v>
      </c>
      <c r="R592">
        <f t="shared" si="37"/>
        <v>27.708764000000002</v>
      </c>
      <c r="S592">
        <f t="shared" si="38"/>
        <v>54.541700000000006</v>
      </c>
      <c r="T592">
        <f t="shared" si="39"/>
        <v>9.1262039999999995</v>
      </c>
      <c r="U592" t="str">
        <f>_xlfn.XLOOKUP(C592,Lookup!$A$3:$A$6,Lookup!$B$3:$B$6)</f>
        <v>Summer</v>
      </c>
      <c r="V592">
        <f>_xlfn.XLOOKUP(D592,Lookup!$D$3:$D$4,Lookup!$E$3:$E$4)</f>
        <v>2012</v>
      </c>
      <c r="W592" t="str">
        <f>_xlfn.XLOOKUP(I592,Lookup!$G$3:$G$6,Lookup!$H$3:$H$6)</f>
        <v>Clear</v>
      </c>
      <c r="X592" t="str">
        <f>_xlfn.XLOOKUP(E592,Lookup!$J$3:$J$14,Lookup!$K$3:$K$14)</f>
        <v>August</v>
      </c>
      <c r="Y592" t="str">
        <f>_xlfn.XLOOKUP(G592,Lookup!$M$3:$M$9,Lookup!$N$3:$N$9)</f>
        <v>Monday</v>
      </c>
    </row>
    <row r="593" spans="1:25" x14ac:dyDescent="0.3">
      <c r="A593">
        <v>592</v>
      </c>
      <c r="B593" s="1">
        <v>41135</v>
      </c>
      <c r="C593">
        <v>3</v>
      </c>
      <c r="D593">
        <v>1</v>
      </c>
      <c r="E593">
        <v>8</v>
      </c>
      <c r="F593">
        <v>0</v>
      </c>
      <c r="G593">
        <v>2</v>
      </c>
      <c r="H593">
        <v>1</v>
      </c>
      <c r="I593">
        <v>1</v>
      </c>
      <c r="J593">
        <v>0.72666699999999995</v>
      </c>
      <c r="K593">
        <v>0.67677900000000002</v>
      </c>
      <c r="L593">
        <v>0.68666700000000003</v>
      </c>
      <c r="M593">
        <v>0.169158</v>
      </c>
      <c r="N593">
        <v>1128</v>
      </c>
      <c r="O593">
        <v>5656</v>
      </c>
      <c r="P593">
        <v>6784</v>
      </c>
      <c r="Q593">
        <f t="shared" si="36"/>
        <v>26.153348999999999</v>
      </c>
      <c r="R593">
        <f t="shared" si="37"/>
        <v>28.667414000000001</v>
      </c>
      <c r="S593">
        <f t="shared" si="38"/>
        <v>68.666700000000006</v>
      </c>
      <c r="T593">
        <f t="shared" si="39"/>
        <v>11.333586</v>
      </c>
      <c r="U593" t="str">
        <f>_xlfn.XLOOKUP(C593,Lookup!$A$3:$A$6,Lookup!$B$3:$B$6)</f>
        <v>Summer</v>
      </c>
      <c r="V593">
        <f>_xlfn.XLOOKUP(D593,Lookup!$D$3:$D$4,Lookup!$E$3:$E$4)</f>
        <v>2012</v>
      </c>
      <c r="W593" t="str">
        <f>_xlfn.XLOOKUP(I593,Lookup!$G$3:$G$6,Lookup!$H$3:$H$6)</f>
        <v>Clear</v>
      </c>
      <c r="X593" t="str">
        <f>_xlfn.XLOOKUP(E593,Lookup!$J$3:$J$14,Lookup!$K$3:$K$14)</f>
        <v>August</v>
      </c>
      <c r="Y593" t="str">
        <f>_xlfn.XLOOKUP(G593,Lookup!$M$3:$M$9,Lookup!$N$3:$N$9)</f>
        <v>Tuesday</v>
      </c>
    </row>
    <row r="594" spans="1:25" x14ac:dyDescent="0.3">
      <c r="A594">
        <v>593</v>
      </c>
      <c r="B594" s="1">
        <v>41136</v>
      </c>
      <c r="C594">
        <v>3</v>
      </c>
      <c r="D594">
        <v>1</v>
      </c>
      <c r="E594">
        <v>8</v>
      </c>
      <c r="F594">
        <v>0</v>
      </c>
      <c r="G594">
        <v>3</v>
      </c>
      <c r="H594">
        <v>1</v>
      </c>
      <c r="I594">
        <v>1</v>
      </c>
      <c r="J594">
        <v>0.70666700000000005</v>
      </c>
      <c r="K594">
        <v>0.65403699999999998</v>
      </c>
      <c r="L594">
        <v>0.61958299999999999</v>
      </c>
      <c r="M594">
        <v>0.16977100000000001</v>
      </c>
      <c r="N594">
        <v>1198</v>
      </c>
      <c r="O594">
        <v>6149</v>
      </c>
      <c r="P594">
        <v>7347</v>
      </c>
      <c r="Q594">
        <f t="shared" si="36"/>
        <v>25.213349000000001</v>
      </c>
      <c r="R594">
        <f t="shared" si="37"/>
        <v>27.166441999999996</v>
      </c>
      <c r="S594">
        <f t="shared" si="38"/>
        <v>61.958300000000001</v>
      </c>
      <c r="T594">
        <f t="shared" si="39"/>
        <v>11.374657000000001</v>
      </c>
      <c r="U594" t="str">
        <f>_xlfn.XLOOKUP(C594,Lookup!$A$3:$A$6,Lookup!$B$3:$B$6)</f>
        <v>Summer</v>
      </c>
      <c r="V594">
        <f>_xlfn.XLOOKUP(D594,Lookup!$D$3:$D$4,Lookup!$E$3:$E$4)</f>
        <v>2012</v>
      </c>
      <c r="W594" t="str">
        <f>_xlfn.XLOOKUP(I594,Lookup!$G$3:$G$6,Lookup!$H$3:$H$6)</f>
        <v>Clear</v>
      </c>
      <c r="X594" t="str">
        <f>_xlfn.XLOOKUP(E594,Lookup!$J$3:$J$14,Lookup!$K$3:$K$14)</f>
        <v>August</v>
      </c>
      <c r="Y594" t="str">
        <f>_xlfn.XLOOKUP(G594,Lookup!$M$3:$M$9,Lookup!$N$3:$N$9)</f>
        <v>Wednesday</v>
      </c>
    </row>
    <row r="595" spans="1:25" x14ac:dyDescent="0.3">
      <c r="A595">
        <v>594</v>
      </c>
      <c r="B595" s="1">
        <v>41137</v>
      </c>
      <c r="C595">
        <v>3</v>
      </c>
      <c r="D595">
        <v>1</v>
      </c>
      <c r="E595">
        <v>8</v>
      </c>
      <c r="F595">
        <v>0</v>
      </c>
      <c r="G595">
        <v>4</v>
      </c>
      <c r="H595">
        <v>1</v>
      </c>
      <c r="I595">
        <v>1</v>
      </c>
      <c r="J595">
        <v>0.719167</v>
      </c>
      <c r="K595">
        <v>0.65468800000000005</v>
      </c>
      <c r="L595">
        <v>0.51916700000000005</v>
      </c>
      <c r="M595">
        <v>0.14179600000000001</v>
      </c>
      <c r="N595">
        <v>1338</v>
      </c>
      <c r="O595">
        <v>6267</v>
      </c>
      <c r="P595">
        <v>7605</v>
      </c>
      <c r="Q595">
        <f t="shared" si="36"/>
        <v>25.800848999999999</v>
      </c>
      <c r="R595">
        <f t="shared" si="37"/>
        <v>27.209408000000003</v>
      </c>
      <c r="S595">
        <f t="shared" si="38"/>
        <v>51.916700000000006</v>
      </c>
      <c r="T595">
        <f t="shared" si="39"/>
        <v>9.5003320000000002</v>
      </c>
      <c r="U595" t="str">
        <f>_xlfn.XLOOKUP(C595,Lookup!$A$3:$A$6,Lookup!$B$3:$B$6)</f>
        <v>Summer</v>
      </c>
      <c r="V595">
        <f>_xlfn.XLOOKUP(D595,Lookup!$D$3:$D$4,Lookup!$E$3:$E$4)</f>
        <v>2012</v>
      </c>
      <c r="W595" t="str">
        <f>_xlfn.XLOOKUP(I595,Lookup!$G$3:$G$6,Lookup!$H$3:$H$6)</f>
        <v>Clear</v>
      </c>
      <c r="X595" t="str">
        <f>_xlfn.XLOOKUP(E595,Lookup!$J$3:$J$14,Lookup!$K$3:$K$14)</f>
        <v>August</v>
      </c>
      <c r="Y595" t="str">
        <f>_xlfn.XLOOKUP(G595,Lookup!$M$3:$M$9,Lookup!$N$3:$N$9)</f>
        <v>Thursday</v>
      </c>
    </row>
    <row r="596" spans="1:25" x14ac:dyDescent="0.3">
      <c r="A596">
        <v>595</v>
      </c>
      <c r="B596" s="1">
        <v>41138</v>
      </c>
      <c r="C596">
        <v>3</v>
      </c>
      <c r="D596">
        <v>1</v>
      </c>
      <c r="E596">
        <v>8</v>
      </c>
      <c r="F596">
        <v>0</v>
      </c>
      <c r="G596">
        <v>5</v>
      </c>
      <c r="H596">
        <v>1</v>
      </c>
      <c r="I596">
        <v>1</v>
      </c>
      <c r="J596">
        <v>0.723333</v>
      </c>
      <c r="K596">
        <v>0.2424</v>
      </c>
      <c r="L596">
        <v>0.57083300000000003</v>
      </c>
      <c r="M596">
        <v>0.231354</v>
      </c>
      <c r="N596">
        <v>1483</v>
      </c>
      <c r="O596">
        <v>5665</v>
      </c>
      <c r="P596">
        <v>7148</v>
      </c>
      <c r="Q596">
        <f t="shared" si="36"/>
        <v>25.996651</v>
      </c>
      <c r="R596">
        <f t="shared" si="37"/>
        <v>-1.5999999999998238E-3</v>
      </c>
      <c r="S596">
        <f t="shared" si="38"/>
        <v>57.083300000000001</v>
      </c>
      <c r="T596">
        <f t="shared" si="39"/>
        <v>15.500718000000001</v>
      </c>
      <c r="U596" t="str">
        <f>_xlfn.XLOOKUP(C596,Lookup!$A$3:$A$6,Lookup!$B$3:$B$6)</f>
        <v>Summer</v>
      </c>
      <c r="V596">
        <f>_xlfn.XLOOKUP(D596,Lookup!$D$3:$D$4,Lookup!$E$3:$E$4)</f>
        <v>2012</v>
      </c>
      <c r="W596" t="str">
        <f>_xlfn.XLOOKUP(I596,Lookup!$G$3:$G$6,Lookup!$H$3:$H$6)</f>
        <v>Clear</v>
      </c>
      <c r="X596" t="str">
        <f>_xlfn.XLOOKUP(E596,Lookup!$J$3:$J$14,Lookup!$K$3:$K$14)</f>
        <v>August</v>
      </c>
      <c r="Y596" t="str">
        <f>_xlfn.XLOOKUP(G596,Lookup!$M$3:$M$9,Lookup!$N$3:$N$9)</f>
        <v>Friday</v>
      </c>
    </row>
    <row r="597" spans="1:25" x14ac:dyDescent="0.3">
      <c r="A597">
        <v>596</v>
      </c>
      <c r="B597" s="1">
        <v>41139</v>
      </c>
      <c r="C597">
        <v>3</v>
      </c>
      <c r="D597">
        <v>1</v>
      </c>
      <c r="E597">
        <v>8</v>
      </c>
      <c r="F597">
        <v>0</v>
      </c>
      <c r="G597">
        <v>6</v>
      </c>
      <c r="H597">
        <v>0</v>
      </c>
      <c r="I597">
        <v>1</v>
      </c>
      <c r="J597">
        <v>0.67833299999999996</v>
      </c>
      <c r="K597">
        <v>0.61807100000000004</v>
      </c>
      <c r="L597">
        <v>0.60333300000000001</v>
      </c>
      <c r="M597">
        <v>0.177867</v>
      </c>
      <c r="N597">
        <v>2827</v>
      </c>
      <c r="O597">
        <v>5038</v>
      </c>
      <c r="P597">
        <v>7865</v>
      </c>
      <c r="Q597">
        <f t="shared" si="36"/>
        <v>23.881650999999998</v>
      </c>
      <c r="R597">
        <f t="shared" si="37"/>
        <v>24.792686000000003</v>
      </c>
      <c r="S597">
        <f t="shared" si="38"/>
        <v>60.333300000000001</v>
      </c>
      <c r="T597">
        <f t="shared" si="39"/>
        <v>11.917089000000001</v>
      </c>
      <c r="U597" t="str">
        <f>_xlfn.XLOOKUP(C597,Lookup!$A$3:$A$6,Lookup!$B$3:$B$6)</f>
        <v>Summer</v>
      </c>
      <c r="V597">
        <f>_xlfn.XLOOKUP(D597,Lookup!$D$3:$D$4,Lookup!$E$3:$E$4)</f>
        <v>2012</v>
      </c>
      <c r="W597" t="str">
        <f>_xlfn.XLOOKUP(I597,Lookup!$G$3:$G$6,Lookup!$H$3:$H$6)</f>
        <v>Clear</v>
      </c>
      <c r="X597" t="str">
        <f>_xlfn.XLOOKUP(E597,Lookup!$J$3:$J$14,Lookup!$K$3:$K$14)</f>
        <v>August</v>
      </c>
      <c r="Y597" t="str">
        <f>_xlfn.XLOOKUP(G597,Lookup!$M$3:$M$9,Lookup!$N$3:$N$9)</f>
        <v>Saturday</v>
      </c>
    </row>
    <row r="598" spans="1:25" x14ac:dyDescent="0.3">
      <c r="A598">
        <v>597</v>
      </c>
      <c r="B598" s="1">
        <v>41140</v>
      </c>
      <c r="C598">
        <v>3</v>
      </c>
      <c r="D598">
        <v>1</v>
      </c>
      <c r="E598">
        <v>8</v>
      </c>
      <c r="F598">
        <v>0</v>
      </c>
      <c r="G598">
        <v>0</v>
      </c>
      <c r="H598">
        <v>0</v>
      </c>
      <c r="I598">
        <v>2</v>
      </c>
      <c r="J598">
        <v>0.63583299999999998</v>
      </c>
      <c r="K598">
        <v>0.60355400000000003</v>
      </c>
      <c r="L598">
        <v>0.71166700000000005</v>
      </c>
      <c r="M598">
        <v>8.6449999999999999E-2</v>
      </c>
      <c r="N598">
        <v>1208</v>
      </c>
      <c r="O598">
        <v>3341</v>
      </c>
      <c r="P598">
        <v>4549</v>
      </c>
      <c r="Q598">
        <f t="shared" si="36"/>
        <v>21.884150999999999</v>
      </c>
      <c r="R598">
        <f t="shared" si="37"/>
        <v>23.834564</v>
      </c>
      <c r="S598">
        <f t="shared" si="38"/>
        <v>71.166700000000006</v>
      </c>
      <c r="T598">
        <f t="shared" si="39"/>
        <v>5.7921500000000004</v>
      </c>
      <c r="U598" t="str">
        <f>_xlfn.XLOOKUP(C598,Lookup!$A$3:$A$6,Lookup!$B$3:$B$6)</f>
        <v>Summer</v>
      </c>
      <c r="V598">
        <f>_xlfn.XLOOKUP(D598,Lookup!$D$3:$D$4,Lookup!$E$3:$E$4)</f>
        <v>2012</v>
      </c>
      <c r="W598" t="str">
        <f>_xlfn.XLOOKUP(I598,Lookup!$G$3:$G$6,Lookup!$H$3:$H$6)</f>
        <v>Misty/Cloudy</v>
      </c>
      <c r="X598" t="str">
        <f>_xlfn.XLOOKUP(E598,Lookup!$J$3:$J$14,Lookup!$K$3:$K$14)</f>
        <v>August</v>
      </c>
      <c r="Y598" t="str">
        <f>_xlfn.XLOOKUP(G598,Lookup!$M$3:$M$9,Lookup!$N$3:$N$9)</f>
        <v>Sunday</v>
      </c>
    </row>
    <row r="599" spans="1:25" x14ac:dyDescent="0.3">
      <c r="A599">
        <v>598</v>
      </c>
      <c r="B599" s="1">
        <v>41141</v>
      </c>
      <c r="C599">
        <v>3</v>
      </c>
      <c r="D599">
        <v>1</v>
      </c>
      <c r="E599">
        <v>8</v>
      </c>
      <c r="F599">
        <v>0</v>
      </c>
      <c r="G599">
        <v>1</v>
      </c>
      <c r="H599">
        <v>1</v>
      </c>
      <c r="I599">
        <v>2</v>
      </c>
      <c r="J599">
        <v>0.63583299999999998</v>
      </c>
      <c r="K599">
        <v>0.59596700000000002</v>
      </c>
      <c r="L599">
        <v>0.73416700000000001</v>
      </c>
      <c r="M599">
        <v>0.12997900000000001</v>
      </c>
      <c r="N599">
        <v>1026</v>
      </c>
      <c r="O599">
        <v>5504</v>
      </c>
      <c r="P599">
        <v>6530</v>
      </c>
      <c r="Q599">
        <f t="shared" si="36"/>
        <v>21.884150999999999</v>
      </c>
      <c r="R599">
        <f t="shared" si="37"/>
        <v>23.333822000000005</v>
      </c>
      <c r="S599">
        <f t="shared" si="38"/>
        <v>73.416700000000006</v>
      </c>
      <c r="T599">
        <f t="shared" si="39"/>
        <v>8.7085930000000005</v>
      </c>
      <c r="U599" t="str">
        <f>_xlfn.XLOOKUP(C599,Lookup!$A$3:$A$6,Lookup!$B$3:$B$6)</f>
        <v>Summer</v>
      </c>
      <c r="V599">
        <f>_xlfn.XLOOKUP(D599,Lookup!$D$3:$D$4,Lookup!$E$3:$E$4)</f>
        <v>2012</v>
      </c>
      <c r="W599" t="str">
        <f>_xlfn.XLOOKUP(I599,Lookup!$G$3:$G$6,Lookup!$H$3:$H$6)</f>
        <v>Misty/Cloudy</v>
      </c>
      <c r="X599" t="str">
        <f>_xlfn.XLOOKUP(E599,Lookup!$J$3:$J$14,Lookup!$K$3:$K$14)</f>
        <v>August</v>
      </c>
      <c r="Y599" t="str">
        <f>_xlfn.XLOOKUP(G599,Lookup!$M$3:$M$9,Lookup!$N$3:$N$9)</f>
        <v>Monday</v>
      </c>
    </row>
    <row r="600" spans="1:25" x14ac:dyDescent="0.3">
      <c r="A600">
        <v>599</v>
      </c>
      <c r="B600" s="1">
        <v>41142</v>
      </c>
      <c r="C600">
        <v>3</v>
      </c>
      <c r="D600">
        <v>1</v>
      </c>
      <c r="E600">
        <v>8</v>
      </c>
      <c r="F600">
        <v>0</v>
      </c>
      <c r="G600">
        <v>2</v>
      </c>
      <c r="H600">
        <v>1</v>
      </c>
      <c r="I600">
        <v>1</v>
      </c>
      <c r="J600">
        <v>0.64916700000000005</v>
      </c>
      <c r="K600">
        <v>0.60102500000000003</v>
      </c>
      <c r="L600">
        <v>0.67374999999999996</v>
      </c>
      <c r="M600">
        <v>7.2770799999999997E-2</v>
      </c>
      <c r="N600">
        <v>1081</v>
      </c>
      <c r="O600">
        <v>5925</v>
      </c>
      <c r="P600">
        <v>7006</v>
      </c>
      <c r="Q600">
        <f t="shared" si="36"/>
        <v>22.510849000000004</v>
      </c>
      <c r="R600">
        <f t="shared" si="37"/>
        <v>23.667650000000002</v>
      </c>
      <c r="S600">
        <f t="shared" si="38"/>
        <v>67.375</v>
      </c>
      <c r="T600">
        <f t="shared" si="39"/>
        <v>4.8756436000000001</v>
      </c>
      <c r="U600" t="str">
        <f>_xlfn.XLOOKUP(C600,Lookup!$A$3:$A$6,Lookup!$B$3:$B$6)</f>
        <v>Summer</v>
      </c>
      <c r="V600">
        <f>_xlfn.XLOOKUP(D600,Lookup!$D$3:$D$4,Lookup!$E$3:$E$4)</f>
        <v>2012</v>
      </c>
      <c r="W600" t="str">
        <f>_xlfn.XLOOKUP(I600,Lookup!$G$3:$G$6,Lookup!$H$3:$H$6)</f>
        <v>Clear</v>
      </c>
      <c r="X600" t="str">
        <f>_xlfn.XLOOKUP(E600,Lookup!$J$3:$J$14,Lookup!$K$3:$K$14)</f>
        <v>August</v>
      </c>
      <c r="Y600" t="str">
        <f>_xlfn.XLOOKUP(G600,Lookup!$M$3:$M$9,Lookup!$N$3:$N$9)</f>
        <v>Tuesday</v>
      </c>
    </row>
    <row r="601" spans="1:25" x14ac:dyDescent="0.3">
      <c r="A601">
        <v>600</v>
      </c>
      <c r="B601" s="1">
        <v>41143</v>
      </c>
      <c r="C601">
        <v>3</v>
      </c>
      <c r="D601">
        <v>1</v>
      </c>
      <c r="E601">
        <v>8</v>
      </c>
      <c r="F601">
        <v>0</v>
      </c>
      <c r="G601">
        <v>3</v>
      </c>
      <c r="H601">
        <v>1</v>
      </c>
      <c r="I601">
        <v>1</v>
      </c>
      <c r="J601">
        <v>0.66749999999999998</v>
      </c>
      <c r="K601">
        <v>0.62185400000000002</v>
      </c>
      <c r="L601">
        <v>0.67708299999999999</v>
      </c>
      <c r="M601">
        <v>7.0283300000000007E-2</v>
      </c>
      <c r="N601">
        <v>1094</v>
      </c>
      <c r="O601">
        <v>6281</v>
      </c>
      <c r="P601">
        <v>7375</v>
      </c>
      <c r="Q601">
        <f t="shared" si="36"/>
        <v>23.372499999999999</v>
      </c>
      <c r="R601">
        <f t="shared" si="37"/>
        <v>25.042363999999999</v>
      </c>
      <c r="S601">
        <f t="shared" si="38"/>
        <v>67.708299999999994</v>
      </c>
      <c r="T601">
        <f t="shared" si="39"/>
        <v>4.7089811000000008</v>
      </c>
      <c r="U601" t="str">
        <f>_xlfn.XLOOKUP(C601,Lookup!$A$3:$A$6,Lookup!$B$3:$B$6)</f>
        <v>Summer</v>
      </c>
      <c r="V601">
        <f>_xlfn.XLOOKUP(D601,Lookup!$D$3:$D$4,Lookup!$E$3:$E$4)</f>
        <v>2012</v>
      </c>
      <c r="W601" t="str">
        <f>_xlfn.XLOOKUP(I601,Lookup!$G$3:$G$6,Lookup!$H$3:$H$6)</f>
        <v>Clear</v>
      </c>
      <c r="X601" t="str">
        <f>_xlfn.XLOOKUP(E601,Lookup!$J$3:$J$14,Lookup!$K$3:$K$14)</f>
        <v>August</v>
      </c>
      <c r="Y601" t="str">
        <f>_xlfn.XLOOKUP(G601,Lookup!$M$3:$M$9,Lookup!$N$3:$N$9)</f>
        <v>Wednesday</v>
      </c>
    </row>
    <row r="602" spans="1:25" x14ac:dyDescent="0.3">
      <c r="A602">
        <v>601</v>
      </c>
      <c r="B602" s="1">
        <v>41144</v>
      </c>
      <c r="C602">
        <v>3</v>
      </c>
      <c r="D602">
        <v>1</v>
      </c>
      <c r="E602">
        <v>8</v>
      </c>
      <c r="F602">
        <v>0</v>
      </c>
      <c r="G602">
        <v>4</v>
      </c>
      <c r="H602">
        <v>1</v>
      </c>
      <c r="I602">
        <v>1</v>
      </c>
      <c r="J602">
        <v>0.69583300000000003</v>
      </c>
      <c r="K602">
        <v>0.63700800000000002</v>
      </c>
      <c r="L602">
        <v>0.63583299999999998</v>
      </c>
      <c r="M602">
        <v>8.4595799999999999E-2</v>
      </c>
      <c r="N602">
        <v>1363</v>
      </c>
      <c r="O602">
        <v>6402</v>
      </c>
      <c r="P602">
        <v>7765</v>
      </c>
      <c r="Q602">
        <f t="shared" si="36"/>
        <v>24.704151000000003</v>
      </c>
      <c r="R602">
        <f t="shared" si="37"/>
        <v>26.042528000000004</v>
      </c>
      <c r="S602">
        <f t="shared" si="38"/>
        <v>63.583300000000001</v>
      </c>
      <c r="T602">
        <f t="shared" si="39"/>
        <v>5.6679186000000001</v>
      </c>
      <c r="U602" t="str">
        <f>_xlfn.XLOOKUP(C602,Lookup!$A$3:$A$6,Lookup!$B$3:$B$6)</f>
        <v>Summer</v>
      </c>
      <c r="V602">
        <f>_xlfn.XLOOKUP(D602,Lookup!$D$3:$D$4,Lookup!$E$3:$E$4)</f>
        <v>2012</v>
      </c>
      <c r="W602" t="str">
        <f>_xlfn.XLOOKUP(I602,Lookup!$G$3:$G$6,Lookup!$H$3:$H$6)</f>
        <v>Clear</v>
      </c>
      <c r="X602" t="str">
        <f>_xlfn.XLOOKUP(E602,Lookup!$J$3:$J$14,Lookup!$K$3:$K$14)</f>
        <v>August</v>
      </c>
      <c r="Y602" t="str">
        <f>_xlfn.XLOOKUP(G602,Lookup!$M$3:$M$9,Lookup!$N$3:$N$9)</f>
        <v>Thursday</v>
      </c>
    </row>
    <row r="603" spans="1:25" x14ac:dyDescent="0.3">
      <c r="A603">
        <v>602</v>
      </c>
      <c r="B603" s="1">
        <v>41145</v>
      </c>
      <c r="C603">
        <v>3</v>
      </c>
      <c r="D603">
        <v>1</v>
      </c>
      <c r="E603">
        <v>8</v>
      </c>
      <c r="F603">
        <v>0</v>
      </c>
      <c r="G603">
        <v>5</v>
      </c>
      <c r="H603">
        <v>1</v>
      </c>
      <c r="I603">
        <v>2</v>
      </c>
      <c r="J603">
        <v>0.70250000000000001</v>
      </c>
      <c r="K603">
        <v>0.64710000000000001</v>
      </c>
      <c r="L603">
        <v>0.61499999999999999</v>
      </c>
      <c r="M603">
        <v>7.2145799999999996E-2</v>
      </c>
      <c r="N603">
        <v>1325</v>
      </c>
      <c r="O603">
        <v>6257</v>
      </c>
      <c r="P603">
        <v>7582</v>
      </c>
      <c r="Q603">
        <f t="shared" si="36"/>
        <v>25.017499999999998</v>
      </c>
      <c r="R603">
        <f t="shared" si="37"/>
        <v>26.708600000000004</v>
      </c>
      <c r="S603">
        <f t="shared" si="38"/>
        <v>61.5</v>
      </c>
      <c r="T603">
        <f t="shared" si="39"/>
        <v>4.8337686</v>
      </c>
      <c r="U603" t="str">
        <f>_xlfn.XLOOKUP(C603,Lookup!$A$3:$A$6,Lookup!$B$3:$B$6)</f>
        <v>Summer</v>
      </c>
      <c r="V603">
        <f>_xlfn.XLOOKUP(D603,Lookup!$D$3:$D$4,Lookup!$E$3:$E$4)</f>
        <v>2012</v>
      </c>
      <c r="W603" t="str">
        <f>_xlfn.XLOOKUP(I603,Lookup!$G$3:$G$6,Lookup!$H$3:$H$6)</f>
        <v>Misty/Cloudy</v>
      </c>
      <c r="X603" t="str">
        <f>_xlfn.XLOOKUP(E603,Lookup!$J$3:$J$14,Lookup!$K$3:$K$14)</f>
        <v>August</v>
      </c>
      <c r="Y603" t="str">
        <f>_xlfn.XLOOKUP(G603,Lookup!$M$3:$M$9,Lookup!$N$3:$N$9)</f>
        <v>Friday</v>
      </c>
    </row>
    <row r="604" spans="1:25" x14ac:dyDescent="0.3">
      <c r="A604">
        <v>603</v>
      </c>
      <c r="B604" s="1">
        <v>41146</v>
      </c>
      <c r="C604">
        <v>3</v>
      </c>
      <c r="D604">
        <v>1</v>
      </c>
      <c r="E604">
        <v>8</v>
      </c>
      <c r="F604">
        <v>0</v>
      </c>
      <c r="G604">
        <v>6</v>
      </c>
      <c r="H604">
        <v>0</v>
      </c>
      <c r="I604">
        <v>2</v>
      </c>
      <c r="J604">
        <v>0.66166700000000001</v>
      </c>
      <c r="K604">
        <v>0.61869600000000002</v>
      </c>
      <c r="L604">
        <v>0.71291700000000002</v>
      </c>
      <c r="M604">
        <v>0.24440799999999999</v>
      </c>
      <c r="N604">
        <v>1829</v>
      </c>
      <c r="O604">
        <v>4224</v>
      </c>
      <c r="P604">
        <v>6053</v>
      </c>
      <c r="Q604">
        <f t="shared" si="36"/>
        <v>23.098348999999999</v>
      </c>
      <c r="R604">
        <f t="shared" si="37"/>
        <v>24.833936000000001</v>
      </c>
      <c r="S604">
        <f t="shared" si="38"/>
        <v>71.291700000000006</v>
      </c>
      <c r="T604">
        <f t="shared" si="39"/>
        <v>16.375336000000001</v>
      </c>
      <c r="U604" t="str">
        <f>_xlfn.XLOOKUP(C604,Lookup!$A$3:$A$6,Lookup!$B$3:$B$6)</f>
        <v>Summer</v>
      </c>
      <c r="V604">
        <f>_xlfn.XLOOKUP(D604,Lookup!$D$3:$D$4,Lookup!$E$3:$E$4)</f>
        <v>2012</v>
      </c>
      <c r="W604" t="str">
        <f>_xlfn.XLOOKUP(I604,Lookup!$G$3:$G$6,Lookup!$H$3:$H$6)</f>
        <v>Misty/Cloudy</v>
      </c>
      <c r="X604" t="str">
        <f>_xlfn.XLOOKUP(E604,Lookup!$J$3:$J$14,Lookup!$K$3:$K$14)</f>
        <v>August</v>
      </c>
      <c r="Y604" t="str">
        <f>_xlfn.XLOOKUP(G604,Lookup!$M$3:$M$9,Lookup!$N$3:$N$9)</f>
        <v>Saturday</v>
      </c>
    </row>
    <row r="605" spans="1:25" x14ac:dyDescent="0.3">
      <c r="A605">
        <v>604</v>
      </c>
      <c r="B605" s="1">
        <v>41147</v>
      </c>
      <c r="C605">
        <v>3</v>
      </c>
      <c r="D605">
        <v>1</v>
      </c>
      <c r="E605">
        <v>8</v>
      </c>
      <c r="F605">
        <v>0</v>
      </c>
      <c r="G605">
        <v>0</v>
      </c>
      <c r="H605">
        <v>0</v>
      </c>
      <c r="I605">
        <v>2</v>
      </c>
      <c r="J605">
        <v>0.65333300000000005</v>
      </c>
      <c r="K605">
        <v>0.59599599999999997</v>
      </c>
      <c r="L605">
        <v>0.84583299999999995</v>
      </c>
      <c r="M605">
        <v>0.22885800000000001</v>
      </c>
      <c r="N605">
        <v>1483</v>
      </c>
      <c r="O605">
        <v>3772</v>
      </c>
      <c r="P605">
        <v>5255</v>
      </c>
      <c r="Q605">
        <f t="shared" si="36"/>
        <v>22.706651000000001</v>
      </c>
      <c r="R605">
        <f t="shared" si="37"/>
        <v>23.335735999999997</v>
      </c>
      <c r="S605">
        <f t="shared" si="38"/>
        <v>84.583299999999994</v>
      </c>
      <c r="T605">
        <f t="shared" si="39"/>
        <v>15.333486000000001</v>
      </c>
      <c r="U605" t="str">
        <f>_xlfn.XLOOKUP(C605,Lookup!$A$3:$A$6,Lookup!$B$3:$B$6)</f>
        <v>Summer</v>
      </c>
      <c r="V605">
        <f>_xlfn.XLOOKUP(D605,Lookup!$D$3:$D$4,Lookup!$E$3:$E$4)</f>
        <v>2012</v>
      </c>
      <c r="W605" t="str">
        <f>_xlfn.XLOOKUP(I605,Lookup!$G$3:$G$6,Lookup!$H$3:$H$6)</f>
        <v>Misty/Cloudy</v>
      </c>
      <c r="X605" t="str">
        <f>_xlfn.XLOOKUP(E605,Lookup!$J$3:$J$14,Lookup!$K$3:$K$14)</f>
        <v>August</v>
      </c>
      <c r="Y605" t="str">
        <f>_xlfn.XLOOKUP(G605,Lookup!$M$3:$M$9,Lookup!$N$3:$N$9)</f>
        <v>Sunday</v>
      </c>
    </row>
    <row r="606" spans="1:25" x14ac:dyDescent="0.3">
      <c r="A606">
        <v>605</v>
      </c>
      <c r="B606" s="1">
        <v>41148</v>
      </c>
      <c r="C606">
        <v>3</v>
      </c>
      <c r="D606">
        <v>1</v>
      </c>
      <c r="E606">
        <v>8</v>
      </c>
      <c r="F606">
        <v>0</v>
      </c>
      <c r="G606">
        <v>1</v>
      </c>
      <c r="H606">
        <v>1</v>
      </c>
      <c r="I606">
        <v>1</v>
      </c>
      <c r="J606">
        <v>0.70333299999999999</v>
      </c>
      <c r="K606">
        <v>0.65468800000000005</v>
      </c>
      <c r="L606">
        <v>0.73041699999999998</v>
      </c>
      <c r="M606">
        <v>0.12873299999999999</v>
      </c>
      <c r="N606">
        <v>989</v>
      </c>
      <c r="O606">
        <v>5928</v>
      </c>
      <c r="P606">
        <v>6917</v>
      </c>
      <c r="Q606">
        <f t="shared" si="36"/>
        <v>25.056651000000002</v>
      </c>
      <c r="R606">
        <f t="shared" si="37"/>
        <v>27.209408000000003</v>
      </c>
      <c r="S606">
        <f t="shared" si="38"/>
        <v>73.041699999999992</v>
      </c>
      <c r="T606">
        <f t="shared" si="39"/>
        <v>8.6251109999999986</v>
      </c>
      <c r="U606" t="str">
        <f>_xlfn.XLOOKUP(C606,Lookup!$A$3:$A$6,Lookup!$B$3:$B$6)</f>
        <v>Summer</v>
      </c>
      <c r="V606">
        <f>_xlfn.XLOOKUP(D606,Lookup!$D$3:$D$4,Lookup!$E$3:$E$4)</f>
        <v>2012</v>
      </c>
      <c r="W606" t="str">
        <f>_xlfn.XLOOKUP(I606,Lookup!$G$3:$G$6,Lookup!$H$3:$H$6)</f>
        <v>Clear</v>
      </c>
      <c r="X606" t="str">
        <f>_xlfn.XLOOKUP(E606,Lookup!$J$3:$J$14,Lookup!$K$3:$K$14)</f>
        <v>August</v>
      </c>
      <c r="Y606" t="str">
        <f>_xlfn.XLOOKUP(G606,Lookup!$M$3:$M$9,Lookup!$N$3:$N$9)</f>
        <v>Monday</v>
      </c>
    </row>
    <row r="607" spans="1:25" x14ac:dyDescent="0.3">
      <c r="A607">
        <v>606</v>
      </c>
      <c r="B607" s="1">
        <v>41149</v>
      </c>
      <c r="C607">
        <v>3</v>
      </c>
      <c r="D607">
        <v>1</v>
      </c>
      <c r="E607">
        <v>8</v>
      </c>
      <c r="F607">
        <v>0</v>
      </c>
      <c r="G607">
        <v>2</v>
      </c>
      <c r="H607">
        <v>1</v>
      </c>
      <c r="I607">
        <v>1</v>
      </c>
      <c r="J607">
        <v>0.72833300000000001</v>
      </c>
      <c r="K607">
        <v>0.66605000000000003</v>
      </c>
      <c r="L607">
        <v>0.62</v>
      </c>
      <c r="M607">
        <v>0.19092500000000001</v>
      </c>
      <c r="N607">
        <v>935</v>
      </c>
      <c r="O607">
        <v>6105</v>
      </c>
      <c r="P607">
        <v>7040</v>
      </c>
      <c r="Q607">
        <f t="shared" si="36"/>
        <v>26.231650999999999</v>
      </c>
      <c r="R607">
        <f t="shared" si="37"/>
        <v>27.959299999999999</v>
      </c>
      <c r="S607">
        <f t="shared" si="38"/>
        <v>62</v>
      </c>
      <c r="T607">
        <f t="shared" si="39"/>
        <v>12.791975000000001</v>
      </c>
      <c r="U607" t="str">
        <f>_xlfn.XLOOKUP(C607,Lookup!$A$3:$A$6,Lookup!$B$3:$B$6)</f>
        <v>Summer</v>
      </c>
      <c r="V607">
        <f>_xlfn.XLOOKUP(D607,Lookup!$D$3:$D$4,Lookup!$E$3:$E$4)</f>
        <v>2012</v>
      </c>
      <c r="W607" t="str">
        <f>_xlfn.XLOOKUP(I607,Lookup!$G$3:$G$6,Lookup!$H$3:$H$6)</f>
        <v>Clear</v>
      </c>
      <c r="X607" t="str">
        <f>_xlfn.XLOOKUP(E607,Lookup!$J$3:$J$14,Lookup!$K$3:$K$14)</f>
        <v>August</v>
      </c>
      <c r="Y607" t="str">
        <f>_xlfn.XLOOKUP(G607,Lookup!$M$3:$M$9,Lookup!$N$3:$N$9)</f>
        <v>Tuesday</v>
      </c>
    </row>
    <row r="608" spans="1:25" x14ac:dyDescent="0.3">
      <c r="A608">
        <v>607</v>
      </c>
      <c r="B608" s="1">
        <v>41150</v>
      </c>
      <c r="C608">
        <v>3</v>
      </c>
      <c r="D608">
        <v>1</v>
      </c>
      <c r="E608">
        <v>8</v>
      </c>
      <c r="F608">
        <v>0</v>
      </c>
      <c r="G608">
        <v>3</v>
      </c>
      <c r="H608">
        <v>1</v>
      </c>
      <c r="I608">
        <v>1</v>
      </c>
      <c r="J608">
        <v>0.68500000000000005</v>
      </c>
      <c r="K608">
        <v>0.63573299999999999</v>
      </c>
      <c r="L608">
        <v>0.55208299999999999</v>
      </c>
      <c r="M608">
        <v>0.112562</v>
      </c>
      <c r="N608">
        <v>1177</v>
      </c>
      <c r="O608">
        <v>6520</v>
      </c>
      <c r="P608">
        <v>7697</v>
      </c>
      <c r="Q608">
        <f t="shared" si="36"/>
        <v>24.195</v>
      </c>
      <c r="R608">
        <f t="shared" si="37"/>
        <v>25.958377999999996</v>
      </c>
      <c r="S608">
        <f t="shared" si="38"/>
        <v>55.208300000000001</v>
      </c>
      <c r="T608">
        <f t="shared" si="39"/>
        <v>7.5416539999999994</v>
      </c>
      <c r="U608" t="str">
        <f>_xlfn.XLOOKUP(C608,Lookup!$A$3:$A$6,Lookup!$B$3:$B$6)</f>
        <v>Summer</v>
      </c>
      <c r="V608">
        <f>_xlfn.XLOOKUP(D608,Lookup!$D$3:$D$4,Lookup!$E$3:$E$4)</f>
        <v>2012</v>
      </c>
      <c r="W608" t="str">
        <f>_xlfn.XLOOKUP(I608,Lookup!$G$3:$G$6,Lookup!$H$3:$H$6)</f>
        <v>Clear</v>
      </c>
      <c r="X608" t="str">
        <f>_xlfn.XLOOKUP(E608,Lookup!$J$3:$J$14,Lookup!$K$3:$K$14)</f>
        <v>August</v>
      </c>
      <c r="Y608" t="str">
        <f>_xlfn.XLOOKUP(G608,Lookup!$M$3:$M$9,Lookup!$N$3:$N$9)</f>
        <v>Wednesday</v>
      </c>
    </row>
    <row r="609" spans="1:25" x14ac:dyDescent="0.3">
      <c r="A609">
        <v>608</v>
      </c>
      <c r="B609" s="1">
        <v>41151</v>
      </c>
      <c r="C609">
        <v>3</v>
      </c>
      <c r="D609">
        <v>1</v>
      </c>
      <c r="E609">
        <v>8</v>
      </c>
      <c r="F609">
        <v>0</v>
      </c>
      <c r="G609">
        <v>4</v>
      </c>
      <c r="H609">
        <v>1</v>
      </c>
      <c r="I609">
        <v>1</v>
      </c>
      <c r="J609">
        <v>0.70666700000000005</v>
      </c>
      <c r="K609">
        <v>0.652779</v>
      </c>
      <c r="L609">
        <v>0.59041699999999997</v>
      </c>
      <c r="M609">
        <v>7.7116699999999996E-2</v>
      </c>
      <c r="N609">
        <v>1172</v>
      </c>
      <c r="O609">
        <v>6541</v>
      </c>
      <c r="P609">
        <v>7713</v>
      </c>
      <c r="Q609">
        <f t="shared" si="36"/>
        <v>25.213349000000001</v>
      </c>
      <c r="R609">
        <f t="shared" si="37"/>
        <v>27.083413999999998</v>
      </c>
      <c r="S609">
        <f t="shared" si="38"/>
        <v>59.041699999999999</v>
      </c>
      <c r="T609">
        <f t="shared" si="39"/>
        <v>5.1668189</v>
      </c>
      <c r="U609" t="str">
        <f>_xlfn.XLOOKUP(C609,Lookup!$A$3:$A$6,Lookup!$B$3:$B$6)</f>
        <v>Summer</v>
      </c>
      <c r="V609">
        <f>_xlfn.XLOOKUP(D609,Lookup!$D$3:$D$4,Lookup!$E$3:$E$4)</f>
        <v>2012</v>
      </c>
      <c r="W609" t="str">
        <f>_xlfn.XLOOKUP(I609,Lookup!$G$3:$G$6,Lookup!$H$3:$H$6)</f>
        <v>Clear</v>
      </c>
      <c r="X609" t="str">
        <f>_xlfn.XLOOKUP(E609,Lookup!$J$3:$J$14,Lookup!$K$3:$K$14)</f>
        <v>August</v>
      </c>
      <c r="Y609" t="str">
        <f>_xlfn.XLOOKUP(G609,Lookup!$M$3:$M$9,Lookup!$N$3:$N$9)</f>
        <v>Thursday</v>
      </c>
    </row>
    <row r="610" spans="1:25" x14ac:dyDescent="0.3">
      <c r="A610">
        <v>609</v>
      </c>
      <c r="B610" s="1">
        <v>41152</v>
      </c>
      <c r="C610">
        <v>3</v>
      </c>
      <c r="D610">
        <v>1</v>
      </c>
      <c r="E610">
        <v>8</v>
      </c>
      <c r="F610">
        <v>0</v>
      </c>
      <c r="G610">
        <v>5</v>
      </c>
      <c r="H610">
        <v>1</v>
      </c>
      <c r="I610">
        <v>1</v>
      </c>
      <c r="J610">
        <v>0.76416700000000004</v>
      </c>
      <c r="K610">
        <v>0.68940000000000001</v>
      </c>
      <c r="L610">
        <v>0.58750000000000002</v>
      </c>
      <c r="M610">
        <v>0.16853299999999999</v>
      </c>
      <c r="N610">
        <v>1433</v>
      </c>
      <c r="O610">
        <v>5917</v>
      </c>
      <c r="P610">
        <v>7350</v>
      </c>
      <c r="Q610">
        <f t="shared" si="36"/>
        <v>27.915849000000001</v>
      </c>
      <c r="R610">
        <f t="shared" si="37"/>
        <v>29.500399999999999</v>
      </c>
      <c r="S610">
        <f t="shared" si="38"/>
        <v>58.75</v>
      </c>
      <c r="T610">
        <f t="shared" si="39"/>
        <v>11.291710999999999</v>
      </c>
      <c r="U610" t="str">
        <f>_xlfn.XLOOKUP(C610,Lookup!$A$3:$A$6,Lookup!$B$3:$B$6)</f>
        <v>Summer</v>
      </c>
      <c r="V610">
        <f>_xlfn.XLOOKUP(D610,Lookup!$D$3:$D$4,Lookup!$E$3:$E$4)</f>
        <v>2012</v>
      </c>
      <c r="W610" t="str">
        <f>_xlfn.XLOOKUP(I610,Lookup!$G$3:$G$6,Lookup!$H$3:$H$6)</f>
        <v>Clear</v>
      </c>
      <c r="X610" t="str">
        <f>_xlfn.XLOOKUP(E610,Lookup!$J$3:$J$14,Lookup!$K$3:$K$14)</f>
        <v>August</v>
      </c>
      <c r="Y610" t="str">
        <f>_xlfn.XLOOKUP(G610,Lookup!$M$3:$M$9,Lookup!$N$3:$N$9)</f>
        <v>Friday</v>
      </c>
    </row>
    <row r="611" spans="1:25" x14ac:dyDescent="0.3">
      <c r="A611">
        <v>610</v>
      </c>
      <c r="B611" s="1">
        <v>41153</v>
      </c>
      <c r="C611">
        <v>3</v>
      </c>
      <c r="D611">
        <v>1</v>
      </c>
      <c r="E611">
        <v>9</v>
      </c>
      <c r="F611">
        <v>0</v>
      </c>
      <c r="G611">
        <v>6</v>
      </c>
      <c r="H611">
        <v>0</v>
      </c>
      <c r="I611">
        <v>2</v>
      </c>
      <c r="J611">
        <v>0.75333300000000003</v>
      </c>
      <c r="K611">
        <v>0.702654</v>
      </c>
      <c r="L611">
        <v>0.63833300000000004</v>
      </c>
      <c r="M611">
        <v>0.113187</v>
      </c>
      <c r="N611">
        <v>2352</v>
      </c>
      <c r="O611">
        <v>3788</v>
      </c>
      <c r="P611">
        <v>6140</v>
      </c>
      <c r="Q611">
        <f t="shared" si="36"/>
        <v>27.406651000000004</v>
      </c>
      <c r="R611">
        <f t="shared" si="37"/>
        <v>30.375163999999998</v>
      </c>
      <c r="S611">
        <f t="shared" si="38"/>
        <v>63.833300000000001</v>
      </c>
      <c r="T611">
        <f t="shared" si="39"/>
        <v>7.5835289999999995</v>
      </c>
      <c r="U611" t="str">
        <f>_xlfn.XLOOKUP(C611,Lookup!$A$3:$A$6,Lookup!$B$3:$B$6)</f>
        <v>Summer</v>
      </c>
      <c r="V611">
        <f>_xlfn.XLOOKUP(D611,Lookup!$D$3:$D$4,Lookup!$E$3:$E$4)</f>
        <v>2012</v>
      </c>
      <c r="W611" t="str">
        <f>_xlfn.XLOOKUP(I611,Lookup!$G$3:$G$6,Lookup!$H$3:$H$6)</f>
        <v>Misty/Cloudy</v>
      </c>
      <c r="X611" t="str">
        <f>_xlfn.XLOOKUP(E611,Lookup!$J$3:$J$14,Lookup!$K$3:$K$14)</f>
        <v>September</v>
      </c>
      <c r="Y611" t="str">
        <f>_xlfn.XLOOKUP(G611,Lookup!$M$3:$M$9,Lookup!$N$3:$N$9)</f>
        <v>Saturday</v>
      </c>
    </row>
    <row r="612" spans="1:25" x14ac:dyDescent="0.3">
      <c r="A612">
        <v>611</v>
      </c>
      <c r="B612" s="1">
        <v>41154</v>
      </c>
      <c r="C612">
        <v>3</v>
      </c>
      <c r="D612">
        <v>1</v>
      </c>
      <c r="E612">
        <v>9</v>
      </c>
      <c r="F612">
        <v>0</v>
      </c>
      <c r="G612">
        <v>0</v>
      </c>
      <c r="H612">
        <v>0</v>
      </c>
      <c r="I612">
        <v>2</v>
      </c>
      <c r="J612">
        <v>0.69666700000000004</v>
      </c>
      <c r="K612">
        <v>0.64900000000000002</v>
      </c>
      <c r="L612">
        <v>0.81499999999999995</v>
      </c>
      <c r="M612">
        <v>6.4070799999999997E-2</v>
      </c>
      <c r="N612">
        <v>2613</v>
      </c>
      <c r="O612">
        <v>3197</v>
      </c>
      <c r="P612">
        <v>5810</v>
      </c>
      <c r="Q612">
        <f t="shared" si="36"/>
        <v>24.743349000000002</v>
      </c>
      <c r="R612">
        <f t="shared" si="37"/>
        <v>26.834000000000003</v>
      </c>
      <c r="S612">
        <f t="shared" si="38"/>
        <v>81.5</v>
      </c>
      <c r="T612">
        <f t="shared" si="39"/>
        <v>4.2927435999999997</v>
      </c>
      <c r="U612" t="str">
        <f>_xlfn.XLOOKUP(C612,Lookup!$A$3:$A$6,Lookup!$B$3:$B$6)</f>
        <v>Summer</v>
      </c>
      <c r="V612">
        <f>_xlfn.XLOOKUP(D612,Lookup!$D$3:$D$4,Lookup!$E$3:$E$4)</f>
        <v>2012</v>
      </c>
      <c r="W612" t="str">
        <f>_xlfn.XLOOKUP(I612,Lookup!$G$3:$G$6,Lookup!$H$3:$H$6)</f>
        <v>Misty/Cloudy</v>
      </c>
      <c r="X612" t="str">
        <f>_xlfn.XLOOKUP(E612,Lookup!$J$3:$J$14,Lookup!$K$3:$K$14)</f>
        <v>September</v>
      </c>
      <c r="Y612" t="str">
        <f>_xlfn.XLOOKUP(G612,Lookup!$M$3:$M$9,Lookup!$N$3:$N$9)</f>
        <v>Sunday</v>
      </c>
    </row>
    <row r="613" spans="1:25" x14ac:dyDescent="0.3">
      <c r="A613">
        <v>612</v>
      </c>
      <c r="B613" s="1">
        <v>41155</v>
      </c>
      <c r="C613">
        <v>3</v>
      </c>
      <c r="D613">
        <v>1</v>
      </c>
      <c r="E613">
        <v>9</v>
      </c>
      <c r="F613">
        <v>1</v>
      </c>
      <c r="G613">
        <v>1</v>
      </c>
      <c r="H613">
        <v>0</v>
      </c>
      <c r="I613">
        <v>1</v>
      </c>
      <c r="J613">
        <v>0.70750000000000002</v>
      </c>
      <c r="K613">
        <v>0.66162900000000002</v>
      </c>
      <c r="L613">
        <v>0.79083300000000001</v>
      </c>
      <c r="M613">
        <v>0.15112100000000001</v>
      </c>
      <c r="N613">
        <v>1965</v>
      </c>
      <c r="O613">
        <v>4069</v>
      </c>
      <c r="P613">
        <v>6034</v>
      </c>
      <c r="Q613">
        <f t="shared" si="36"/>
        <v>25.252499999999998</v>
      </c>
      <c r="R613">
        <f t="shared" si="37"/>
        <v>27.667514000000004</v>
      </c>
      <c r="S613">
        <f t="shared" si="38"/>
        <v>79.083299999999994</v>
      </c>
      <c r="T613">
        <f t="shared" si="39"/>
        <v>10.125107</v>
      </c>
      <c r="U613" t="str">
        <f>_xlfn.XLOOKUP(C613,Lookup!$A$3:$A$6,Lookup!$B$3:$B$6)</f>
        <v>Summer</v>
      </c>
      <c r="V613">
        <f>_xlfn.XLOOKUP(D613,Lookup!$D$3:$D$4,Lookup!$E$3:$E$4)</f>
        <v>2012</v>
      </c>
      <c r="W613" t="str">
        <f>_xlfn.XLOOKUP(I613,Lookup!$G$3:$G$6,Lookup!$H$3:$H$6)</f>
        <v>Clear</v>
      </c>
      <c r="X613" t="str">
        <f>_xlfn.XLOOKUP(E613,Lookup!$J$3:$J$14,Lookup!$K$3:$K$14)</f>
        <v>September</v>
      </c>
      <c r="Y613" t="str">
        <f>_xlfn.XLOOKUP(G613,Lookup!$M$3:$M$9,Lookup!$N$3:$N$9)</f>
        <v>Monday</v>
      </c>
    </row>
    <row r="614" spans="1:25" x14ac:dyDescent="0.3">
      <c r="A614">
        <v>613</v>
      </c>
      <c r="B614" s="1">
        <v>41156</v>
      </c>
      <c r="C614">
        <v>3</v>
      </c>
      <c r="D614">
        <v>1</v>
      </c>
      <c r="E614">
        <v>9</v>
      </c>
      <c r="F614">
        <v>0</v>
      </c>
      <c r="G614">
        <v>2</v>
      </c>
      <c r="H614">
        <v>1</v>
      </c>
      <c r="I614">
        <v>1</v>
      </c>
      <c r="J614">
        <v>0.72583299999999995</v>
      </c>
      <c r="K614">
        <v>0.68688800000000005</v>
      </c>
      <c r="L614">
        <v>0.755</v>
      </c>
      <c r="M614">
        <v>0.236321</v>
      </c>
      <c r="N614">
        <v>867</v>
      </c>
      <c r="O614">
        <v>5997</v>
      </c>
      <c r="P614">
        <v>6864</v>
      </c>
      <c r="Q614">
        <f t="shared" si="36"/>
        <v>26.114151</v>
      </c>
      <c r="R614">
        <f t="shared" si="37"/>
        <v>29.334608000000003</v>
      </c>
      <c r="S614">
        <f t="shared" si="38"/>
        <v>75.5</v>
      </c>
      <c r="T614">
        <f t="shared" si="39"/>
        <v>15.833507000000001</v>
      </c>
      <c r="U614" t="str">
        <f>_xlfn.XLOOKUP(C614,Lookup!$A$3:$A$6,Lookup!$B$3:$B$6)</f>
        <v>Summer</v>
      </c>
      <c r="V614">
        <f>_xlfn.XLOOKUP(D614,Lookup!$D$3:$D$4,Lookup!$E$3:$E$4)</f>
        <v>2012</v>
      </c>
      <c r="W614" t="str">
        <f>_xlfn.XLOOKUP(I614,Lookup!$G$3:$G$6,Lookup!$H$3:$H$6)</f>
        <v>Clear</v>
      </c>
      <c r="X614" t="str">
        <f>_xlfn.XLOOKUP(E614,Lookup!$J$3:$J$14,Lookup!$K$3:$K$14)</f>
        <v>September</v>
      </c>
      <c r="Y614" t="str">
        <f>_xlfn.XLOOKUP(G614,Lookup!$M$3:$M$9,Lookup!$N$3:$N$9)</f>
        <v>Tuesday</v>
      </c>
    </row>
    <row r="615" spans="1:25" x14ac:dyDescent="0.3">
      <c r="A615">
        <v>614</v>
      </c>
      <c r="B615" s="1">
        <v>41157</v>
      </c>
      <c r="C615">
        <v>3</v>
      </c>
      <c r="D615">
        <v>1</v>
      </c>
      <c r="E615">
        <v>9</v>
      </c>
      <c r="F615">
        <v>0</v>
      </c>
      <c r="G615">
        <v>3</v>
      </c>
      <c r="H615">
        <v>1</v>
      </c>
      <c r="I615">
        <v>1</v>
      </c>
      <c r="J615">
        <v>0.73666699999999996</v>
      </c>
      <c r="K615">
        <v>0.70898300000000003</v>
      </c>
      <c r="L615">
        <v>0.74124999999999996</v>
      </c>
      <c r="M615">
        <v>0.187808</v>
      </c>
      <c r="N615">
        <v>832</v>
      </c>
      <c r="O615">
        <v>6280</v>
      </c>
      <c r="P615">
        <v>7112</v>
      </c>
      <c r="Q615">
        <f t="shared" si="36"/>
        <v>26.623348999999997</v>
      </c>
      <c r="R615">
        <f t="shared" si="37"/>
        <v>30.792878000000002</v>
      </c>
      <c r="S615">
        <f t="shared" si="38"/>
        <v>74.125</v>
      </c>
      <c r="T615">
        <f t="shared" si="39"/>
        <v>12.583136</v>
      </c>
      <c r="U615" t="str">
        <f>_xlfn.XLOOKUP(C615,Lookup!$A$3:$A$6,Lookup!$B$3:$B$6)</f>
        <v>Summer</v>
      </c>
      <c r="V615">
        <f>_xlfn.XLOOKUP(D615,Lookup!$D$3:$D$4,Lookup!$E$3:$E$4)</f>
        <v>2012</v>
      </c>
      <c r="W615" t="str">
        <f>_xlfn.XLOOKUP(I615,Lookup!$G$3:$G$6,Lookup!$H$3:$H$6)</f>
        <v>Clear</v>
      </c>
      <c r="X615" t="str">
        <f>_xlfn.XLOOKUP(E615,Lookup!$J$3:$J$14,Lookup!$K$3:$K$14)</f>
        <v>September</v>
      </c>
      <c r="Y615" t="str">
        <f>_xlfn.XLOOKUP(G615,Lookup!$M$3:$M$9,Lookup!$N$3:$N$9)</f>
        <v>Wednesday</v>
      </c>
    </row>
    <row r="616" spans="1:25" x14ac:dyDescent="0.3">
      <c r="A616">
        <v>615</v>
      </c>
      <c r="B616" s="1">
        <v>41158</v>
      </c>
      <c r="C616">
        <v>3</v>
      </c>
      <c r="D616">
        <v>1</v>
      </c>
      <c r="E616">
        <v>9</v>
      </c>
      <c r="F616">
        <v>0</v>
      </c>
      <c r="G616">
        <v>4</v>
      </c>
      <c r="H616">
        <v>1</v>
      </c>
      <c r="I616">
        <v>2</v>
      </c>
      <c r="J616">
        <v>0.69666700000000004</v>
      </c>
      <c r="K616">
        <v>0.65532900000000005</v>
      </c>
      <c r="L616">
        <v>0.81041700000000005</v>
      </c>
      <c r="M616">
        <v>0.14242099999999999</v>
      </c>
      <c r="N616">
        <v>611</v>
      </c>
      <c r="O616">
        <v>5592</v>
      </c>
      <c r="P616">
        <v>6203</v>
      </c>
      <c r="Q616">
        <f t="shared" si="36"/>
        <v>24.743349000000002</v>
      </c>
      <c r="R616">
        <f t="shared" si="37"/>
        <v>27.251714000000007</v>
      </c>
      <c r="S616">
        <f t="shared" si="38"/>
        <v>81.041700000000006</v>
      </c>
      <c r="T616">
        <f t="shared" si="39"/>
        <v>9.5422069999999994</v>
      </c>
      <c r="U616" t="str">
        <f>_xlfn.XLOOKUP(C616,Lookup!$A$3:$A$6,Lookup!$B$3:$B$6)</f>
        <v>Summer</v>
      </c>
      <c r="V616">
        <f>_xlfn.XLOOKUP(D616,Lookup!$D$3:$D$4,Lookup!$E$3:$E$4)</f>
        <v>2012</v>
      </c>
      <c r="W616" t="str">
        <f>_xlfn.XLOOKUP(I616,Lookup!$G$3:$G$6,Lookup!$H$3:$H$6)</f>
        <v>Misty/Cloudy</v>
      </c>
      <c r="X616" t="str">
        <f>_xlfn.XLOOKUP(E616,Lookup!$J$3:$J$14,Lookup!$K$3:$K$14)</f>
        <v>September</v>
      </c>
      <c r="Y616" t="str">
        <f>_xlfn.XLOOKUP(G616,Lookup!$M$3:$M$9,Lookup!$N$3:$N$9)</f>
        <v>Thursday</v>
      </c>
    </row>
    <row r="617" spans="1:25" x14ac:dyDescent="0.3">
      <c r="A617">
        <v>616</v>
      </c>
      <c r="B617" s="1">
        <v>41159</v>
      </c>
      <c r="C617">
        <v>3</v>
      </c>
      <c r="D617">
        <v>1</v>
      </c>
      <c r="E617">
        <v>9</v>
      </c>
      <c r="F617">
        <v>0</v>
      </c>
      <c r="G617">
        <v>5</v>
      </c>
      <c r="H617">
        <v>1</v>
      </c>
      <c r="I617">
        <v>1</v>
      </c>
      <c r="J617">
        <v>0.70333299999999999</v>
      </c>
      <c r="K617">
        <v>0.65720400000000001</v>
      </c>
      <c r="L617">
        <v>0.73624999999999996</v>
      </c>
      <c r="M617">
        <v>0.17164599999999999</v>
      </c>
      <c r="N617">
        <v>1045</v>
      </c>
      <c r="O617">
        <v>6459</v>
      </c>
      <c r="P617">
        <v>7504</v>
      </c>
      <c r="Q617">
        <f t="shared" si="36"/>
        <v>25.056651000000002</v>
      </c>
      <c r="R617">
        <f t="shared" si="37"/>
        <v>27.375464000000001</v>
      </c>
      <c r="S617">
        <f t="shared" si="38"/>
        <v>73.625</v>
      </c>
      <c r="T617">
        <f t="shared" si="39"/>
        <v>11.500282</v>
      </c>
      <c r="U617" t="str">
        <f>_xlfn.XLOOKUP(C617,Lookup!$A$3:$A$6,Lookup!$B$3:$B$6)</f>
        <v>Summer</v>
      </c>
      <c r="V617">
        <f>_xlfn.XLOOKUP(D617,Lookup!$D$3:$D$4,Lookup!$E$3:$E$4)</f>
        <v>2012</v>
      </c>
      <c r="W617" t="str">
        <f>_xlfn.XLOOKUP(I617,Lookup!$G$3:$G$6,Lookup!$H$3:$H$6)</f>
        <v>Clear</v>
      </c>
      <c r="X617" t="str">
        <f>_xlfn.XLOOKUP(E617,Lookup!$J$3:$J$14,Lookup!$K$3:$K$14)</f>
        <v>September</v>
      </c>
      <c r="Y617" t="str">
        <f>_xlfn.XLOOKUP(G617,Lookup!$M$3:$M$9,Lookup!$N$3:$N$9)</f>
        <v>Friday</v>
      </c>
    </row>
    <row r="618" spans="1:25" x14ac:dyDescent="0.3">
      <c r="A618">
        <v>617</v>
      </c>
      <c r="B618" s="1">
        <v>41160</v>
      </c>
      <c r="C618">
        <v>3</v>
      </c>
      <c r="D618">
        <v>1</v>
      </c>
      <c r="E618">
        <v>9</v>
      </c>
      <c r="F618">
        <v>0</v>
      </c>
      <c r="G618">
        <v>6</v>
      </c>
      <c r="H618">
        <v>0</v>
      </c>
      <c r="I618">
        <v>2</v>
      </c>
      <c r="J618">
        <v>0.65916699999999995</v>
      </c>
      <c r="K618">
        <v>0.61112100000000003</v>
      </c>
      <c r="L618">
        <v>0.79916699999999996</v>
      </c>
      <c r="M618">
        <v>0.28110400000000002</v>
      </c>
      <c r="N618">
        <v>1557</v>
      </c>
      <c r="O618">
        <v>4419</v>
      </c>
      <c r="P618">
        <v>5976</v>
      </c>
      <c r="Q618">
        <f t="shared" si="36"/>
        <v>22.980848999999999</v>
      </c>
      <c r="R618">
        <f t="shared" si="37"/>
        <v>24.333986000000003</v>
      </c>
      <c r="S618">
        <f t="shared" si="38"/>
        <v>79.916699999999992</v>
      </c>
      <c r="T618">
        <f t="shared" si="39"/>
        <v>18.833968000000002</v>
      </c>
      <c r="U618" t="str">
        <f>_xlfn.XLOOKUP(C618,Lookup!$A$3:$A$6,Lookup!$B$3:$B$6)</f>
        <v>Summer</v>
      </c>
      <c r="V618">
        <f>_xlfn.XLOOKUP(D618,Lookup!$D$3:$D$4,Lookup!$E$3:$E$4)</f>
        <v>2012</v>
      </c>
      <c r="W618" t="str">
        <f>_xlfn.XLOOKUP(I618,Lookup!$G$3:$G$6,Lookup!$H$3:$H$6)</f>
        <v>Misty/Cloudy</v>
      </c>
      <c r="X618" t="str">
        <f>_xlfn.XLOOKUP(E618,Lookup!$J$3:$J$14,Lookup!$K$3:$K$14)</f>
        <v>September</v>
      </c>
      <c r="Y618" t="str">
        <f>_xlfn.XLOOKUP(G618,Lookup!$M$3:$M$9,Lookup!$N$3:$N$9)</f>
        <v>Saturday</v>
      </c>
    </row>
    <row r="619" spans="1:25" x14ac:dyDescent="0.3">
      <c r="A619">
        <v>618</v>
      </c>
      <c r="B619" s="1">
        <v>41161</v>
      </c>
      <c r="C619">
        <v>3</v>
      </c>
      <c r="D619">
        <v>1</v>
      </c>
      <c r="E619">
        <v>9</v>
      </c>
      <c r="F619">
        <v>0</v>
      </c>
      <c r="G619">
        <v>0</v>
      </c>
      <c r="H619">
        <v>0</v>
      </c>
      <c r="I619">
        <v>1</v>
      </c>
      <c r="J619">
        <v>0.61</v>
      </c>
      <c r="K619">
        <v>0.57892500000000002</v>
      </c>
      <c r="L619">
        <v>0.54749999999999999</v>
      </c>
      <c r="M619">
        <v>0.224496</v>
      </c>
      <c r="N619">
        <v>2570</v>
      </c>
      <c r="O619">
        <v>5657</v>
      </c>
      <c r="P619">
        <v>8227</v>
      </c>
      <c r="Q619">
        <f t="shared" si="36"/>
        <v>20.669999999999998</v>
      </c>
      <c r="R619">
        <f t="shared" si="37"/>
        <v>22.209050000000005</v>
      </c>
      <c r="S619">
        <f t="shared" si="38"/>
        <v>54.75</v>
      </c>
      <c r="T619">
        <f t="shared" si="39"/>
        <v>15.041232000000001</v>
      </c>
      <c r="U619" t="str">
        <f>_xlfn.XLOOKUP(C619,Lookup!$A$3:$A$6,Lookup!$B$3:$B$6)</f>
        <v>Summer</v>
      </c>
      <c r="V619">
        <f>_xlfn.XLOOKUP(D619,Lookup!$D$3:$D$4,Lookup!$E$3:$E$4)</f>
        <v>2012</v>
      </c>
      <c r="W619" t="str">
        <f>_xlfn.XLOOKUP(I619,Lookup!$G$3:$G$6,Lookup!$H$3:$H$6)</f>
        <v>Clear</v>
      </c>
      <c r="X619" t="str">
        <f>_xlfn.XLOOKUP(E619,Lookup!$J$3:$J$14,Lookup!$K$3:$K$14)</f>
        <v>September</v>
      </c>
      <c r="Y619" t="str">
        <f>_xlfn.XLOOKUP(G619,Lookup!$M$3:$M$9,Lookup!$N$3:$N$9)</f>
        <v>Sunday</v>
      </c>
    </row>
    <row r="620" spans="1:25" x14ac:dyDescent="0.3">
      <c r="A620">
        <v>619</v>
      </c>
      <c r="B620" s="1">
        <v>41162</v>
      </c>
      <c r="C620">
        <v>3</v>
      </c>
      <c r="D620">
        <v>1</v>
      </c>
      <c r="E620">
        <v>9</v>
      </c>
      <c r="F620">
        <v>0</v>
      </c>
      <c r="G620">
        <v>1</v>
      </c>
      <c r="H620">
        <v>1</v>
      </c>
      <c r="I620">
        <v>1</v>
      </c>
      <c r="J620">
        <v>0.58333299999999999</v>
      </c>
      <c r="K620">
        <v>0.56565399999999999</v>
      </c>
      <c r="L620">
        <v>0.50375000000000003</v>
      </c>
      <c r="M620">
        <v>0.25871300000000003</v>
      </c>
      <c r="N620">
        <v>1118</v>
      </c>
      <c r="O620">
        <v>6407</v>
      </c>
      <c r="P620">
        <v>7525</v>
      </c>
      <c r="Q620">
        <f t="shared" si="36"/>
        <v>19.416650999999998</v>
      </c>
      <c r="R620">
        <f t="shared" si="37"/>
        <v>21.333163999999996</v>
      </c>
      <c r="S620">
        <f t="shared" si="38"/>
        <v>50.375</v>
      </c>
      <c r="T620">
        <f t="shared" si="39"/>
        <v>17.333771000000002</v>
      </c>
      <c r="U620" t="str">
        <f>_xlfn.XLOOKUP(C620,Lookup!$A$3:$A$6,Lookup!$B$3:$B$6)</f>
        <v>Summer</v>
      </c>
      <c r="V620">
        <f>_xlfn.XLOOKUP(D620,Lookup!$D$3:$D$4,Lookup!$E$3:$E$4)</f>
        <v>2012</v>
      </c>
      <c r="W620" t="str">
        <f>_xlfn.XLOOKUP(I620,Lookup!$G$3:$G$6,Lookup!$H$3:$H$6)</f>
        <v>Clear</v>
      </c>
      <c r="X620" t="str">
        <f>_xlfn.XLOOKUP(E620,Lookup!$J$3:$J$14,Lookup!$K$3:$K$14)</f>
        <v>September</v>
      </c>
      <c r="Y620" t="str">
        <f>_xlfn.XLOOKUP(G620,Lookup!$M$3:$M$9,Lookup!$N$3:$N$9)</f>
        <v>Monday</v>
      </c>
    </row>
    <row r="621" spans="1:25" x14ac:dyDescent="0.3">
      <c r="A621">
        <v>620</v>
      </c>
      <c r="B621" s="1">
        <v>41163</v>
      </c>
      <c r="C621">
        <v>3</v>
      </c>
      <c r="D621">
        <v>1</v>
      </c>
      <c r="E621">
        <v>9</v>
      </c>
      <c r="F621">
        <v>0</v>
      </c>
      <c r="G621">
        <v>2</v>
      </c>
      <c r="H621">
        <v>1</v>
      </c>
      <c r="I621">
        <v>1</v>
      </c>
      <c r="J621">
        <v>0.57750000000000001</v>
      </c>
      <c r="K621">
        <v>0.55429200000000001</v>
      </c>
      <c r="L621">
        <v>0.52</v>
      </c>
      <c r="M621">
        <v>9.2054200000000003E-2</v>
      </c>
      <c r="N621">
        <v>1070</v>
      </c>
      <c r="O621">
        <v>6697</v>
      </c>
      <c r="P621">
        <v>7767</v>
      </c>
      <c r="Q621">
        <f t="shared" si="36"/>
        <v>19.142500000000002</v>
      </c>
      <c r="R621">
        <f t="shared" si="37"/>
        <v>20.583272000000001</v>
      </c>
      <c r="S621">
        <f t="shared" si="38"/>
        <v>52</v>
      </c>
      <c r="T621">
        <f t="shared" si="39"/>
        <v>6.1676314000000003</v>
      </c>
      <c r="U621" t="str">
        <f>_xlfn.XLOOKUP(C621,Lookup!$A$3:$A$6,Lookup!$B$3:$B$6)</f>
        <v>Summer</v>
      </c>
      <c r="V621">
        <f>_xlfn.XLOOKUP(D621,Lookup!$D$3:$D$4,Lookup!$E$3:$E$4)</f>
        <v>2012</v>
      </c>
      <c r="W621" t="str">
        <f>_xlfn.XLOOKUP(I621,Lookup!$G$3:$G$6,Lookup!$H$3:$H$6)</f>
        <v>Clear</v>
      </c>
      <c r="X621" t="str">
        <f>_xlfn.XLOOKUP(E621,Lookup!$J$3:$J$14,Lookup!$K$3:$K$14)</f>
        <v>September</v>
      </c>
      <c r="Y621" t="str">
        <f>_xlfn.XLOOKUP(G621,Lookup!$M$3:$M$9,Lookup!$N$3:$N$9)</f>
        <v>Tuesday</v>
      </c>
    </row>
    <row r="622" spans="1:25" x14ac:dyDescent="0.3">
      <c r="A622">
        <v>621</v>
      </c>
      <c r="B622" s="1">
        <v>41164</v>
      </c>
      <c r="C622">
        <v>3</v>
      </c>
      <c r="D622">
        <v>1</v>
      </c>
      <c r="E622">
        <v>9</v>
      </c>
      <c r="F622">
        <v>0</v>
      </c>
      <c r="G622">
        <v>3</v>
      </c>
      <c r="H622">
        <v>1</v>
      </c>
      <c r="I622">
        <v>1</v>
      </c>
      <c r="J622">
        <v>0.59916700000000001</v>
      </c>
      <c r="K622">
        <v>0.570075</v>
      </c>
      <c r="L622">
        <v>0.57708300000000001</v>
      </c>
      <c r="M622">
        <v>0.13184599999999999</v>
      </c>
      <c r="N622">
        <v>1050</v>
      </c>
      <c r="O622">
        <v>6820</v>
      </c>
      <c r="P622">
        <v>7870</v>
      </c>
      <c r="Q622">
        <f t="shared" si="36"/>
        <v>20.160848999999999</v>
      </c>
      <c r="R622">
        <f t="shared" si="37"/>
        <v>21.624949999999998</v>
      </c>
      <c r="S622">
        <f t="shared" si="38"/>
        <v>57.708300000000001</v>
      </c>
      <c r="T622">
        <f t="shared" si="39"/>
        <v>8.8336819999999996</v>
      </c>
      <c r="U622" t="str">
        <f>_xlfn.XLOOKUP(C622,Lookup!$A$3:$A$6,Lookup!$B$3:$B$6)</f>
        <v>Summer</v>
      </c>
      <c r="V622">
        <f>_xlfn.XLOOKUP(D622,Lookup!$D$3:$D$4,Lookup!$E$3:$E$4)</f>
        <v>2012</v>
      </c>
      <c r="W622" t="str">
        <f>_xlfn.XLOOKUP(I622,Lookup!$G$3:$G$6,Lookup!$H$3:$H$6)</f>
        <v>Clear</v>
      </c>
      <c r="X622" t="str">
        <f>_xlfn.XLOOKUP(E622,Lookup!$J$3:$J$14,Lookup!$K$3:$K$14)</f>
        <v>September</v>
      </c>
      <c r="Y622" t="str">
        <f>_xlfn.XLOOKUP(G622,Lookup!$M$3:$M$9,Lookup!$N$3:$N$9)</f>
        <v>Wednesday</v>
      </c>
    </row>
    <row r="623" spans="1:25" x14ac:dyDescent="0.3">
      <c r="A623">
        <v>622</v>
      </c>
      <c r="B623" s="1">
        <v>41165</v>
      </c>
      <c r="C623">
        <v>3</v>
      </c>
      <c r="D623">
        <v>1</v>
      </c>
      <c r="E623">
        <v>9</v>
      </c>
      <c r="F623">
        <v>0</v>
      </c>
      <c r="G623">
        <v>4</v>
      </c>
      <c r="H623">
        <v>1</v>
      </c>
      <c r="I623">
        <v>1</v>
      </c>
      <c r="J623">
        <v>0.61250000000000004</v>
      </c>
      <c r="K623">
        <v>0.57955800000000002</v>
      </c>
      <c r="L623">
        <v>0.63708299999999995</v>
      </c>
      <c r="M623">
        <v>8.2720799999999997E-2</v>
      </c>
      <c r="N623">
        <v>1054</v>
      </c>
      <c r="O623">
        <v>6750</v>
      </c>
      <c r="P623">
        <v>7804</v>
      </c>
      <c r="Q623">
        <f t="shared" si="36"/>
        <v>20.787500000000001</v>
      </c>
      <c r="R623">
        <f t="shared" si="37"/>
        <v>22.250827999999998</v>
      </c>
      <c r="S623">
        <f t="shared" si="38"/>
        <v>63.708299999999994</v>
      </c>
      <c r="T623">
        <f t="shared" si="39"/>
        <v>5.5422935999999998</v>
      </c>
      <c r="U623" t="str">
        <f>_xlfn.XLOOKUP(C623,Lookup!$A$3:$A$6,Lookup!$B$3:$B$6)</f>
        <v>Summer</v>
      </c>
      <c r="V623">
        <f>_xlfn.XLOOKUP(D623,Lookup!$D$3:$D$4,Lookup!$E$3:$E$4)</f>
        <v>2012</v>
      </c>
      <c r="W623" t="str">
        <f>_xlfn.XLOOKUP(I623,Lookup!$G$3:$G$6,Lookup!$H$3:$H$6)</f>
        <v>Clear</v>
      </c>
      <c r="X623" t="str">
        <f>_xlfn.XLOOKUP(E623,Lookup!$J$3:$J$14,Lookup!$K$3:$K$14)</f>
        <v>September</v>
      </c>
      <c r="Y623" t="str">
        <f>_xlfn.XLOOKUP(G623,Lookup!$M$3:$M$9,Lookup!$N$3:$N$9)</f>
        <v>Thursday</v>
      </c>
    </row>
    <row r="624" spans="1:25" x14ac:dyDescent="0.3">
      <c r="A624">
        <v>623</v>
      </c>
      <c r="B624" s="1">
        <v>41166</v>
      </c>
      <c r="C624">
        <v>3</v>
      </c>
      <c r="D624">
        <v>1</v>
      </c>
      <c r="E624">
        <v>9</v>
      </c>
      <c r="F624">
        <v>0</v>
      </c>
      <c r="G624">
        <v>5</v>
      </c>
      <c r="H624">
        <v>1</v>
      </c>
      <c r="I624">
        <v>1</v>
      </c>
      <c r="J624">
        <v>0.63333300000000003</v>
      </c>
      <c r="K624">
        <v>0.59408300000000003</v>
      </c>
      <c r="L624">
        <v>0.67249999999999999</v>
      </c>
      <c r="M624">
        <v>0.103863</v>
      </c>
      <c r="N624">
        <v>1379</v>
      </c>
      <c r="O624">
        <v>6630</v>
      </c>
      <c r="P624">
        <v>8009</v>
      </c>
      <c r="Q624">
        <f t="shared" si="36"/>
        <v>21.766651000000003</v>
      </c>
      <c r="R624">
        <f t="shared" si="37"/>
        <v>23.209478000000004</v>
      </c>
      <c r="S624">
        <f t="shared" si="38"/>
        <v>67.25</v>
      </c>
      <c r="T624">
        <f t="shared" si="39"/>
        <v>6.9588209999999995</v>
      </c>
      <c r="U624" t="str">
        <f>_xlfn.XLOOKUP(C624,Lookup!$A$3:$A$6,Lookup!$B$3:$B$6)</f>
        <v>Summer</v>
      </c>
      <c r="V624">
        <f>_xlfn.XLOOKUP(D624,Lookup!$D$3:$D$4,Lookup!$E$3:$E$4)</f>
        <v>2012</v>
      </c>
      <c r="W624" t="str">
        <f>_xlfn.XLOOKUP(I624,Lookup!$G$3:$G$6,Lookup!$H$3:$H$6)</f>
        <v>Clear</v>
      </c>
      <c r="X624" t="str">
        <f>_xlfn.XLOOKUP(E624,Lookup!$J$3:$J$14,Lookup!$K$3:$K$14)</f>
        <v>September</v>
      </c>
      <c r="Y624" t="str">
        <f>_xlfn.XLOOKUP(G624,Lookup!$M$3:$M$9,Lookup!$N$3:$N$9)</f>
        <v>Friday</v>
      </c>
    </row>
    <row r="625" spans="1:25" x14ac:dyDescent="0.3">
      <c r="A625">
        <v>624</v>
      </c>
      <c r="B625" s="1">
        <v>41167</v>
      </c>
      <c r="C625">
        <v>3</v>
      </c>
      <c r="D625">
        <v>1</v>
      </c>
      <c r="E625">
        <v>9</v>
      </c>
      <c r="F625">
        <v>0</v>
      </c>
      <c r="G625">
        <v>6</v>
      </c>
      <c r="H625">
        <v>0</v>
      </c>
      <c r="I625">
        <v>1</v>
      </c>
      <c r="J625">
        <v>0.60833300000000001</v>
      </c>
      <c r="K625">
        <v>0.58586700000000003</v>
      </c>
      <c r="L625">
        <v>0.50166699999999997</v>
      </c>
      <c r="M625">
        <v>0.24752099999999999</v>
      </c>
      <c r="N625">
        <v>3160</v>
      </c>
      <c r="O625">
        <v>5554</v>
      </c>
      <c r="P625">
        <v>8714</v>
      </c>
      <c r="Q625">
        <f t="shared" si="36"/>
        <v>20.591650999999999</v>
      </c>
      <c r="R625">
        <f t="shared" si="37"/>
        <v>22.667222000000002</v>
      </c>
      <c r="S625">
        <f t="shared" si="38"/>
        <v>50.166699999999999</v>
      </c>
      <c r="T625">
        <f t="shared" si="39"/>
        <v>16.583907</v>
      </c>
      <c r="U625" t="str">
        <f>_xlfn.XLOOKUP(C625,Lookup!$A$3:$A$6,Lookup!$B$3:$B$6)</f>
        <v>Summer</v>
      </c>
      <c r="V625">
        <f>_xlfn.XLOOKUP(D625,Lookup!$D$3:$D$4,Lookup!$E$3:$E$4)</f>
        <v>2012</v>
      </c>
      <c r="W625" t="str">
        <f>_xlfn.XLOOKUP(I625,Lookup!$G$3:$G$6,Lookup!$H$3:$H$6)</f>
        <v>Clear</v>
      </c>
      <c r="X625" t="str">
        <f>_xlfn.XLOOKUP(E625,Lookup!$J$3:$J$14,Lookup!$K$3:$K$14)</f>
        <v>September</v>
      </c>
      <c r="Y625" t="str">
        <f>_xlfn.XLOOKUP(G625,Lookup!$M$3:$M$9,Lookup!$N$3:$N$9)</f>
        <v>Saturday</v>
      </c>
    </row>
    <row r="626" spans="1:25" x14ac:dyDescent="0.3">
      <c r="A626">
        <v>625</v>
      </c>
      <c r="B626" s="1">
        <v>41168</v>
      </c>
      <c r="C626">
        <v>3</v>
      </c>
      <c r="D626">
        <v>1</v>
      </c>
      <c r="E626">
        <v>9</v>
      </c>
      <c r="F626">
        <v>0</v>
      </c>
      <c r="G626">
        <v>0</v>
      </c>
      <c r="H626">
        <v>0</v>
      </c>
      <c r="I626">
        <v>1</v>
      </c>
      <c r="J626">
        <v>0.57999999999999996</v>
      </c>
      <c r="K626">
        <v>0.56312499999999999</v>
      </c>
      <c r="L626">
        <v>0.56999999999999995</v>
      </c>
      <c r="M626">
        <v>9.0183299999999994E-2</v>
      </c>
      <c r="N626">
        <v>2166</v>
      </c>
      <c r="O626">
        <v>5167</v>
      </c>
      <c r="P626">
        <v>7333</v>
      </c>
      <c r="Q626">
        <f t="shared" si="36"/>
        <v>19.259999999999998</v>
      </c>
      <c r="R626">
        <f t="shared" si="37"/>
        <v>21.166249999999998</v>
      </c>
      <c r="S626">
        <f t="shared" si="38"/>
        <v>56.999999999999993</v>
      </c>
      <c r="T626">
        <f t="shared" si="39"/>
        <v>6.0422810999999994</v>
      </c>
      <c r="U626" t="str">
        <f>_xlfn.XLOOKUP(C626,Lookup!$A$3:$A$6,Lookup!$B$3:$B$6)</f>
        <v>Summer</v>
      </c>
      <c r="V626">
        <f>_xlfn.XLOOKUP(D626,Lookup!$D$3:$D$4,Lookup!$E$3:$E$4)</f>
        <v>2012</v>
      </c>
      <c r="W626" t="str">
        <f>_xlfn.XLOOKUP(I626,Lookup!$G$3:$G$6,Lookup!$H$3:$H$6)</f>
        <v>Clear</v>
      </c>
      <c r="X626" t="str">
        <f>_xlfn.XLOOKUP(E626,Lookup!$J$3:$J$14,Lookup!$K$3:$K$14)</f>
        <v>September</v>
      </c>
      <c r="Y626" t="str">
        <f>_xlfn.XLOOKUP(G626,Lookup!$M$3:$M$9,Lookup!$N$3:$N$9)</f>
        <v>Sunday</v>
      </c>
    </row>
    <row r="627" spans="1:25" x14ac:dyDescent="0.3">
      <c r="A627">
        <v>626</v>
      </c>
      <c r="B627" s="1">
        <v>41169</v>
      </c>
      <c r="C627">
        <v>3</v>
      </c>
      <c r="D627">
        <v>1</v>
      </c>
      <c r="E627">
        <v>9</v>
      </c>
      <c r="F627">
        <v>0</v>
      </c>
      <c r="G627">
        <v>1</v>
      </c>
      <c r="H627">
        <v>1</v>
      </c>
      <c r="I627">
        <v>2</v>
      </c>
      <c r="J627">
        <v>0.58083300000000004</v>
      </c>
      <c r="K627">
        <v>0.55305000000000004</v>
      </c>
      <c r="L627">
        <v>0.73458299999999999</v>
      </c>
      <c r="M627">
        <v>0.15174199999999999</v>
      </c>
      <c r="N627">
        <v>1022</v>
      </c>
      <c r="O627">
        <v>5847</v>
      </c>
      <c r="P627">
        <v>6869</v>
      </c>
      <c r="Q627">
        <f t="shared" si="36"/>
        <v>19.299151000000002</v>
      </c>
      <c r="R627">
        <f t="shared" si="37"/>
        <v>20.501300000000001</v>
      </c>
      <c r="S627">
        <f t="shared" si="38"/>
        <v>73.458299999999994</v>
      </c>
      <c r="T627">
        <f t="shared" si="39"/>
        <v>10.166713999999999</v>
      </c>
      <c r="U627" t="str">
        <f>_xlfn.XLOOKUP(C627,Lookup!$A$3:$A$6,Lookup!$B$3:$B$6)</f>
        <v>Summer</v>
      </c>
      <c r="V627">
        <f>_xlfn.XLOOKUP(D627,Lookup!$D$3:$D$4,Lookup!$E$3:$E$4)</f>
        <v>2012</v>
      </c>
      <c r="W627" t="str">
        <f>_xlfn.XLOOKUP(I627,Lookup!$G$3:$G$6,Lookup!$H$3:$H$6)</f>
        <v>Misty/Cloudy</v>
      </c>
      <c r="X627" t="str">
        <f>_xlfn.XLOOKUP(E627,Lookup!$J$3:$J$14,Lookup!$K$3:$K$14)</f>
        <v>September</v>
      </c>
      <c r="Y627" t="str">
        <f>_xlfn.XLOOKUP(G627,Lookup!$M$3:$M$9,Lookup!$N$3:$N$9)</f>
        <v>Monday</v>
      </c>
    </row>
    <row r="628" spans="1:25" x14ac:dyDescent="0.3">
      <c r="A628">
        <v>627</v>
      </c>
      <c r="B628" s="1">
        <v>41170</v>
      </c>
      <c r="C628">
        <v>3</v>
      </c>
      <c r="D628">
        <v>1</v>
      </c>
      <c r="E628">
        <v>9</v>
      </c>
      <c r="F628">
        <v>0</v>
      </c>
      <c r="G628">
        <v>2</v>
      </c>
      <c r="H628">
        <v>1</v>
      </c>
      <c r="I628">
        <v>2</v>
      </c>
      <c r="J628">
        <v>0.62333300000000003</v>
      </c>
      <c r="K628">
        <v>0.56506699999999999</v>
      </c>
      <c r="L628">
        <v>0.87250000000000005</v>
      </c>
      <c r="M628">
        <v>0.35758699999999999</v>
      </c>
      <c r="N628">
        <v>371</v>
      </c>
      <c r="O628">
        <v>3702</v>
      </c>
      <c r="P628">
        <v>4073</v>
      </c>
      <c r="Q628">
        <f t="shared" si="36"/>
        <v>21.296651000000001</v>
      </c>
      <c r="R628">
        <f t="shared" si="37"/>
        <v>21.294421999999997</v>
      </c>
      <c r="S628">
        <f t="shared" si="38"/>
        <v>87.25</v>
      </c>
      <c r="T628">
        <f t="shared" si="39"/>
        <v>23.958328999999999</v>
      </c>
      <c r="U628" t="str">
        <f>_xlfn.XLOOKUP(C628,Lookup!$A$3:$A$6,Lookup!$B$3:$B$6)</f>
        <v>Summer</v>
      </c>
      <c r="V628">
        <f>_xlfn.XLOOKUP(D628,Lookup!$D$3:$D$4,Lookup!$E$3:$E$4)</f>
        <v>2012</v>
      </c>
      <c r="W628" t="str">
        <f>_xlfn.XLOOKUP(I628,Lookup!$G$3:$G$6,Lookup!$H$3:$H$6)</f>
        <v>Misty/Cloudy</v>
      </c>
      <c r="X628" t="str">
        <f>_xlfn.XLOOKUP(E628,Lookup!$J$3:$J$14,Lookup!$K$3:$K$14)</f>
        <v>September</v>
      </c>
      <c r="Y628" t="str">
        <f>_xlfn.XLOOKUP(G628,Lookup!$M$3:$M$9,Lookup!$N$3:$N$9)</f>
        <v>Tuesday</v>
      </c>
    </row>
    <row r="629" spans="1:25" x14ac:dyDescent="0.3">
      <c r="A629">
        <v>628</v>
      </c>
      <c r="B629" s="1">
        <v>41171</v>
      </c>
      <c r="C629">
        <v>3</v>
      </c>
      <c r="D629">
        <v>1</v>
      </c>
      <c r="E629">
        <v>9</v>
      </c>
      <c r="F629">
        <v>0</v>
      </c>
      <c r="G629">
        <v>3</v>
      </c>
      <c r="H629">
        <v>1</v>
      </c>
      <c r="I629">
        <v>1</v>
      </c>
      <c r="J629">
        <v>0.55249999999999999</v>
      </c>
      <c r="K629">
        <v>0.540404</v>
      </c>
      <c r="L629">
        <v>0.53666700000000001</v>
      </c>
      <c r="M629">
        <v>0.21517500000000001</v>
      </c>
      <c r="N629">
        <v>788</v>
      </c>
      <c r="O629">
        <v>6803</v>
      </c>
      <c r="P629">
        <v>7591</v>
      </c>
      <c r="Q629">
        <f t="shared" si="36"/>
        <v>17.967500000000001</v>
      </c>
      <c r="R629">
        <f t="shared" si="37"/>
        <v>19.666663999999997</v>
      </c>
      <c r="S629">
        <f t="shared" si="38"/>
        <v>53.666699999999999</v>
      </c>
      <c r="T629">
        <f t="shared" si="39"/>
        <v>14.416725</v>
      </c>
      <c r="U629" t="str">
        <f>_xlfn.XLOOKUP(C629,Lookup!$A$3:$A$6,Lookup!$B$3:$B$6)</f>
        <v>Summer</v>
      </c>
      <c r="V629">
        <f>_xlfn.XLOOKUP(D629,Lookup!$D$3:$D$4,Lookup!$E$3:$E$4)</f>
        <v>2012</v>
      </c>
      <c r="W629" t="str">
        <f>_xlfn.XLOOKUP(I629,Lookup!$G$3:$G$6,Lookup!$H$3:$H$6)</f>
        <v>Clear</v>
      </c>
      <c r="X629" t="str">
        <f>_xlfn.XLOOKUP(E629,Lookup!$J$3:$J$14,Lookup!$K$3:$K$14)</f>
        <v>September</v>
      </c>
      <c r="Y629" t="str">
        <f>_xlfn.XLOOKUP(G629,Lookup!$M$3:$M$9,Lookup!$N$3:$N$9)</f>
        <v>Wednesday</v>
      </c>
    </row>
    <row r="630" spans="1:25" x14ac:dyDescent="0.3">
      <c r="A630">
        <v>629</v>
      </c>
      <c r="B630" s="1">
        <v>41172</v>
      </c>
      <c r="C630">
        <v>3</v>
      </c>
      <c r="D630">
        <v>1</v>
      </c>
      <c r="E630">
        <v>9</v>
      </c>
      <c r="F630">
        <v>0</v>
      </c>
      <c r="G630">
        <v>4</v>
      </c>
      <c r="H630">
        <v>1</v>
      </c>
      <c r="I630">
        <v>1</v>
      </c>
      <c r="J630">
        <v>0.54666700000000001</v>
      </c>
      <c r="K630">
        <v>0.532192</v>
      </c>
      <c r="L630">
        <v>0.61833300000000002</v>
      </c>
      <c r="M630">
        <v>0.11816699999999999</v>
      </c>
      <c r="N630">
        <v>939</v>
      </c>
      <c r="O630">
        <v>6781</v>
      </c>
      <c r="P630">
        <v>7720</v>
      </c>
      <c r="Q630">
        <f t="shared" si="36"/>
        <v>17.693349000000001</v>
      </c>
      <c r="R630">
        <f t="shared" si="37"/>
        <v>19.124671999999997</v>
      </c>
      <c r="S630">
        <f t="shared" si="38"/>
        <v>61.833300000000001</v>
      </c>
      <c r="T630">
        <f t="shared" si="39"/>
        <v>7.9171889999999996</v>
      </c>
      <c r="U630" t="str">
        <f>_xlfn.XLOOKUP(C630,Lookup!$A$3:$A$6,Lookup!$B$3:$B$6)</f>
        <v>Summer</v>
      </c>
      <c r="V630">
        <f>_xlfn.XLOOKUP(D630,Lookup!$D$3:$D$4,Lookup!$E$3:$E$4)</f>
        <v>2012</v>
      </c>
      <c r="W630" t="str">
        <f>_xlfn.XLOOKUP(I630,Lookup!$G$3:$G$6,Lookup!$H$3:$H$6)</f>
        <v>Clear</v>
      </c>
      <c r="X630" t="str">
        <f>_xlfn.XLOOKUP(E630,Lookup!$J$3:$J$14,Lookup!$K$3:$K$14)</f>
        <v>September</v>
      </c>
      <c r="Y630" t="str">
        <f>_xlfn.XLOOKUP(G630,Lookup!$M$3:$M$9,Lookup!$N$3:$N$9)</f>
        <v>Thursday</v>
      </c>
    </row>
    <row r="631" spans="1:25" x14ac:dyDescent="0.3">
      <c r="A631">
        <v>630</v>
      </c>
      <c r="B631" s="1">
        <v>41173</v>
      </c>
      <c r="C631">
        <v>3</v>
      </c>
      <c r="D631">
        <v>1</v>
      </c>
      <c r="E631">
        <v>9</v>
      </c>
      <c r="F631">
        <v>0</v>
      </c>
      <c r="G631">
        <v>5</v>
      </c>
      <c r="H631">
        <v>1</v>
      </c>
      <c r="I631">
        <v>1</v>
      </c>
      <c r="J631">
        <v>0.59916700000000001</v>
      </c>
      <c r="K631">
        <v>0.57197100000000001</v>
      </c>
      <c r="L631">
        <v>0.66874999999999996</v>
      </c>
      <c r="M631">
        <v>0.154229</v>
      </c>
      <c r="N631">
        <v>1250</v>
      </c>
      <c r="O631">
        <v>6917</v>
      </c>
      <c r="P631">
        <v>8167</v>
      </c>
      <c r="Q631">
        <f t="shared" si="36"/>
        <v>20.160848999999999</v>
      </c>
      <c r="R631">
        <f t="shared" si="37"/>
        <v>21.750086000000003</v>
      </c>
      <c r="S631">
        <f t="shared" si="38"/>
        <v>66.875</v>
      </c>
      <c r="T631">
        <f t="shared" si="39"/>
        <v>10.333343000000001</v>
      </c>
      <c r="U631" t="str">
        <f>_xlfn.XLOOKUP(C631,Lookup!$A$3:$A$6,Lookup!$B$3:$B$6)</f>
        <v>Summer</v>
      </c>
      <c r="V631">
        <f>_xlfn.XLOOKUP(D631,Lookup!$D$3:$D$4,Lookup!$E$3:$E$4)</f>
        <v>2012</v>
      </c>
      <c r="W631" t="str">
        <f>_xlfn.XLOOKUP(I631,Lookup!$G$3:$G$6,Lookup!$H$3:$H$6)</f>
        <v>Clear</v>
      </c>
      <c r="X631" t="str">
        <f>_xlfn.XLOOKUP(E631,Lookup!$J$3:$J$14,Lookup!$K$3:$K$14)</f>
        <v>September</v>
      </c>
      <c r="Y631" t="str">
        <f>_xlfn.XLOOKUP(G631,Lookup!$M$3:$M$9,Lookup!$N$3:$N$9)</f>
        <v>Friday</v>
      </c>
    </row>
    <row r="632" spans="1:25" x14ac:dyDescent="0.3">
      <c r="A632">
        <v>631</v>
      </c>
      <c r="B632" s="1">
        <v>41174</v>
      </c>
      <c r="C632">
        <v>3</v>
      </c>
      <c r="D632">
        <v>1</v>
      </c>
      <c r="E632">
        <v>9</v>
      </c>
      <c r="F632">
        <v>0</v>
      </c>
      <c r="G632">
        <v>6</v>
      </c>
      <c r="H632">
        <v>0</v>
      </c>
      <c r="I632">
        <v>1</v>
      </c>
      <c r="J632">
        <v>0.65</v>
      </c>
      <c r="K632">
        <v>0.61048800000000003</v>
      </c>
      <c r="L632">
        <v>0.64666699999999999</v>
      </c>
      <c r="M632">
        <v>0.28358299999999997</v>
      </c>
      <c r="N632">
        <v>2512</v>
      </c>
      <c r="O632">
        <v>5883</v>
      </c>
      <c r="P632">
        <v>8395</v>
      </c>
      <c r="Q632">
        <f t="shared" si="36"/>
        <v>22.55</v>
      </c>
      <c r="R632">
        <f t="shared" si="37"/>
        <v>24.292208000000002</v>
      </c>
      <c r="S632">
        <f t="shared" si="38"/>
        <v>64.666700000000006</v>
      </c>
      <c r="T632">
        <f t="shared" si="39"/>
        <v>19.000060999999999</v>
      </c>
      <c r="U632" t="str">
        <f>_xlfn.XLOOKUP(C632,Lookup!$A$3:$A$6,Lookup!$B$3:$B$6)</f>
        <v>Summer</v>
      </c>
      <c r="V632">
        <f>_xlfn.XLOOKUP(D632,Lookup!$D$3:$D$4,Lookup!$E$3:$E$4)</f>
        <v>2012</v>
      </c>
      <c r="W632" t="str">
        <f>_xlfn.XLOOKUP(I632,Lookup!$G$3:$G$6,Lookup!$H$3:$H$6)</f>
        <v>Clear</v>
      </c>
      <c r="X632" t="str">
        <f>_xlfn.XLOOKUP(E632,Lookup!$J$3:$J$14,Lookup!$K$3:$K$14)</f>
        <v>September</v>
      </c>
      <c r="Y632" t="str">
        <f>_xlfn.XLOOKUP(G632,Lookup!$M$3:$M$9,Lookup!$N$3:$N$9)</f>
        <v>Saturday</v>
      </c>
    </row>
    <row r="633" spans="1:25" x14ac:dyDescent="0.3">
      <c r="A633">
        <v>632</v>
      </c>
      <c r="B633" s="1">
        <v>41175</v>
      </c>
      <c r="C633">
        <v>4</v>
      </c>
      <c r="D633">
        <v>1</v>
      </c>
      <c r="E633">
        <v>9</v>
      </c>
      <c r="F633">
        <v>0</v>
      </c>
      <c r="G633">
        <v>0</v>
      </c>
      <c r="H633">
        <v>0</v>
      </c>
      <c r="I633">
        <v>1</v>
      </c>
      <c r="J633">
        <v>0.52916700000000005</v>
      </c>
      <c r="K633">
        <v>0.51893299999999998</v>
      </c>
      <c r="L633">
        <v>0.46708300000000003</v>
      </c>
      <c r="M633">
        <v>0.22325800000000001</v>
      </c>
      <c r="N633">
        <v>2454</v>
      </c>
      <c r="O633">
        <v>5453</v>
      </c>
      <c r="P633">
        <v>7907</v>
      </c>
      <c r="Q633">
        <f t="shared" si="36"/>
        <v>16.870849000000003</v>
      </c>
      <c r="R633">
        <f t="shared" si="37"/>
        <v>18.249578</v>
      </c>
      <c r="S633">
        <f t="shared" si="38"/>
        <v>46.708300000000001</v>
      </c>
      <c r="T633">
        <f t="shared" si="39"/>
        <v>14.958286000000001</v>
      </c>
      <c r="U633" t="str">
        <f>_xlfn.XLOOKUP(C633,Lookup!$A$3:$A$6,Lookup!$B$3:$B$6)</f>
        <v>Fall</v>
      </c>
      <c r="V633">
        <f>_xlfn.XLOOKUP(D633,Lookup!$D$3:$D$4,Lookup!$E$3:$E$4)</f>
        <v>2012</v>
      </c>
      <c r="W633" t="str">
        <f>_xlfn.XLOOKUP(I633,Lookup!$G$3:$G$6,Lookup!$H$3:$H$6)</f>
        <v>Clear</v>
      </c>
      <c r="X633" t="str">
        <f>_xlfn.XLOOKUP(E633,Lookup!$J$3:$J$14,Lookup!$K$3:$K$14)</f>
        <v>September</v>
      </c>
      <c r="Y633" t="str">
        <f>_xlfn.XLOOKUP(G633,Lookup!$M$3:$M$9,Lookup!$N$3:$N$9)</f>
        <v>Sunday</v>
      </c>
    </row>
    <row r="634" spans="1:25" x14ac:dyDescent="0.3">
      <c r="A634">
        <v>633</v>
      </c>
      <c r="B634" s="1">
        <v>41176</v>
      </c>
      <c r="C634">
        <v>4</v>
      </c>
      <c r="D634">
        <v>1</v>
      </c>
      <c r="E634">
        <v>9</v>
      </c>
      <c r="F634">
        <v>0</v>
      </c>
      <c r="G634">
        <v>1</v>
      </c>
      <c r="H634">
        <v>1</v>
      </c>
      <c r="I634">
        <v>1</v>
      </c>
      <c r="J634">
        <v>0.51416700000000004</v>
      </c>
      <c r="K634">
        <v>0.50251299999999999</v>
      </c>
      <c r="L634">
        <v>0.49291699999999999</v>
      </c>
      <c r="M634">
        <v>0.142404</v>
      </c>
      <c r="N634">
        <v>1001</v>
      </c>
      <c r="O634">
        <v>6435</v>
      </c>
      <c r="P634">
        <v>7436</v>
      </c>
      <c r="Q634">
        <f t="shared" si="36"/>
        <v>16.165849000000001</v>
      </c>
      <c r="R634">
        <f t="shared" si="37"/>
        <v>17.165858</v>
      </c>
      <c r="S634">
        <f t="shared" si="38"/>
        <v>49.291699999999999</v>
      </c>
      <c r="T634">
        <f t="shared" si="39"/>
        <v>9.541068000000001</v>
      </c>
      <c r="U634" t="str">
        <f>_xlfn.XLOOKUP(C634,Lookup!$A$3:$A$6,Lookup!$B$3:$B$6)</f>
        <v>Fall</v>
      </c>
      <c r="V634">
        <f>_xlfn.XLOOKUP(D634,Lookup!$D$3:$D$4,Lookup!$E$3:$E$4)</f>
        <v>2012</v>
      </c>
      <c r="W634" t="str">
        <f>_xlfn.XLOOKUP(I634,Lookup!$G$3:$G$6,Lookup!$H$3:$H$6)</f>
        <v>Clear</v>
      </c>
      <c r="X634" t="str">
        <f>_xlfn.XLOOKUP(E634,Lookup!$J$3:$J$14,Lookup!$K$3:$K$14)</f>
        <v>September</v>
      </c>
      <c r="Y634" t="str">
        <f>_xlfn.XLOOKUP(G634,Lookup!$M$3:$M$9,Lookup!$N$3:$N$9)</f>
        <v>Monday</v>
      </c>
    </row>
    <row r="635" spans="1:25" x14ac:dyDescent="0.3">
      <c r="A635">
        <v>634</v>
      </c>
      <c r="B635" s="1">
        <v>41177</v>
      </c>
      <c r="C635">
        <v>4</v>
      </c>
      <c r="D635">
        <v>1</v>
      </c>
      <c r="E635">
        <v>9</v>
      </c>
      <c r="F635">
        <v>0</v>
      </c>
      <c r="G635">
        <v>2</v>
      </c>
      <c r="H635">
        <v>1</v>
      </c>
      <c r="I635">
        <v>1</v>
      </c>
      <c r="J635">
        <v>0.55000000000000004</v>
      </c>
      <c r="K635">
        <v>0.54417899999999997</v>
      </c>
      <c r="L635">
        <v>0.56999999999999995</v>
      </c>
      <c r="M635">
        <v>0.236321</v>
      </c>
      <c r="N635">
        <v>845</v>
      </c>
      <c r="O635">
        <v>6693</v>
      </c>
      <c r="P635">
        <v>7538</v>
      </c>
      <c r="Q635">
        <f t="shared" si="36"/>
        <v>17.850000000000001</v>
      </c>
      <c r="R635">
        <f t="shared" si="37"/>
        <v>19.915813999999997</v>
      </c>
      <c r="S635">
        <f t="shared" si="38"/>
        <v>56.999999999999993</v>
      </c>
      <c r="T635">
        <f t="shared" si="39"/>
        <v>15.833507000000001</v>
      </c>
      <c r="U635" t="str">
        <f>_xlfn.XLOOKUP(C635,Lookup!$A$3:$A$6,Lookup!$B$3:$B$6)</f>
        <v>Fall</v>
      </c>
      <c r="V635">
        <f>_xlfn.XLOOKUP(D635,Lookup!$D$3:$D$4,Lookup!$E$3:$E$4)</f>
        <v>2012</v>
      </c>
      <c r="W635" t="str">
        <f>_xlfn.XLOOKUP(I635,Lookup!$G$3:$G$6,Lookup!$H$3:$H$6)</f>
        <v>Clear</v>
      </c>
      <c r="X635" t="str">
        <f>_xlfn.XLOOKUP(E635,Lookup!$J$3:$J$14,Lookup!$K$3:$K$14)</f>
        <v>September</v>
      </c>
      <c r="Y635" t="str">
        <f>_xlfn.XLOOKUP(G635,Lookup!$M$3:$M$9,Lookup!$N$3:$N$9)</f>
        <v>Tuesday</v>
      </c>
    </row>
    <row r="636" spans="1:25" x14ac:dyDescent="0.3">
      <c r="A636">
        <v>635</v>
      </c>
      <c r="B636" s="1">
        <v>41178</v>
      </c>
      <c r="C636">
        <v>4</v>
      </c>
      <c r="D636">
        <v>1</v>
      </c>
      <c r="E636">
        <v>9</v>
      </c>
      <c r="F636">
        <v>0</v>
      </c>
      <c r="G636">
        <v>3</v>
      </c>
      <c r="H636">
        <v>1</v>
      </c>
      <c r="I636">
        <v>1</v>
      </c>
      <c r="J636">
        <v>0.63500000000000001</v>
      </c>
      <c r="K636">
        <v>0.59661299999999995</v>
      </c>
      <c r="L636">
        <v>0.63083299999999998</v>
      </c>
      <c r="M636">
        <v>0.24440000000000001</v>
      </c>
      <c r="N636">
        <v>787</v>
      </c>
      <c r="O636">
        <v>6946</v>
      </c>
      <c r="P636">
        <v>7733</v>
      </c>
      <c r="Q636">
        <f t="shared" si="36"/>
        <v>21.844999999999999</v>
      </c>
      <c r="R636">
        <f t="shared" si="37"/>
        <v>23.376458</v>
      </c>
      <c r="S636">
        <f t="shared" si="38"/>
        <v>63.083299999999994</v>
      </c>
      <c r="T636">
        <f t="shared" si="39"/>
        <v>16.3748</v>
      </c>
      <c r="U636" t="str">
        <f>_xlfn.XLOOKUP(C636,Lookup!$A$3:$A$6,Lookup!$B$3:$B$6)</f>
        <v>Fall</v>
      </c>
      <c r="V636">
        <f>_xlfn.XLOOKUP(D636,Lookup!$D$3:$D$4,Lookup!$E$3:$E$4)</f>
        <v>2012</v>
      </c>
      <c r="W636" t="str">
        <f>_xlfn.XLOOKUP(I636,Lookup!$G$3:$G$6,Lookup!$H$3:$H$6)</f>
        <v>Clear</v>
      </c>
      <c r="X636" t="str">
        <f>_xlfn.XLOOKUP(E636,Lookup!$J$3:$J$14,Lookup!$K$3:$K$14)</f>
        <v>September</v>
      </c>
      <c r="Y636" t="str">
        <f>_xlfn.XLOOKUP(G636,Lookup!$M$3:$M$9,Lookup!$N$3:$N$9)</f>
        <v>Wednesday</v>
      </c>
    </row>
    <row r="637" spans="1:25" x14ac:dyDescent="0.3">
      <c r="A637">
        <v>636</v>
      </c>
      <c r="B637" s="1">
        <v>41179</v>
      </c>
      <c r="C637">
        <v>4</v>
      </c>
      <c r="D637">
        <v>1</v>
      </c>
      <c r="E637">
        <v>9</v>
      </c>
      <c r="F637">
        <v>0</v>
      </c>
      <c r="G637">
        <v>4</v>
      </c>
      <c r="H637">
        <v>1</v>
      </c>
      <c r="I637">
        <v>2</v>
      </c>
      <c r="J637">
        <v>0.65</v>
      </c>
      <c r="K637">
        <v>0.60797500000000004</v>
      </c>
      <c r="L637">
        <v>0.69083300000000003</v>
      </c>
      <c r="M637">
        <v>0.13434199999999999</v>
      </c>
      <c r="N637">
        <v>751</v>
      </c>
      <c r="O637">
        <v>6642</v>
      </c>
      <c r="P637">
        <v>7393</v>
      </c>
      <c r="Q637">
        <f t="shared" si="36"/>
        <v>22.55</v>
      </c>
      <c r="R637">
        <f t="shared" si="37"/>
        <v>24.126350000000002</v>
      </c>
      <c r="S637">
        <f t="shared" si="38"/>
        <v>69.083300000000008</v>
      </c>
      <c r="T637">
        <f t="shared" si="39"/>
        <v>9.0009139999999999</v>
      </c>
      <c r="U637" t="str">
        <f>_xlfn.XLOOKUP(C637,Lookup!$A$3:$A$6,Lookup!$B$3:$B$6)</f>
        <v>Fall</v>
      </c>
      <c r="V637">
        <f>_xlfn.XLOOKUP(D637,Lookup!$D$3:$D$4,Lookup!$E$3:$E$4)</f>
        <v>2012</v>
      </c>
      <c r="W637" t="str">
        <f>_xlfn.XLOOKUP(I637,Lookup!$G$3:$G$6,Lookup!$H$3:$H$6)</f>
        <v>Misty/Cloudy</v>
      </c>
      <c r="X637" t="str">
        <f>_xlfn.XLOOKUP(E637,Lookup!$J$3:$J$14,Lookup!$K$3:$K$14)</f>
        <v>September</v>
      </c>
      <c r="Y637" t="str">
        <f>_xlfn.XLOOKUP(G637,Lookup!$M$3:$M$9,Lookup!$N$3:$N$9)</f>
        <v>Thursday</v>
      </c>
    </row>
    <row r="638" spans="1:25" x14ac:dyDescent="0.3">
      <c r="A638">
        <v>637</v>
      </c>
      <c r="B638" s="1">
        <v>41180</v>
      </c>
      <c r="C638">
        <v>4</v>
      </c>
      <c r="D638">
        <v>1</v>
      </c>
      <c r="E638">
        <v>9</v>
      </c>
      <c r="F638">
        <v>0</v>
      </c>
      <c r="G638">
        <v>5</v>
      </c>
      <c r="H638">
        <v>1</v>
      </c>
      <c r="I638">
        <v>2</v>
      </c>
      <c r="J638">
        <v>0.61916700000000002</v>
      </c>
      <c r="K638">
        <v>0.58586300000000002</v>
      </c>
      <c r="L638">
        <v>0.69</v>
      </c>
      <c r="M638">
        <v>0.16417899999999999</v>
      </c>
      <c r="N638">
        <v>1045</v>
      </c>
      <c r="O638">
        <v>6370</v>
      </c>
      <c r="P638">
        <v>7415</v>
      </c>
      <c r="Q638">
        <f t="shared" si="36"/>
        <v>21.100849</v>
      </c>
      <c r="R638">
        <f t="shared" si="37"/>
        <v>22.666958000000001</v>
      </c>
      <c r="S638">
        <f t="shared" si="38"/>
        <v>69</v>
      </c>
      <c r="T638">
        <f t="shared" si="39"/>
        <v>10.999993</v>
      </c>
      <c r="U638" t="str">
        <f>_xlfn.XLOOKUP(C638,Lookup!$A$3:$A$6,Lookup!$B$3:$B$6)</f>
        <v>Fall</v>
      </c>
      <c r="V638">
        <f>_xlfn.XLOOKUP(D638,Lookup!$D$3:$D$4,Lookup!$E$3:$E$4)</f>
        <v>2012</v>
      </c>
      <c r="W638" t="str">
        <f>_xlfn.XLOOKUP(I638,Lookup!$G$3:$G$6,Lookup!$H$3:$H$6)</f>
        <v>Misty/Cloudy</v>
      </c>
      <c r="X638" t="str">
        <f>_xlfn.XLOOKUP(E638,Lookup!$J$3:$J$14,Lookup!$K$3:$K$14)</f>
        <v>September</v>
      </c>
      <c r="Y638" t="str">
        <f>_xlfn.XLOOKUP(G638,Lookup!$M$3:$M$9,Lookup!$N$3:$N$9)</f>
        <v>Friday</v>
      </c>
    </row>
    <row r="639" spans="1:25" x14ac:dyDescent="0.3">
      <c r="A639">
        <v>638</v>
      </c>
      <c r="B639" s="1">
        <v>41181</v>
      </c>
      <c r="C639">
        <v>4</v>
      </c>
      <c r="D639">
        <v>1</v>
      </c>
      <c r="E639">
        <v>9</v>
      </c>
      <c r="F639">
        <v>0</v>
      </c>
      <c r="G639">
        <v>6</v>
      </c>
      <c r="H639">
        <v>0</v>
      </c>
      <c r="I639">
        <v>1</v>
      </c>
      <c r="J639">
        <v>0.54249999999999998</v>
      </c>
      <c r="K639">
        <v>0.53029599999999999</v>
      </c>
      <c r="L639">
        <v>0.54291699999999998</v>
      </c>
      <c r="M639">
        <v>0.227604</v>
      </c>
      <c r="N639">
        <v>2589</v>
      </c>
      <c r="O639">
        <v>5966</v>
      </c>
      <c r="P639">
        <v>8555</v>
      </c>
      <c r="Q639">
        <f t="shared" si="36"/>
        <v>17.497499999999999</v>
      </c>
      <c r="R639">
        <f t="shared" si="37"/>
        <v>18.999535999999999</v>
      </c>
      <c r="S639">
        <f t="shared" si="38"/>
        <v>54.291699999999999</v>
      </c>
      <c r="T639">
        <f t="shared" si="39"/>
        <v>15.249468</v>
      </c>
      <c r="U639" t="str">
        <f>_xlfn.XLOOKUP(C639,Lookup!$A$3:$A$6,Lookup!$B$3:$B$6)</f>
        <v>Fall</v>
      </c>
      <c r="V639">
        <f>_xlfn.XLOOKUP(D639,Lookup!$D$3:$D$4,Lookup!$E$3:$E$4)</f>
        <v>2012</v>
      </c>
      <c r="W639" t="str">
        <f>_xlfn.XLOOKUP(I639,Lookup!$G$3:$G$6,Lookup!$H$3:$H$6)</f>
        <v>Clear</v>
      </c>
      <c r="X639" t="str">
        <f>_xlfn.XLOOKUP(E639,Lookup!$J$3:$J$14,Lookup!$K$3:$K$14)</f>
        <v>September</v>
      </c>
      <c r="Y639" t="str">
        <f>_xlfn.XLOOKUP(G639,Lookup!$M$3:$M$9,Lookup!$N$3:$N$9)</f>
        <v>Saturday</v>
      </c>
    </row>
    <row r="640" spans="1:25" x14ac:dyDescent="0.3">
      <c r="A640">
        <v>639</v>
      </c>
      <c r="B640" s="1">
        <v>41182</v>
      </c>
      <c r="C640">
        <v>4</v>
      </c>
      <c r="D640">
        <v>1</v>
      </c>
      <c r="E640">
        <v>9</v>
      </c>
      <c r="F640">
        <v>0</v>
      </c>
      <c r="G640">
        <v>0</v>
      </c>
      <c r="H640">
        <v>0</v>
      </c>
      <c r="I640">
        <v>1</v>
      </c>
      <c r="J640">
        <v>0.526667</v>
      </c>
      <c r="K640">
        <v>0.51766299999999998</v>
      </c>
      <c r="L640">
        <v>0.58333299999999999</v>
      </c>
      <c r="M640">
        <v>0.13495799999999999</v>
      </c>
      <c r="N640">
        <v>2015</v>
      </c>
      <c r="O640">
        <v>4874</v>
      </c>
      <c r="P640">
        <v>6889</v>
      </c>
      <c r="Q640">
        <f t="shared" si="36"/>
        <v>16.753349</v>
      </c>
      <c r="R640">
        <f t="shared" si="37"/>
        <v>18.165757999999997</v>
      </c>
      <c r="S640">
        <f t="shared" si="38"/>
        <v>58.333300000000001</v>
      </c>
      <c r="T640">
        <f t="shared" si="39"/>
        <v>9.0421859999999992</v>
      </c>
      <c r="U640" t="str">
        <f>_xlfn.XLOOKUP(C640,Lookup!$A$3:$A$6,Lookup!$B$3:$B$6)</f>
        <v>Fall</v>
      </c>
      <c r="V640">
        <f>_xlfn.XLOOKUP(D640,Lookup!$D$3:$D$4,Lookup!$E$3:$E$4)</f>
        <v>2012</v>
      </c>
      <c r="W640" t="str">
        <f>_xlfn.XLOOKUP(I640,Lookup!$G$3:$G$6,Lookup!$H$3:$H$6)</f>
        <v>Clear</v>
      </c>
      <c r="X640" t="str">
        <f>_xlfn.XLOOKUP(E640,Lookup!$J$3:$J$14,Lookup!$K$3:$K$14)</f>
        <v>September</v>
      </c>
      <c r="Y640" t="str">
        <f>_xlfn.XLOOKUP(G640,Lookup!$M$3:$M$9,Lookup!$N$3:$N$9)</f>
        <v>Sunday</v>
      </c>
    </row>
    <row r="641" spans="1:25" x14ac:dyDescent="0.3">
      <c r="A641">
        <v>640</v>
      </c>
      <c r="B641" s="1">
        <v>41183</v>
      </c>
      <c r="C641">
        <v>4</v>
      </c>
      <c r="D641">
        <v>1</v>
      </c>
      <c r="E641">
        <v>10</v>
      </c>
      <c r="F641">
        <v>0</v>
      </c>
      <c r="G641">
        <v>1</v>
      </c>
      <c r="H641">
        <v>1</v>
      </c>
      <c r="I641">
        <v>2</v>
      </c>
      <c r="J641">
        <v>0.52083299999999999</v>
      </c>
      <c r="K641">
        <v>0.51200000000000001</v>
      </c>
      <c r="L641">
        <v>0.64916700000000005</v>
      </c>
      <c r="M641">
        <v>9.0804200000000002E-2</v>
      </c>
      <c r="N641">
        <v>763</v>
      </c>
      <c r="O641">
        <v>6015</v>
      </c>
      <c r="P641">
        <v>6778</v>
      </c>
      <c r="Q641">
        <f t="shared" si="36"/>
        <v>16.479150999999998</v>
      </c>
      <c r="R641">
        <f t="shared" si="37"/>
        <v>17.792000000000002</v>
      </c>
      <c r="S641">
        <f t="shared" si="38"/>
        <v>64.916700000000006</v>
      </c>
      <c r="T641">
        <f t="shared" si="39"/>
        <v>6.0838814000000001</v>
      </c>
      <c r="U641" t="str">
        <f>_xlfn.XLOOKUP(C641,Lookup!$A$3:$A$6,Lookup!$B$3:$B$6)</f>
        <v>Fall</v>
      </c>
      <c r="V641">
        <f>_xlfn.XLOOKUP(D641,Lookup!$D$3:$D$4,Lookup!$E$3:$E$4)</f>
        <v>2012</v>
      </c>
      <c r="W641" t="str">
        <f>_xlfn.XLOOKUP(I641,Lookup!$G$3:$G$6,Lookup!$H$3:$H$6)</f>
        <v>Misty/Cloudy</v>
      </c>
      <c r="X641" t="str">
        <f>_xlfn.XLOOKUP(E641,Lookup!$J$3:$J$14,Lookup!$K$3:$K$14)</f>
        <v>October</v>
      </c>
      <c r="Y641" t="str">
        <f>_xlfn.XLOOKUP(G641,Lookup!$M$3:$M$9,Lookup!$N$3:$N$9)</f>
        <v>Monday</v>
      </c>
    </row>
    <row r="642" spans="1:25" x14ac:dyDescent="0.3">
      <c r="A642">
        <v>641</v>
      </c>
      <c r="B642" s="1">
        <v>41184</v>
      </c>
      <c r="C642">
        <v>4</v>
      </c>
      <c r="D642">
        <v>1</v>
      </c>
      <c r="E642">
        <v>10</v>
      </c>
      <c r="F642">
        <v>0</v>
      </c>
      <c r="G642">
        <v>2</v>
      </c>
      <c r="H642">
        <v>1</v>
      </c>
      <c r="I642">
        <v>3</v>
      </c>
      <c r="J642">
        <v>0.59083300000000005</v>
      </c>
      <c r="K642">
        <v>0.54233299999999995</v>
      </c>
      <c r="L642">
        <v>0.87166699999999997</v>
      </c>
      <c r="M642">
        <v>0.104475</v>
      </c>
      <c r="N642">
        <v>315</v>
      </c>
      <c r="O642">
        <v>4324</v>
      </c>
      <c r="P642">
        <v>4639</v>
      </c>
      <c r="Q642">
        <f t="shared" si="36"/>
        <v>19.769151000000001</v>
      </c>
      <c r="R642">
        <f t="shared" si="37"/>
        <v>19.793977999999996</v>
      </c>
      <c r="S642">
        <f t="shared" si="38"/>
        <v>87.166699999999992</v>
      </c>
      <c r="T642">
        <f t="shared" si="39"/>
        <v>6.9998249999999995</v>
      </c>
      <c r="U642" t="str">
        <f>_xlfn.XLOOKUP(C642,Lookup!$A$3:$A$6,Lookup!$B$3:$B$6)</f>
        <v>Fall</v>
      </c>
      <c r="V642">
        <f>_xlfn.XLOOKUP(D642,Lookup!$D$3:$D$4,Lookup!$E$3:$E$4)</f>
        <v>2012</v>
      </c>
      <c r="W642" t="str">
        <f>_xlfn.XLOOKUP(I642,Lookup!$G$3:$G$6,Lookup!$H$3:$H$6)</f>
        <v>Light Snow/Rain</v>
      </c>
      <c r="X642" t="str">
        <f>_xlfn.XLOOKUP(E642,Lookup!$J$3:$J$14,Lookup!$K$3:$K$14)</f>
        <v>October</v>
      </c>
      <c r="Y642" t="str">
        <f>_xlfn.XLOOKUP(G642,Lookup!$M$3:$M$9,Lookup!$N$3:$N$9)</f>
        <v>Tuesday</v>
      </c>
    </row>
    <row r="643" spans="1:25" x14ac:dyDescent="0.3">
      <c r="A643">
        <v>642</v>
      </c>
      <c r="B643" s="1">
        <v>41185</v>
      </c>
      <c r="C643">
        <v>4</v>
      </c>
      <c r="D643">
        <v>1</v>
      </c>
      <c r="E643">
        <v>10</v>
      </c>
      <c r="F643">
        <v>0</v>
      </c>
      <c r="G643">
        <v>3</v>
      </c>
      <c r="H643">
        <v>1</v>
      </c>
      <c r="I643">
        <v>2</v>
      </c>
      <c r="J643">
        <v>0.65749999999999997</v>
      </c>
      <c r="K643">
        <v>0.59913300000000003</v>
      </c>
      <c r="L643">
        <v>0.79374999999999996</v>
      </c>
      <c r="M643">
        <v>6.6545800000000002E-2</v>
      </c>
      <c r="N643">
        <v>728</v>
      </c>
      <c r="O643">
        <v>6844</v>
      </c>
      <c r="P643">
        <v>7572</v>
      </c>
      <c r="Q643">
        <f t="shared" ref="Q643:Q706" si="40">J643*47-8</f>
        <v>22.9025</v>
      </c>
      <c r="R643">
        <f t="shared" ref="R643:R706" si="41">K643*66-16</f>
        <v>23.542777999999998</v>
      </c>
      <c r="S643">
        <f t="shared" ref="S643:S706" si="42">L643*100</f>
        <v>79.375</v>
      </c>
      <c r="T643">
        <f t="shared" ref="T643:T706" si="43">M643*67</f>
        <v>4.4585686000000004</v>
      </c>
      <c r="U643" t="str">
        <f>_xlfn.XLOOKUP(C643,Lookup!$A$3:$A$6,Lookup!$B$3:$B$6)</f>
        <v>Fall</v>
      </c>
      <c r="V643">
        <f>_xlfn.XLOOKUP(D643,Lookup!$D$3:$D$4,Lookup!$E$3:$E$4)</f>
        <v>2012</v>
      </c>
      <c r="W643" t="str">
        <f>_xlfn.XLOOKUP(I643,Lookup!$G$3:$G$6,Lookup!$H$3:$H$6)</f>
        <v>Misty/Cloudy</v>
      </c>
      <c r="X643" t="str">
        <f>_xlfn.XLOOKUP(E643,Lookup!$J$3:$J$14,Lookup!$K$3:$K$14)</f>
        <v>October</v>
      </c>
      <c r="Y643" t="str">
        <f>_xlfn.XLOOKUP(G643,Lookup!$M$3:$M$9,Lookup!$N$3:$N$9)</f>
        <v>Wednesday</v>
      </c>
    </row>
    <row r="644" spans="1:25" x14ac:dyDescent="0.3">
      <c r="A644">
        <v>643</v>
      </c>
      <c r="B644" s="1">
        <v>41186</v>
      </c>
      <c r="C644">
        <v>4</v>
      </c>
      <c r="D644">
        <v>1</v>
      </c>
      <c r="E644">
        <v>10</v>
      </c>
      <c r="F644">
        <v>0</v>
      </c>
      <c r="G644">
        <v>4</v>
      </c>
      <c r="H644">
        <v>1</v>
      </c>
      <c r="I644">
        <v>2</v>
      </c>
      <c r="J644">
        <v>0.65749999999999997</v>
      </c>
      <c r="K644">
        <v>0.60797500000000004</v>
      </c>
      <c r="L644">
        <v>0.72291700000000003</v>
      </c>
      <c r="M644">
        <v>0.117546</v>
      </c>
      <c r="N644">
        <v>891</v>
      </c>
      <c r="O644">
        <v>6437</v>
      </c>
      <c r="P644">
        <v>7328</v>
      </c>
      <c r="Q644">
        <f t="shared" si="40"/>
        <v>22.9025</v>
      </c>
      <c r="R644">
        <f t="shared" si="41"/>
        <v>24.126350000000002</v>
      </c>
      <c r="S644">
        <f t="shared" si="42"/>
        <v>72.291700000000006</v>
      </c>
      <c r="T644">
        <f t="shared" si="43"/>
        <v>7.8755819999999996</v>
      </c>
      <c r="U644" t="str">
        <f>_xlfn.XLOOKUP(C644,Lookup!$A$3:$A$6,Lookup!$B$3:$B$6)</f>
        <v>Fall</v>
      </c>
      <c r="V644">
        <f>_xlfn.XLOOKUP(D644,Lookup!$D$3:$D$4,Lookup!$E$3:$E$4)</f>
        <v>2012</v>
      </c>
      <c r="W644" t="str">
        <f>_xlfn.XLOOKUP(I644,Lookup!$G$3:$G$6,Lookup!$H$3:$H$6)</f>
        <v>Misty/Cloudy</v>
      </c>
      <c r="X644" t="str">
        <f>_xlfn.XLOOKUP(E644,Lookup!$J$3:$J$14,Lookup!$K$3:$K$14)</f>
        <v>October</v>
      </c>
      <c r="Y644" t="str">
        <f>_xlfn.XLOOKUP(G644,Lookup!$M$3:$M$9,Lookup!$N$3:$N$9)</f>
        <v>Thursday</v>
      </c>
    </row>
    <row r="645" spans="1:25" x14ac:dyDescent="0.3">
      <c r="A645">
        <v>644</v>
      </c>
      <c r="B645" s="1">
        <v>41187</v>
      </c>
      <c r="C645">
        <v>4</v>
      </c>
      <c r="D645">
        <v>1</v>
      </c>
      <c r="E645">
        <v>10</v>
      </c>
      <c r="F645">
        <v>0</v>
      </c>
      <c r="G645">
        <v>5</v>
      </c>
      <c r="H645">
        <v>1</v>
      </c>
      <c r="I645">
        <v>1</v>
      </c>
      <c r="J645">
        <v>0.61499999999999999</v>
      </c>
      <c r="K645">
        <v>0.58018700000000001</v>
      </c>
      <c r="L645">
        <v>0.62749999999999995</v>
      </c>
      <c r="M645">
        <v>0.10635</v>
      </c>
      <c r="N645">
        <v>1516</v>
      </c>
      <c r="O645">
        <v>6640</v>
      </c>
      <c r="P645">
        <v>8156</v>
      </c>
      <c r="Q645">
        <f t="shared" si="40"/>
        <v>20.905000000000001</v>
      </c>
      <c r="R645">
        <f t="shared" si="41"/>
        <v>22.292341999999998</v>
      </c>
      <c r="S645">
        <f t="shared" si="42"/>
        <v>62.749999999999993</v>
      </c>
      <c r="T645">
        <f t="shared" si="43"/>
        <v>7.1254499999999998</v>
      </c>
      <c r="U645" t="str">
        <f>_xlfn.XLOOKUP(C645,Lookup!$A$3:$A$6,Lookup!$B$3:$B$6)</f>
        <v>Fall</v>
      </c>
      <c r="V645">
        <f>_xlfn.XLOOKUP(D645,Lookup!$D$3:$D$4,Lookup!$E$3:$E$4)</f>
        <v>2012</v>
      </c>
      <c r="W645" t="str">
        <f>_xlfn.XLOOKUP(I645,Lookup!$G$3:$G$6,Lookup!$H$3:$H$6)</f>
        <v>Clear</v>
      </c>
      <c r="X645" t="str">
        <f>_xlfn.XLOOKUP(E645,Lookup!$J$3:$J$14,Lookup!$K$3:$K$14)</f>
        <v>October</v>
      </c>
      <c r="Y645" t="str">
        <f>_xlfn.XLOOKUP(G645,Lookup!$M$3:$M$9,Lookup!$N$3:$N$9)</f>
        <v>Friday</v>
      </c>
    </row>
    <row r="646" spans="1:25" x14ac:dyDescent="0.3">
      <c r="A646">
        <v>645</v>
      </c>
      <c r="B646" s="1">
        <v>41188</v>
      </c>
      <c r="C646">
        <v>4</v>
      </c>
      <c r="D646">
        <v>1</v>
      </c>
      <c r="E646">
        <v>10</v>
      </c>
      <c r="F646">
        <v>0</v>
      </c>
      <c r="G646">
        <v>6</v>
      </c>
      <c r="H646">
        <v>0</v>
      </c>
      <c r="I646">
        <v>1</v>
      </c>
      <c r="J646">
        <v>0.55416699999999997</v>
      </c>
      <c r="K646">
        <v>0.53852100000000003</v>
      </c>
      <c r="L646">
        <v>0.66416699999999995</v>
      </c>
      <c r="M646">
        <v>0.26802500000000001</v>
      </c>
      <c r="N646">
        <v>3031</v>
      </c>
      <c r="O646">
        <v>4934</v>
      </c>
      <c r="P646">
        <v>7965</v>
      </c>
      <c r="Q646">
        <f t="shared" si="40"/>
        <v>18.045848999999997</v>
      </c>
      <c r="R646">
        <f t="shared" si="41"/>
        <v>19.542386</v>
      </c>
      <c r="S646">
        <f t="shared" si="42"/>
        <v>66.416699999999992</v>
      </c>
      <c r="T646">
        <f t="shared" si="43"/>
        <v>17.957675000000002</v>
      </c>
      <c r="U646" t="str">
        <f>_xlfn.XLOOKUP(C646,Lookup!$A$3:$A$6,Lookup!$B$3:$B$6)</f>
        <v>Fall</v>
      </c>
      <c r="V646">
        <f>_xlfn.XLOOKUP(D646,Lookup!$D$3:$D$4,Lookup!$E$3:$E$4)</f>
        <v>2012</v>
      </c>
      <c r="W646" t="str">
        <f>_xlfn.XLOOKUP(I646,Lookup!$G$3:$G$6,Lookup!$H$3:$H$6)</f>
        <v>Clear</v>
      </c>
      <c r="X646" t="str">
        <f>_xlfn.XLOOKUP(E646,Lookup!$J$3:$J$14,Lookup!$K$3:$K$14)</f>
        <v>October</v>
      </c>
      <c r="Y646" t="str">
        <f>_xlfn.XLOOKUP(G646,Lookup!$M$3:$M$9,Lookup!$N$3:$N$9)</f>
        <v>Saturday</v>
      </c>
    </row>
    <row r="647" spans="1:25" x14ac:dyDescent="0.3">
      <c r="A647">
        <v>646</v>
      </c>
      <c r="B647" s="1">
        <v>41189</v>
      </c>
      <c r="C647">
        <v>4</v>
      </c>
      <c r="D647">
        <v>1</v>
      </c>
      <c r="E647">
        <v>10</v>
      </c>
      <c r="F647">
        <v>0</v>
      </c>
      <c r="G647">
        <v>0</v>
      </c>
      <c r="H647">
        <v>0</v>
      </c>
      <c r="I647">
        <v>2</v>
      </c>
      <c r="J647">
        <v>0.41583300000000001</v>
      </c>
      <c r="K647">
        <v>0.41981299999999999</v>
      </c>
      <c r="L647">
        <v>0.70833299999999999</v>
      </c>
      <c r="M647">
        <v>0.14116200000000001</v>
      </c>
      <c r="N647">
        <v>781</v>
      </c>
      <c r="O647">
        <v>2729</v>
      </c>
      <c r="P647">
        <v>3510</v>
      </c>
      <c r="Q647">
        <f t="shared" si="40"/>
        <v>11.544150999999999</v>
      </c>
      <c r="R647">
        <f t="shared" si="41"/>
        <v>11.707657999999999</v>
      </c>
      <c r="S647">
        <f t="shared" si="42"/>
        <v>70.833299999999994</v>
      </c>
      <c r="T647">
        <f t="shared" si="43"/>
        <v>9.4578540000000011</v>
      </c>
      <c r="U647" t="str">
        <f>_xlfn.XLOOKUP(C647,Lookup!$A$3:$A$6,Lookup!$B$3:$B$6)</f>
        <v>Fall</v>
      </c>
      <c r="V647">
        <f>_xlfn.XLOOKUP(D647,Lookup!$D$3:$D$4,Lookup!$E$3:$E$4)</f>
        <v>2012</v>
      </c>
      <c r="W647" t="str">
        <f>_xlfn.XLOOKUP(I647,Lookup!$G$3:$G$6,Lookup!$H$3:$H$6)</f>
        <v>Misty/Cloudy</v>
      </c>
      <c r="X647" t="str">
        <f>_xlfn.XLOOKUP(E647,Lookup!$J$3:$J$14,Lookup!$K$3:$K$14)</f>
        <v>October</v>
      </c>
      <c r="Y647" t="str">
        <f>_xlfn.XLOOKUP(G647,Lookup!$M$3:$M$9,Lookup!$N$3:$N$9)</f>
        <v>Sunday</v>
      </c>
    </row>
    <row r="648" spans="1:25" x14ac:dyDescent="0.3">
      <c r="A648">
        <v>647</v>
      </c>
      <c r="B648" s="1">
        <v>41190</v>
      </c>
      <c r="C648">
        <v>4</v>
      </c>
      <c r="D648">
        <v>1</v>
      </c>
      <c r="E648">
        <v>10</v>
      </c>
      <c r="F648">
        <v>1</v>
      </c>
      <c r="G648">
        <v>1</v>
      </c>
      <c r="H648">
        <v>0</v>
      </c>
      <c r="I648">
        <v>2</v>
      </c>
      <c r="J648">
        <v>0.38333299999999998</v>
      </c>
      <c r="K648">
        <v>0.38760800000000001</v>
      </c>
      <c r="L648">
        <v>0.70958299999999996</v>
      </c>
      <c r="M648">
        <v>0.18967899999999999</v>
      </c>
      <c r="N648">
        <v>874</v>
      </c>
      <c r="O648">
        <v>4604</v>
      </c>
      <c r="P648">
        <v>5478</v>
      </c>
      <c r="Q648">
        <f t="shared" si="40"/>
        <v>10.016651</v>
      </c>
      <c r="R648">
        <f t="shared" si="41"/>
        <v>9.5821280000000009</v>
      </c>
      <c r="S648">
        <f t="shared" si="42"/>
        <v>70.958299999999994</v>
      </c>
      <c r="T648">
        <f t="shared" si="43"/>
        <v>12.708492999999999</v>
      </c>
      <c r="U648" t="str">
        <f>_xlfn.XLOOKUP(C648,Lookup!$A$3:$A$6,Lookup!$B$3:$B$6)</f>
        <v>Fall</v>
      </c>
      <c r="V648">
        <f>_xlfn.XLOOKUP(D648,Lookup!$D$3:$D$4,Lookup!$E$3:$E$4)</f>
        <v>2012</v>
      </c>
      <c r="W648" t="str">
        <f>_xlfn.XLOOKUP(I648,Lookup!$G$3:$G$6,Lookup!$H$3:$H$6)</f>
        <v>Misty/Cloudy</v>
      </c>
      <c r="X648" t="str">
        <f>_xlfn.XLOOKUP(E648,Lookup!$J$3:$J$14,Lookup!$K$3:$K$14)</f>
        <v>October</v>
      </c>
      <c r="Y648" t="str">
        <f>_xlfn.XLOOKUP(G648,Lookup!$M$3:$M$9,Lookup!$N$3:$N$9)</f>
        <v>Monday</v>
      </c>
    </row>
    <row r="649" spans="1:25" x14ac:dyDescent="0.3">
      <c r="A649">
        <v>648</v>
      </c>
      <c r="B649" s="1">
        <v>41191</v>
      </c>
      <c r="C649">
        <v>4</v>
      </c>
      <c r="D649">
        <v>1</v>
      </c>
      <c r="E649">
        <v>10</v>
      </c>
      <c r="F649">
        <v>0</v>
      </c>
      <c r="G649">
        <v>2</v>
      </c>
      <c r="H649">
        <v>1</v>
      </c>
      <c r="I649">
        <v>2</v>
      </c>
      <c r="J649">
        <v>0.44666699999999998</v>
      </c>
      <c r="K649">
        <v>0.438112</v>
      </c>
      <c r="L649">
        <v>0.76166699999999998</v>
      </c>
      <c r="M649">
        <v>0.1903</v>
      </c>
      <c r="N649">
        <v>601</v>
      </c>
      <c r="O649">
        <v>5791</v>
      </c>
      <c r="P649">
        <v>6392</v>
      </c>
      <c r="Q649">
        <f t="shared" si="40"/>
        <v>12.993348999999998</v>
      </c>
      <c r="R649">
        <f t="shared" si="41"/>
        <v>12.915392000000001</v>
      </c>
      <c r="S649">
        <f t="shared" si="42"/>
        <v>76.166699999999992</v>
      </c>
      <c r="T649">
        <f t="shared" si="43"/>
        <v>12.7501</v>
      </c>
      <c r="U649" t="str">
        <f>_xlfn.XLOOKUP(C649,Lookup!$A$3:$A$6,Lookup!$B$3:$B$6)</f>
        <v>Fall</v>
      </c>
      <c r="V649">
        <f>_xlfn.XLOOKUP(D649,Lookup!$D$3:$D$4,Lookup!$E$3:$E$4)</f>
        <v>2012</v>
      </c>
      <c r="W649" t="str">
        <f>_xlfn.XLOOKUP(I649,Lookup!$G$3:$G$6,Lookup!$H$3:$H$6)</f>
        <v>Misty/Cloudy</v>
      </c>
      <c r="X649" t="str">
        <f>_xlfn.XLOOKUP(E649,Lookup!$J$3:$J$14,Lookup!$K$3:$K$14)</f>
        <v>October</v>
      </c>
      <c r="Y649" t="str">
        <f>_xlfn.XLOOKUP(G649,Lookup!$M$3:$M$9,Lookup!$N$3:$N$9)</f>
        <v>Tuesday</v>
      </c>
    </row>
    <row r="650" spans="1:25" x14ac:dyDescent="0.3">
      <c r="A650">
        <v>649</v>
      </c>
      <c r="B650" s="1">
        <v>41192</v>
      </c>
      <c r="C650">
        <v>4</v>
      </c>
      <c r="D650">
        <v>1</v>
      </c>
      <c r="E650">
        <v>10</v>
      </c>
      <c r="F650">
        <v>0</v>
      </c>
      <c r="G650">
        <v>3</v>
      </c>
      <c r="H650">
        <v>1</v>
      </c>
      <c r="I650">
        <v>1</v>
      </c>
      <c r="J650">
        <v>0.51416700000000004</v>
      </c>
      <c r="K650">
        <v>0.50314199999999998</v>
      </c>
      <c r="L650">
        <v>0.63083299999999998</v>
      </c>
      <c r="M650">
        <v>0.18782099999999999</v>
      </c>
      <c r="N650">
        <v>780</v>
      </c>
      <c r="O650">
        <v>6911</v>
      </c>
      <c r="P650">
        <v>7691</v>
      </c>
      <c r="Q650">
        <f t="shared" si="40"/>
        <v>16.165849000000001</v>
      </c>
      <c r="R650">
        <f t="shared" si="41"/>
        <v>17.207371999999999</v>
      </c>
      <c r="S650">
        <f t="shared" si="42"/>
        <v>63.083299999999994</v>
      </c>
      <c r="T650">
        <f t="shared" si="43"/>
        <v>12.584007</v>
      </c>
      <c r="U650" t="str">
        <f>_xlfn.XLOOKUP(C650,Lookup!$A$3:$A$6,Lookup!$B$3:$B$6)</f>
        <v>Fall</v>
      </c>
      <c r="V650">
        <f>_xlfn.XLOOKUP(D650,Lookup!$D$3:$D$4,Lookup!$E$3:$E$4)</f>
        <v>2012</v>
      </c>
      <c r="W650" t="str">
        <f>_xlfn.XLOOKUP(I650,Lookup!$G$3:$G$6,Lookup!$H$3:$H$6)</f>
        <v>Clear</v>
      </c>
      <c r="X650" t="str">
        <f>_xlfn.XLOOKUP(E650,Lookup!$J$3:$J$14,Lookup!$K$3:$K$14)</f>
        <v>October</v>
      </c>
      <c r="Y650" t="str">
        <f>_xlfn.XLOOKUP(G650,Lookup!$M$3:$M$9,Lookup!$N$3:$N$9)</f>
        <v>Wednesday</v>
      </c>
    </row>
    <row r="651" spans="1:25" x14ac:dyDescent="0.3">
      <c r="A651">
        <v>650</v>
      </c>
      <c r="B651" s="1">
        <v>41193</v>
      </c>
      <c r="C651">
        <v>4</v>
      </c>
      <c r="D651">
        <v>1</v>
      </c>
      <c r="E651">
        <v>10</v>
      </c>
      <c r="F651">
        <v>0</v>
      </c>
      <c r="G651">
        <v>4</v>
      </c>
      <c r="H651">
        <v>1</v>
      </c>
      <c r="I651">
        <v>1</v>
      </c>
      <c r="J651">
        <v>0.435</v>
      </c>
      <c r="K651">
        <v>0.43116700000000002</v>
      </c>
      <c r="L651">
        <v>0.46333299999999999</v>
      </c>
      <c r="M651">
        <v>0.18159600000000001</v>
      </c>
      <c r="N651">
        <v>834</v>
      </c>
      <c r="O651">
        <v>6736</v>
      </c>
      <c r="P651">
        <v>7570</v>
      </c>
      <c r="Q651">
        <f t="shared" si="40"/>
        <v>12.445</v>
      </c>
      <c r="R651">
        <f t="shared" si="41"/>
        <v>12.457022000000002</v>
      </c>
      <c r="S651">
        <f t="shared" si="42"/>
        <v>46.333300000000001</v>
      </c>
      <c r="T651">
        <f t="shared" si="43"/>
        <v>12.166932000000001</v>
      </c>
      <c r="U651" t="str">
        <f>_xlfn.XLOOKUP(C651,Lookup!$A$3:$A$6,Lookup!$B$3:$B$6)</f>
        <v>Fall</v>
      </c>
      <c r="V651">
        <f>_xlfn.XLOOKUP(D651,Lookup!$D$3:$D$4,Lookup!$E$3:$E$4)</f>
        <v>2012</v>
      </c>
      <c r="W651" t="str">
        <f>_xlfn.XLOOKUP(I651,Lookup!$G$3:$G$6,Lookup!$H$3:$H$6)</f>
        <v>Clear</v>
      </c>
      <c r="X651" t="str">
        <f>_xlfn.XLOOKUP(E651,Lookup!$J$3:$J$14,Lookup!$K$3:$K$14)</f>
        <v>October</v>
      </c>
      <c r="Y651" t="str">
        <f>_xlfn.XLOOKUP(G651,Lookup!$M$3:$M$9,Lookup!$N$3:$N$9)</f>
        <v>Thursday</v>
      </c>
    </row>
    <row r="652" spans="1:25" x14ac:dyDescent="0.3">
      <c r="A652">
        <v>651</v>
      </c>
      <c r="B652" s="1">
        <v>41194</v>
      </c>
      <c r="C652">
        <v>4</v>
      </c>
      <c r="D652">
        <v>1</v>
      </c>
      <c r="E652">
        <v>10</v>
      </c>
      <c r="F652">
        <v>0</v>
      </c>
      <c r="G652">
        <v>5</v>
      </c>
      <c r="H652">
        <v>1</v>
      </c>
      <c r="I652">
        <v>1</v>
      </c>
      <c r="J652">
        <v>0.4375</v>
      </c>
      <c r="K652">
        <v>0.43307099999999998</v>
      </c>
      <c r="L652">
        <v>0.53916699999999995</v>
      </c>
      <c r="M652">
        <v>0.235092</v>
      </c>
      <c r="N652">
        <v>1060</v>
      </c>
      <c r="O652">
        <v>6222</v>
      </c>
      <c r="P652">
        <v>7282</v>
      </c>
      <c r="Q652">
        <f t="shared" si="40"/>
        <v>12.5625</v>
      </c>
      <c r="R652">
        <f t="shared" si="41"/>
        <v>12.582685999999999</v>
      </c>
      <c r="S652">
        <f t="shared" si="42"/>
        <v>53.916699999999992</v>
      </c>
      <c r="T652">
        <f t="shared" si="43"/>
        <v>15.751163999999999</v>
      </c>
      <c r="U652" t="str">
        <f>_xlfn.XLOOKUP(C652,Lookup!$A$3:$A$6,Lookup!$B$3:$B$6)</f>
        <v>Fall</v>
      </c>
      <c r="V652">
        <f>_xlfn.XLOOKUP(D652,Lookup!$D$3:$D$4,Lookup!$E$3:$E$4)</f>
        <v>2012</v>
      </c>
      <c r="W652" t="str">
        <f>_xlfn.XLOOKUP(I652,Lookup!$G$3:$G$6,Lookup!$H$3:$H$6)</f>
        <v>Clear</v>
      </c>
      <c r="X652" t="str">
        <f>_xlfn.XLOOKUP(E652,Lookup!$J$3:$J$14,Lookup!$K$3:$K$14)</f>
        <v>October</v>
      </c>
      <c r="Y652" t="str">
        <f>_xlfn.XLOOKUP(G652,Lookup!$M$3:$M$9,Lookup!$N$3:$N$9)</f>
        <v>Friday</v>
      </c>
    </row>
    <row r="653" spans="1:25" x14ac:dyDescent="0.3">
      <c r="A653">
        <v>652</v>
      </c>
      <c r="B653" s="1">
        <v>41195</v>
      </c>
      <c r="C653">
        <v>4</v>
      </c>
      <c r="D653">
        <v>1</v>
      </c>
      <c r="E653">
        <v>10</v>
      </c>
      <c r="F653">
        <v>0</v>
      </c>
      <c r="G653">
        <v>6</v>
      </c>
      <c r="H653">
        <v>0</v>
      </c>
      <c r="I653">
        <v>1</v>
      </c>
      <c r="J653">
        <v>0.39333299999999999</v>
      </c>
      <c r="K653">
        <v>0.39139600000000002</v>
      </c>
      <c r="L653">
        <v>0.49458299999999999</v>
      </c>
      <c r="M653">
        <v>0.14614199999999999</v>
      </c>
      <c r="N653">
        <v>2252</v>
      </c>
      <c r="O653">
        <v>4857</v>
      </c>
      <c r="P653">
        <v>7109</v>
      </c>
      <c r="Q653">
        <f t="shared" si="40"/>
        <v>10.486650999999998</v>
      </c>
      <c r="R653">
        <f t="shared" si="41"/>
        <v>9.832136000000002</v>
      </c>
      <c r="S653">
        <f t="shared" si="42"/>
        <v>49.458300000000001</v>
      </c>
      <c r="T653">
        <f t="shared" si="43"/>
        <v>9.7915139999999994</v>
      </c>
      <c r="U653" t="str">
        <f>_xlfn.XLOOKUP(C653,Lookup!$A$3:$A$6,Lookup!$B$3:$B$6)</f>
        <v>Fall</v>
      </c>
      <c r="V653">
        <f>_xlfn.XLOOKUP(D653,Lookup!$D$3:$D$4,Lookup!$E$3:$E$4)</f>
        <v>2012</v>
      </c>
      <c r="W653" t="str">
        <f>_xlfn.XLOOKUP(I653,Lookup!$G$3:$G$6,Lookup!$H$3:$H$6)</f>
        <v>Clear</v>
      </c>
      <c r="X653" t="str">
        <f>_xlfn.XLOOKUP(E653,Lookup!$J$3:$J$14,Lookup!$K$3:$K$14)</f>
        <v>October</v>
      </c>
      <c r="Y653" t="str">
        <f>_xlfn.XLOOKUP(G653,Lookup!$M$3:$M$9,Lookup!$N$3:$N$9)</f>
        <v>Saturday</v>
      </c>
    </row>
    <row r="654" spans="1:25" x14ac:dyDescent="0.3">
      <c r="A654">
        <v>653</v>
      </c>
      <c r="B654" s="1">
        <v>41196</v>
      </c>
      <c r="C654">
        <v>4</v>
      </c>
      <c r="D654">
        <v>1</v>
      </c>
      <c r="E654">
        <v>10</v>
      </c>
      <c r="F654">
        <v>0</v>
      </c>
      <c r="G654">
        <v>0</v>
      </c>
      <c r="H654">
        <v>0</v>
      </c>
      <c r="I654">
        <v>1</v>
      </c>
      <c r="J654">
        <v>0.52166699999999999</v>
      </c>
      <c r="K654">
        <v>0.50820399999999999</v>
      </c>
      <c r="L654">
        <v>0.64041700000000001</v>
      </c>
      <c r="M654">
        <v>0.27861200000000003</v>
      </c>
      <c r="N654">
        <v>2080</v>
      </c>
      <c r="O654">
        <v>4559</v>
      </c>
      <c r="P654">
        <v>6639</v>
      </c>
      <c r="Q654">
        <f t="shared" si="40"/>
        <v>16.518349000000001</v>
      </c>
      <c r="R654">
        <f t="shared" si="41"/>
        <v>17.541463999999998</v>
      </c>
      <c r="S654">
        <f t="shared" si="42"/>
        <v>64.041700000000006</v>
      </c>
      <c r="T654">
        <f t="shared" si="43"/>
        <v>18.667004000000002</v>
      </c>
      <c r="U654" t="str">
        <f>_xlfn.XLOOKUP(C654,Lookup!$A$3:$A$6,Lookup!$B$3:$B$6)</f>
        <v>Fall</v>
      </c>
      <c r="V654">
        <f>_xlfn.XLOOKUP(D654,Lookup!$D$3:$D$4,Lookup!$E$3:$E$4)</f>
        <v>2012</v>
      </c>
      <c r="W654" t="str">
        <f>_xlfn.XLOOKUP(I654,Lookup!$G$3:$G$6,Lookup!$H$3:$H$6)</f>
        <v>Clear</v>
      </c>
      <c r="X654" t="str">
        <f>_xlfn.XLOOKUP(E654,Lookup!$J$3:$J$14,Lookup!$K$3:$K$14)</f>
        <v>October</v>
      </c>
      <c r="Y654" t="str">
        <f>_xlfn.XLOOKUP(G654,Lookup!$M$3:$M$9,Lookup!$N$3:$N$9)</f>
        <v>Sunday</v>
      </c>
    </row>
    <row r="655" spans="1:25" x14ac:dyDescent="0.3">
      <c r="A655">
        <v>654</v>
      </c>
      <c r="B655" s="1">
        <v>41197</v>
      </c>
      <c r="C655">
        <v>4</v>
      </c>
      <c r="D655">
        <v>1</v>
      </c>
      <c r="E655">
        <v>10</v>
      </c>
      <c r="F655">
        <v>0</v>
      </c>
      <c r="G655">
        <v>1</v>
      </c>
      <c r="H655">
        <v>1</v>
      </c>
      <c r="I655">
        <v>2</v>
      </c>
      <c r="J655">
        <v>0.56166700000000003</v>
      </c>
      <c r="K655">
        <v>0.53915000000000002</v>
      </c>
      <c r="L655">
        <v>0.70750000000000002</v>
      </c>
      <c r="M655">
        <v>0.29603699999999999</v>
      </c>
      <c r="N655">
        <v>760</v>
      </c>
      <c r="O655">
        <v>5115</v>
      </c>
      <c r="P655">
        <v>5875</v>
      </c>
      <c r="Q655">
        <f t="shared" si="40"/>
        <v>18.398349</v>
      </c>
      <c r="R655">
        <f t="shared" si="41"/>
        <v>19.5839</v>
      </c>
      <c r="S655">
        <f t="shared" si="42"/>
        <v>70.75</v>
      </c>
      <c r="T655">
        <f t="shared" si="43"/>
        <v>19.834478999999998</v>
      </c>
      <c r="U655" t="str">
        <f>_xlfn.XLOOKUP(C655,Lookup!$A$3:$A$6,Lookup!$B$3:$B$6)</f>
        <v>Fall</v>
      </c>
      <c r="V655">
        <f>_xlfn.XLOOKUP(D655,Lookup!$D$3:$D$4,Lookup!$E$3:$E$4)</f>
        <v>2012</v>
      </c>
      <c r="W655" t="str">
        <f>_xlfn.XLOOKUP(I655,Lookup!$G$3:$G$6,Lookup!$H$3:$H$6)</f>
        <v>Misty/Cloudy</v>
      </c>
      <c r="X655" t="str">
        <f>_xlfn.XLOOKUP(E655,Lookup!$J$3:$J$14,Lookup!$K$3:$K$14)</f>
        <v>October</v>
      </c>
      <c r="Y655" t="str">
        <f>_xlfn.XLOOKUP(G655,Lookup!$M$3:$M$9,Lookup!$N$3:$N$9)</f>
        <v>Monday</v>
      </c>
    </row>
    <row r="656" spans="1:25" x14ac:dyDescent="0.3">
      <c r="A656">
        <v>655</v>
      </c>
      <c r="B656" s="1">
        <v>41198</v>
      </c>
      <c r="C656">
        <v>4</v>
      </c>
      <c r="D656">
        <v>1</v>
      </c>
      <c r="E656">
        <v>10</v>
      </c>
      <c r="F656">
        <v>0</v>
      </c>
      <c r="G656">
        <v>2</v>
      </c>
      <c r="H656">
        <v>1</v>
      </c>
      <c r="I656">
        <v>1</v>
      </c>
      <c r="J656">
        <v>0.468333</v>
      </c>
      <c r="K656">
        <v>0.46084599999999998</v>
      </c>
      <c r="L656">
        <v>0.55833299999999997</v>
      </c>
      <c r="M656">
        <v>0.18222099999999999</v>
      </c>
      <c r="N656">
        <v>922</v>
      </c>
      <c r="O656">
        <v>6612</v>
      </c>
      <c r="P656">
        <v>7534</v>
      </c>
      <c r="Q656">
        <f t="shared" si="40"/>
        <v>14.011651000000001</v>
      </c>
      <c r="R656">
        <f t="shared" si="41"/>
        <v>14.415835999999999</v>
      </c>
      <c r="S656">
        <f t="shared" si="42"/>
        <v>55.833299999999994</v>
      </c>
      <c r="T656">
        <f t="shared" si="43"/>
        <v>12.208807</v>
      </c>
      <c r="U656" t="str">
        <f>_xlfn.XLOOKUP(C656,Lookup!$A$3:$A$6,Lookup!$B$3:$B$6)</f>
        <v>Fall</v>
      </c>
      <c r="V656">
        <f>_xlfn.XLOOKUP(D656,Lookup!$D$3:$D$4,Lookup!$E$3:$E$4)</f>
        <v>2012</v>
      </c>
      <c r="W656" t="str">
        <f>_xlfn.XLOOKUP(I656,Lookup!$G$3:$G$6,Lookup!$H$3:$H$6)</f>
        <v>Clear</v>
      </c>
      <c r="X656" t="str">
        <f>_xlfn.XLOOKUP(E656,Lookup!$J$3:$J$14,Lookup!$K$3:$K$14)</f>
        <v>October</v>
      </c>
      <c r="Y656" t="str">
        <f>_xlfn.XLOOKUP(G656,Lookup!$M$3:$M$9,Lookup!$N$3:$N$9)</f>
        <v>Tuesday</v>
      </c>
    </row>
    <row r="657" spans="1:25" x14ac:dyDescent="0.3">
      <c r="A657">
        <v>656</v>
      </c>
      <c r="B657" s="1">
        <v>41199</v>
      </c>
      <c r="C657">
        <v>4</v>
      </c>
      <c r="D657">
        <v>1</v>
      </c>
      <c r="E657">
        <v>10</v>
      </c>
      <c r="F657">
        <v>0</v>
      </c>
      <c r="G657">
        <v>3</v>
      </c>
      <c r="H657">
        <v>1</v>
      </c>
      <c r="I657">
        <v>1</v>
      </c>
      <c r="J657">
        <v>0.45583299999999999</v>
      </c>
      <c r="K657">
        <v>0.45010800000000001</v>
      </c>
      <c r="L657">
        <v>0.69291700000000001</v>
      </c>
      <c r="M657">
        <v>0.101371</v>
      </c>
      <c r="N657">
        <v>979</v>
      </c>
      <c r="O657">
        <v>6482</v>
      </c>
      <c r="P657">
        <v>7461</v>
      </c>
      <c r="Q657">
        <f t="shared" si="40"/>
        <v>13.424150999999998</v>
      </c>
      <c r="R657">
        <f t="shared" si="41"/>
        <v>13.707128000000001</v>
      </c>
      <c r="S657">
        <f t="shared" si="42"/>
        <v>69.291700000000006</v>
      </c>
      <c r="T657">
        <f t="shared" si="43"/>
        <v>6.7918570000000003</v>
      </c>
      <c r="U657" t="str">
        <f>_xlfn.XLOOKUP(C657,Lookup!$A$3:$A$6,Lookup!$B$3:$B$6)</f>
        <v>Fall</v>
      </c>
      <c r="V657">
        <f>_xlfn.XLOOKUP(D657,Lookup!$D$3:$D$4,Lookup!$E$3:$E$4)</f>
        <v>2012</v>
      </c>
      <c r="W657" t="str">
        <f>_xlfn.XLOOKUP(I657,Lookup!$G$3:$G$6,Lookup!$H$3:$H$6)</f>
        <v>Clear</v>
      </c>
      <c r="X657" t="str">
        <f>_xlfn.XLOOKUP(E657,Lookup!$J$3:$J$14,Lookup!$K$3:$K$14)</f>
        <v>October</v>
      </c>
      <c r="Y657" t="str">
        <f>_xlfn.XLOOKUP(G657,Lookup!$M$3:$M$9,Lookup!$N$3:$N$9)</f>
        <v>Wednesday</v>
      </c>
    </row>
    <row r="658" spans="1:25" x14ac:dyDescent="0.3">
      <c r="A658">
        <v>657</v>
      </c>
      <c r="B658" s="1">
        <v>41200</v>
      </c>
      <c r="C658">
        <v>4</v>
      </c>
      <c r="D658">
        <v>1</v>
      </c>
      <c r="E658">
        <v>10</v>
      </c>
      <c r="F658">
        <v>0</v>
      </c>
      <c r="G658">
        <v>4</v>
      </c>
      <c r="H658">
        <v>1</v>
      </c>
      <c r="I658">
        <v>2</v>
      </c>
      <c r="J658">
        <v>0.52249999999999996</v>
      </c>
      <c r="K658">
        <v>0.512625</v>
      </c>
      <c r="L658">
        <v>0.72833300000000001</v>
      </c>
      <c r="M658">
        <v>0.23693700000000001</v>
      </c>
      <c r="N658">
        <v>1008</v>
      </c>
      <c r="O658">
        <v>6501</v>
      </c>
      <c r="P658">
        <v>7509</v>
      </c>
      <c r="Q658">
        <f t="shared" si="40"/>
        <v>16.557499999999997</v>
      </c>
      <c r="R658">
        <f t="shared" si="41"/>
        <v>17.83325</v>
      </c>
      <c r="S658">
        <f t="shared" si="42"/>
        <v>72.833299999999994</v>
      </c>
      <c r="T658">
        <f t="shared" si="43"/>
        <v>15.874779</v>
      </c>
      <c r="U658" t="str">
        <f>_xlfn.XLOOKUP(C658,Lookup!$A$3:$A$6,Lookup!$B$3:$B$6)</f>
        <v>Fall</v>
      </c>
      <c r="V658">
        <f>_xlfn.XLOOKUP(D658,Lookup!$D$3:$D$4,Lookup!$E$3:$E$4)</f>
        <v>2012</v>
      </c>
      <c r="W658" t="str">
        <f>_xlfn.XLOOKUP(I658,Lookup!$G$3:$G$6,Lookup!$H$3:$H$6)</f>
        <v>Misty/Cloudy</v>
      </c>
      <c r="X658" t="str">
        <f>_xlfn.XLOOKUP(E658,Lookup!$J$3:$J$14,Lookup!$K$3:$K$14)</f>
        <v>October</v>
      </c>
      <c r="Y658" t="str">
        <f>_xlfn.XLOOKUP(G658,Lookup!$M$3:$M$9,Lookup!$N$3:$N$9)</f>
        <v>Thursday</v>
      </c>
    </row>
    <row r="659" spans="1:25" x14ac:dyDescent="0.3">
      <c r="A659">
        <v>658</v>
      </c>
      <c r="B659" s="1">
        <v>41201</v>
      </c>
      <c r="C659">
        <v>4</v>
      </c>
      <c r="D659">
        <v>1</v>
      </c>
      <c r="E659">
        <v>10</v>
      </c>
      <c r="F659">
        <v>0</v>
      </c>
      <c r="G659">
        <v>5</v>
      </c>
      <c r="H659">
        <v>1</v>
      </c>
      <c r="I659">
        <v>2</v>
      </c>
      <c r="J659">
        <v>0.56333299999999997</v>
      </c>
      <c r="K659">
        <v>0.53789600000000004</v>
      </c>
      <c r="L659">
        <v>0.81499999999999995</v>
      </c>
      <c r="M659">
        <v>0.13495399999999999</v>
      </c>
      <c r="N659">
        <v>753</v>
      </c>
      <c r="O659">
        <v>4671</v>
      </c>
      <c r="P659">
        <v>5424</v>
      </c>
      <c r="Q659">
        <f t="shared" si="40"/>
        <v>18.476651</v>
      </c>
      <c r="R659">
        <f t="shared" si="41"/>
        <v>19.501136000000002</v>
      </c>
      <c r="S659">
        <f t="shared" si="42"/>
        <v>81.5</v>
      </c>
      <c r="T659">
        <f t="shared" si="43"/>
        <v>9.041917999999999</v>
      </c>
      <c r="U659" t="str">
        <f>_xlfn.XLOOKUP(C659,Lookup!$A$3:$A$6,Lookup!$B$3:$B$6)</f>
        <v>Fall</v>
      </c>
      <c r="V659">
        <f>_xlfn.XLOOKUP(D659,Lookup!$D$3:$D$4,Lookup!$E$3:$E$4)</f>
        <v>2012</v>
      </c>
      <c r="W659" t="str">
        <f>_xlfn.XLOOKUP(I659,Lookup!$G$3:$G$6,Lookup!$H$3:$H$6)</f>
        <v>Misty/Cloudy</v>
      </c>
      <c r="X659" t="str">
        <f>_xlfn.XLOOKUP(E659,Lookup!$J$3:$J$14,Lookup!$K$3:$K$14)</f>
        <v>October</v>
      </c>
      <c r="Y659" t="str">
        <f>_xlfn.XLOOKUP(G659,Lookup!$M$3:$M$9,Lookup!$N$3:$N$9)</f>
        <v>Friday</v>
      </c>
    </row>
    <row r="660" spans="1:25" x14ac:dyDescent="0.3">
      <c r="A660">
        <v>659</v>
      </c>
      <c r="B660" s="1">
        <v>41202</v>
      </c>
      <c r="C660">
        <v>4</v>
      </c>
      <c r="D660">
        <v>1</v>
      </c>
      <c r="E660">
        <v>10</v>
      </c>
      <c r="F660">
        <v>0</v>
      </c>
      <c r="G660">
        <v>6</v>
      </c>
      <c r="H660">
        <v>0</v>
      </c>
      <c r="I660">
        <v>1</v>
      </c>
      <c r="J660">
        <v>0.48416700000000001</v>
      </c>
      <c r="K660">
        <v>0.47284199999999998</v>
      </c>
      <c r="L660">
        <v>0.57291700000000001</v>
      </c>
      <c r="M660">
        <v>0.117537</v>
      </c>
      <c r="N660">
        <v>2806</v>
      </c>
      <c r="O660">
        <v>5284</v>
      </c>
      <c r="P660">
        <v>8090</v>
      </c>
      <c r="Q660">
        <f t="shared" si="40"/>
        <v>14.755849000000001</v>
      </c>
      <c r="R660">
        <f t="shared" si="41"/>
        <v>15.207571999999999</v>
      </c>
      <c r="S660">
        <f t="shared" si="42"/>
        <v>57.291699999999999</v>
      </c>
      <c r="T660">
        <f t="shared" si="43"/>
        <v>7.8749789999999997</v>
      </c>
      <c r="U660" t="str">
        <f>_xlfn.XLOOKUP(C660,Lookup!$A$3:$A$6,Lookup!$B$3:$B$6)</f>
        <v>Fall</v>
      </c>
      <c r="V660">
        <f>_xlfn.XLOOKUP(D660,Lookup!$D$3:$D$4,Lookup!$E$3:$E$4)</f>
        <v>2012</v>
      </c>
      <c r="W660" t="str">
        <f>_xlfn.XLOOKUP(I660,Lookup!$G$3:$G$6,Lookup!$H$3:$H$6)</f>
        <v>Clear</v>
      </c>
      <c r="X660" t="str">
        <f>_xlfn.XLOOKUP(E660,Lookup!$J$3:$J$14,Lookup!$K$3:$K$14)</f>
        <v>October</v>
      </c>
      <c r="Y660" t="str">
        <f>_xlfn.XLOOKUP(G660,Lookup!$M$3:$M$9,Lookup!$N$3:$N$9)</f>
        <v>Saturday</v>
      </c>
    </row>
    <row r="661" spans="1:25" x14ac:dyDescent="0.3">
      <c r="A661">
        <v>660</v>
      </c>
      <c r="B661" s="1">
        <v>41203</v>
      </c>
      <c r="C661">
        <v>4</v>
      </c>
      <c r="D661">
        <v>1</v>
      </c>
      <c r="E661">
        <v>10</v>
      </c>
      <c r="F661">
        <v>0</v>
      </c>
      <c r="G661">
        <v>0</v>
      </c>
      <c r="H661">
        <v>0</v>
      </c>
      <c r="I661">
        <v>1</v>
      </c>
      <c r="J661">
        <v>0.464167</v>
      </c>
      <c r="K661">
        <v>0.45642899999999997</v>
      </c>
      <c r="L661">
        <v>0.51</v>
      </c>
      <c r="M661">
        <v>0.16605400000000001</v>
      </c>
      <c r="N661">
        <v>2132</v>
      </c>
      <c r="O661">
        <v>4692</v>
      </c>
      <c r="P661">
        <v>6824</v>
      </c>
      <c r="Q661">
        <f t="shared" si="40"/>
        <v>13.815849</v>
      </c>
      <c r="R661">
        <f t="shared" si="41"/>
        <v>14.124313999999998</v>
      </c>
      <c r="S661">
        <f t="shared" si="42"/>
        <v>51</v>
      </c>
      <c r="T661">
        <f t="shared" si="43"/>
        <v>11.125618000000001</v>
      </c>
      <c r="U661" t="str">
        <f>_xlfn.XLOOKUP(C661,Lookup!$A$3:$A$6,Lookup!$B$3:$B$6)</f>
        <v>Fall</v>
      </c>
      <c r="V661">
        <f>_xlfn.XLOOKUP(D661,Lookup!$D$3:$D$4,Lookup!$E$3:$E$4)</f>
        <v>2012</v>
      </c>
      <c r="W661" t="str">
        <f>_xlfn.XLOOKUP(I661,Lookup!$G$3:$G$6,Lookup!$H$3:$H$6)</f>
        <v>Clear</v>
      </c>
      <c r="X661" t="str">
        <f>_xlfn.XLOOKUP(E661,Lookup!$J$3:$J$14,Lookup!$K$3:$K$14)</f>
        <v>October</v>
      </c>
      <c r="Y661" t="str">
        <f>_xlfn.XLOOKUP(G661,Lookup!$M$3:$M$9,Lookup!$N$3:$N$9)</f>
        <v>Sunday</v>
      </c>
    </row>
    <row r="662" spans="1:25" x14ac:dyDescent="0.3">
      <c r="A662">
        <v>661</v>
      </c>
      <c r="B662" s="1">
        <v>41204</v>
      </c>
      <c r="C662">
        <v>4</v>
      </c>
      <c r="D662">
        <v>1</v>
      </c>
      <c r="E662">
        <v>10</v>
      </c>
      <c r="F662">
        <v>0</v>
      </c>
      <c r="G662">
        <v>1</v>
      </c>
      <c r="H662">
        <v>1</v>
      </c>
      <c r="I662">
        <v>1</v>
      </c>
      <c r="J662">
        <v>0.48749999999999999</v>
      </c>
      <c r="K662">
        <v>0.48294199999999998</v>
      </c>
      <c r="L662">
        <v>0.56833299999999998</v>
      </c>
      <c r="M662">
        <v>8.1483299999999995E-2</v>
      </c>
      <c r="N662">
        <v>830</v>
      </c>
      <c r="O662">
        <v>6228</v>
      </c>
      <c r="P662">
        <v>7058</v>
      </c>
      <c r="Q662">
        <f t="shared" si="40"/>
        <v>14.912499999999998</v>
      </c>
      <c r="R662">
        <f t="shared" si="41"/>
        <v>15.874171999999998</v>
      </c>
      <c r="S662">
        <f t="shared" si="42"/>
        <v>56.833299999999994</v>
      </c>
      <c r="T662">
        <f t="shared" si="43"/>
        <v>5.4593810999999999</v>
      </c>
      <c r="U662" t="str">
        <f>_xlfn.XLOOKUP(C662,Lookup!$A$3:$A$6,Lookup!$B$3:$B$6)</f>
        <v>Fall</v>
      </c>
      <c r="V662">
        <f>_xlfn.XLOOKUP(D662,Lookup!$D$3:$D$4,Lookup!$E$3:$E$4)</f>
        <v>2012</v>
      </c>
      <c r="W662" t="str">
        <f>_xlfn.XLOOKUP(I662,Lookup!$G$3:$G$6,Lookup!$H$3:$H$6)</f>
        <v>Clear</v>
      </c>
      <c r="X662" t="str">
        <f>_xlfn.XLOOKUP(E662,Lookup!$J$3:$J$14,Lookup!$K$3:$K$14)</f>
        <v>October</v>
      </c>
      <c r="Y662" t="str">
        <f>_xlfn.XLOOKUP(G662,Lookup!$M$3:$M$9,Lookup!$N$3:$N$9)</f>
        <v>Monday</v>
      </c>
    </row>
    <row r="663" spans="1:25" x14ac:dyDescent="0.3">
      <c r="A663">
        <v>662</v>
      </c>
      <c r="B663" s="1">
        <v>41205</v>
      </c>
      <c r="C663">
        <v>4</v>
      </c>
      <c r="D663">
        <v>1</v>
      </c>
      <c r="E663">
        <v>10</v>
      </c>
      <c r="F663">
        <v>0</v>
      </c>
      <c r="G663">
        <v>2</v>
      </c>
      <c r="H663">
        <v>1</v>
      </c>
      <c r="I663">
        <v>1</v>
      </c>
      <c r="J663">
        <v>0.54416699999999996</v>
      </c>
      <c r="K663">
        <v>0.530304</v>
      </c>
      <c r="L663">
        <v>0.64166699999999999</v>
      </c>
      <c r="M663">
        <v>9.4545799999999999E-2</v>
      </c>
      <c r="N663">
        <v>841</v>
      </c>
      <c r="O663">
        <v>6625</v>
      </c>
      <c r="P663">
        <v>7466</v>
      </c>
      <c r="Q663">
        <f t="shared" si="40"/>
        <v>17.575848999999998</v>
      </c>
      <c r="R663">
        <f t="shared" si="41"/>
        <v>19.000064000000002</v>
      </c>
      <c r="S663">
        <f t="shared" si="42"/>
        <v>64.166699999999992</v>
      </c>
      <c r="T663">
        <f t="shared" si="43"/>
        <v>6.3345685999999999</v>
      </c>
      <c r="U663" t="str">
        <f>_xlfn.XLOOKUP(C663,Lookup!$A$3:$A$6,Lookup!$B$3:$B$6)</f>
        <v>Fall</v>
      </c>
      <c r="V663">
        <f>_xlfn.XLOOKUP(D663,Lookup!$D$3:$D$4,Lookup!$E$3:$E$4)</f>
        <v>2012</v>
      </c>
      <c r="W663" t="str">
        <f>_xlfn.XLOOKUP(I663,Lookup!$G$3:$G$6,Lookup!$H$3:$H$6)</f>
        <v>Clear</v>
      </c>
      <c r="X663" t="str">
        <f>_xlfn.XLOOKUP(E663,Lookup!$J$3:$J$14,Lookup!$K$3:$K$14)</f>
        <v>October</v>
      </c>
      <c r="Y663" t="str">
        <f>_xlfn.XLOOKUP(G663,Lookup!$M$3:$M$9,Lookup!$N$3:$N$9)</f>
        <v>Tuesday</v>
      </c>
    </row>
    <row r="664" spans="1:25" x14ac:dyDescent="0.3">
      <c r="A664">
        <v>663</v>
      </c>
      <c r="B664" s="1">
        <v>41206</v>
      </c>
      <c r="C664">
        <v>4</v>
      </c>
      <c r="D664">
        <v>1</v>
      </c>
      <c r="E664">
        <v>10</v>
      </c>
      <c r="F664">
        <v>0</v>
      </c>
      <c r="G664">
        <v>3</v>
      </c>
      <c r="H664">
        <v>1</v>
      </c>
      <c r="I664">
        <v>1</v>
      </c>
      <c r="J664">
        <v>0.58750000000000002</v>
      </c>
      <c r="K664">
        <v>0.55872100000000002</v>
      </c>
      <c r="L664">
        <v>0.63624999999999998</v>
      </c>
      <c r="M664">
        <v>7.2779200000000002E-2</v>
      </c>
      <c r="N664">
        <v>795</v>
      </c>
      <c r="O664">
        <v>6898</v>
      </c>
      <c r="P664">
        <v>7693</v>
      </c>
      <c r="Q664">
        <f t="shared" si="40"/>
        <v>19.612500000000001</v>
      </c>
      <c r="R664">
        <f t="shared" si="41"/>
        <v>20.875585999999998</v>
      </c>
      <c r="S664">
        <f t="shared" si="42"/>
        <v>63.625</v>
      </c>
      <c r="T664">
        <f t="shared" si="43"/>
        <v>4.8762064000000001</v>
      </c>
      <c r="U664" t="str">
        <f>_xlfn.XLOOKUP(C664,Lookup!$A$3:$A$6,Lookup!$B$3:$B$6)</f>
        <v>Fall</v>
      </c>
      <c r="V664">
        <f>_xlfn.XLOOKUP(D664,Lookup!$D$3:$D$4,Lookup!$E$3:$E$4)</f>
        <v>2012</v>
      </c>
      <c r="W664" t="str">
        <f>_xlfn.XLOOKUP(I664,Lookup!$G$3:$G$6,Lookup!$H$3:$H$6)</f>
        <v>Clear</v>
      </c>
      <c r="X664" t="str">
        <f>_xlfn.XLOOKUP(E664,Lookup!$J$3:$J$14,Lookup!$K$3:$K$14)</f>
        <v>October</v>
      </c>
      <c r="Y664" t="str">
        <f>_xlfn.XLOOKUP(G664,Lookup!$M$3:$M$9,Lookup!$N$3:$N$9)</f>
        <v>Wednesday</v>
      </c>
    </row>
    <row r="665" spans="1:25" x14ac:dyDescent="0.3">
      <c r="A665">
        <v>664</v>
      </c>
      <c r="B665" s="1">
        <v>41207</v>
      </c>
      <c r="C665">
        <v>4</v>
      </c>
      <c r="D665">
        <v>1</v>
      </c>
      <c r="E665">
        <v>10</v>
      </c>
      <c r="F665">
        <v>0</v>
      </c>
      <c r="G665">
        <v>4</v>
      </c>
      <c r="H665">
        <v>1</v>
      </c>
      <c r="I665">
        <v>2</v>
      </c>
      <c r="J665">
        <v>0.55000000000000004</v>
      </c>
      <c r="K665">
        <v>0.52968800000000005</v>
      </c>
      <c r="L665">
        <v>0.80041700000000005</v>
      </c>
      <c r="M665">
        <v>0.124375</v>
      </c>
      <c r="N665">
        <v>875</v>
      </c>
      <c r="O665">
        <v>6484</v>
      </c>
      <c r="P665">
        <v>7359</v>
      </c>
      <c r="Q665">
        <f t="shared" si="40"/>
        <v>17.850000000000001</v>
      </c>
      <c r="R665">
        <f t="shared" si="41"/>
        <v>18.959408000000003</v>
      </c>
      <c r="S665">
        <f t="shared" si="42"/>
        <v>80.041700000000006</v>
      </c>
      <c r="T665">
        <f t="shared" si="43"/>
        <v>8.3331250000000008</v>
      </c>
      <c r="U665" t="str">
        <f>_xlfn.XLOOKUP(C665,Lookup!$A$3:$A$6,Lookup!$B$3:$B$6)</f>
        <v>Fall</v>
      </c>
      <c r="V665">
        <f>_xlfn.XLOOKUP(D665,Lookup!$D$3:$D$4,Lookup!$E$3:$E$4)</f>
        <v>2012</v>
      </c>
      <c r="W665" t="str">
        <f>_xlfn.XLOOKUP(I665,Lookup!$G$3:$G$6,Lookup!$H$3:$H$6)</f>
        <v>Misty/Cloudy</v>
      </c>
      <c r="X665" t="str">
        <f>_xlfn.XLOOKUP(E665,Lookup!$J$3:$J$14,Lookup!$K$3:$K$14)</f>
        <v>October</v>
      </c>
      <c r="Y665" t="str">
        <f>_xlfn.XLOOKUP(G665,Lookup!$M$3:$M$9,Lookup!$N$3:$N$9)</f>
        <v>Thursday</v>
      </c>
    </row>
    <row r="666" spans="1:25" x14ac:dyDescent="0.3">
      <c r="A666">
        <v>665</v>
      </c>
      <c r="B666" s="1">
        <v>41208</v>
      </c>
      <c r="C666">
        <v>4</v>
      </c>
      <c r="D666">
        <v>1</v>
      </c>
      <c r="E666">
        <v>10</v>
      </c>
      <c r="F666">
        <v>0</v>
      </c>
      <c r="G666">
        <v>5</v>
      </c>
      <c r="H666">
        <v>1</v>
      </c>
      <c r="I666">
        <v>2</v>
      </c>
      <c r="J666">
        <v>0.54583300000000001</v>
      </c>
      <c r="K666">
        <v>0.52275000000000005</v>
      </c>
      <c r="L666">
        <v>0.80708299999999999</v>
      </c>
      <c r="M666">
        <v>0.132467</v>
      </c>
      <c r="N666">
        <v>1182</v>
      </c>
      <c r="O666">
        <v>6262</v>
      </c>
      <c r="P666">
        <v>7444</v>
      </c>
      <c r="Q666">
        <f t="shared" si="40"/>
        <v>17.654150999999999</v>
      </c>
      <c r="R666">
        <f t="shared" si="41"/>
        <v>18.5015</v>
      </c>
      <c r="S666">
        <f t="shared" si="42"/>
        <v>80.708299999999994</v>
      </c>
      <c r="T666">
        <f t="shared" si="43"/>
        <v>8.8752890000000004</v>
      </c>
      <c r="U666" t="str">
        <f>_xlfn.XLOOKUP(C666,Lookup!$A$3:$A$6,Lookup!$B$3:$B$6)</f>
        <v>Fall</v>
      </c>
      <c r="V666">
        <f>_xlfn.XLOOKUP(D666,Lookup!$D$3:$D$4,Lookup!$E$3:$E$4)</f>
        <v>2012</v>
      </c>
      <c r="W666" t="str">
        <f>_xlfn.XLOOKUP(I666,Lookup!$G$3:$G$6,Lookup!$H$3:$H$6)</f>
        <v>Misty/Cloudy</v>
      </c>
      <c r="X666" t="str">
        <f>_xlfn.XLOOKUP(E666,Lookup!$J$3:$J$14,Lookup!$K$3:$K$14)</f>
        <v>October</v>
      </c>
      <c r="Y666" t="str">
        <f>_xlfn.XLOOKUP(G666,Lookup!$M$3:$M$9,Lookup!$N$3:$N$9)</f>
        <v>Friday</v>
      </c>
    </row>
    <row r="667" spans="1:25" x14ac:dyDescent="0.3">
      <c r="A667">
        <v>666</v>
      </c>
      <c r="B667" s="1">
        <v>41209</v>
      </c>
      <c r="C667">
        <v>4</v>
      </c>
      <c r="D667">
        <v>1</v>
      </c>
      <c r="E667">
        <v>10</v>
      </c>
      <c r="F667">
        <v>0</v>
      </c>
      <c r="G667">
        <v>6</v>
      </c>
      <c r="H667">
        <v>0</v>
      </c>
      <c r="I667">
        <v>2</v>
      </c>
      <c r="J667">
        <v>0.53</v>
      </c>
      <c r="K667">
        <v>0.51513299999999995</v>
      </c>
      <c r="L667">
        <v>0.72</v>
      </c>
      <c r="M667">
        <v>0.23569200000000001</v>
      </c>
      <c r="N667">
        <v>2643</v>
      </c>
      <c r="O667">
        <v>5209</v>
      </c>
      <c r="P667">
        <v>7852</v>
      </c>
      <c r="Q667">
        <f t="shared" si="40"/>
        <v>16.91</v>
      </c>
      <c r="R667">
        <f t="shared" si="41"/>
        <v>17.998777999999994</v>
      </c>
      <c r="S667">
        <f t="shared" si="42"/>
        <v>72</v>
      </c>
      <c r="T667">
        <f t="shared" si="43"/>
        <v>15.791364000000002</v>
      </c>
      <c r="U667" t="str">
        <f>_xlfn.XLOOKUP(C667,Lookup!$A$3:$A$6,Lookup!$B$3:$B$6)</f>
        <v>Fall</v>
      </c>
      <c r="V667">
        <f>_xlfn.XLOOKUP(D667,Lookup!$D$3:$D$4,Lookup!$E$3:$E$4)</f>
        <v>2012</v>
      </c>
      <c r="W667" t="str">
        <f>_xlfn.XLOOKUP(I667,Lookup!$G$3:$G$6,Lookup!$H$3:$H$6)</f>
        <v>Misty/Cloudy</v>
      </c>
      <c r="X667" t="str">
        <f>_xlfn.XLOOKUP(E667,Lookup!$J$3:$J$14,Lookup!$K$3:$K$14)</f>
        <v>October</v>
      </c>
      <c r="Y667" t="str">
        <f>_xlfn.XLOOKUP(G667,Lookup!$M$3:$M$9,Lookup!$N$3:$N$9)</f>
        <v>Saturday</v>
      </c>
    </row>
    <row r="668" spans="1:25" x14ac:dyDescent="0.3">
      <c r="A668">
        <v>667</v>
      </c>
      <c r="B668" s="1">
        <v>41210</v>
      </c>
      <c r="C668">
        <v>4</v>
      </c>
      <c r="D668">
        <v>1</v>
      </c>
      <c r="E668">
        <v>10</v>
      </c>
      <c r="F668">
        <v>0</v>
      </c>
      <c r="G668">
        <v>0</v>
      </c>
      <c r="H668">
        <v>0</v>
      </c>
      <c r="I668">
        <v>2</v>
      </c>
      <c r="J668">
        <v>0.47749999999999998</v>
      </c>
      <c r="K668">
        <v>0.46777099999999999</v>
      </c>
      <c r="L668">
        <v>0.69458299999999995</v>
      </c>
      <c r="M668">
        <v>0.39800799999999997</v>
      </c>
      <c r="N668">
        <v>998</v>
      </c>
      <c r="O668">
        <v>3461</v>
      </c>
      <c r="P668">
        <v>4459</v>
      </c>
      <c r="Q668">
        <f t="shared" si="40"/>
        <v>14.442499999999999</v>
      </c>
      <c r="R668">
        <f t="shared" si="41"/>
        <v>14.872886000000001</v>
      </c>
      <c r="S668">
        <f t="shared" si="42"/>
        <v>69.458299999999994</v>
      </c>
      <c r="T668">
        <f t="shared" si="43"/>
        <v>26.666535999999997</v>
      </c>
      <c r="U668" t="str">
        <f>_xlfn.XLOOKUP(C668,Lookup!$A$3:$A$6,Lookup!$B$3:$B$6)</f>
        <v>Fall</v>
      </c>
      <c r="V668">
        <f>_xlfn.XLOOKUP(D668,Lookup!$D$3:$D$4,Lookup!$E$3:$E$4)</f>
        <v>2012</v>
      </c>
      <c r="W668" t="str">
        <f>_xlfn.XLOOKUP(I668,Lookup!$G$3:$G$6,Lookup!$H$3:$H$6)</f>
        <v>Misty/Cloudy</v>
      </c>
      <c r="X668" t="str">
        <f>_xlfn.XLOOKUP(E668,Lookup!$J$3:$J$14,Lookup!$K$3:$K$14)</f>
        <v>October</v>
      </c>
      <c r="Y668" t="str">
        <f>_xlfn.XLOOKUP(G668,Lookup!$M$3:$M$9,Lookup!$N$3:$N$9)</f>
        <v>Sunday</v>
      </c>
    </row>
    <row r="669" spans="1:25" x14ac:dyDescent="0.3">
      <c r="A669">
        <v>668</v>
      </c>
      <c r="B669" s="1">
        <v>41211</v>
      </c>
      <c r="C669">
        <v>4</v>
      </c>
      <c r="D669">
        <v>1</v>
      </c>
      <c r="E669">
        <v>10</v>
      </c>
      <c r="F669">
        <v>0</v>
      </c>
      <c r="G669">
        <v>1</v>
      </c>
      <c r="H669">
        <v>1</v>
      </c>
      <c r="I669">
        <v>3</v>
      </c>
      <c r="J669">
        <v>0.44</v>
      </c>
      <c r="K669">
        <v>0.43940000000000001</v>
      </c>
      <c r="L669">
        <v>0.88</v>
      </c>
      <c r="M669">
        <v>0.35820000000000002</v>
      </c>
      <c r="N669">
        <v>2</v>
      </c>
      <c r="O669">
        <v>20</v>
      </c>
      <c r="P669">
        <v>22</v>
      </c>
      <c r="Q669">
        <f t="shared" si="40"/>
        <v>12.68</v>
      </c>
      <c r="R669">
        <f t="shared" si="41"/>
        <v>13.000399999999999</v>
      </c>
      <c r="S669">
        <f t="shared" si="42"/>
        <v>88</v>
      </c>
      <c r="T669">
        <f t="shared" si="43"/>
        <v>23.999400000000001</v>
      </c>
      <c r="U669" t="str">
        <f>_xlfn.XLOOKUP(C669,Lookup!$A$3:$A$6,Lookup!$B$3:$B$6)</f>
        <v>Fall</v>
      </c>
      <c r="V669">
        <f>_xlfn.XLOOKUP(D669,Lookup!$D$3:$D$4,Lookup!$E$3:$E$4)</f>
        <v>2012</v>
      </c>
      <c r="W669" t="str">
        <f>_xlfn.XLOOKUP(I669,Lookup!$G$3:$G$6,Lookup!$H$3:$H$6)</f>
        <v>Light Snow/Rain</v>
      </c>
      <c r="X669" t="str">
        <f>_xlfn.XLOOKUP(E669,Lookup!$J$3:$J$14,Lookup!$K$3:$K$14)</f>
        <v>October</v>
      </c>
      <c r="Y669" t="str">
        <f>_xlfn.XLOOKUP(G669,Lookup!$M$3:$M$9,Lookup!$N$3:$N$9)</f>
        <v>Monday</v>
      </c>
    </row>
    <row r="670" spans="1:25" x14ac:dyDescent="0.3">
      <c r="A670">
        <v>669</v>
      </c>
      <c r="B670" s="1">
        <v>41212</v>
      </c>
      <c r="C670">
        <v>4</v>
      </c>
      <c r="D670">
        <v>1</v>
      </c>
      <c r="E670">
        <v>10</v>
      </c>
      <c r="F670">
        <v>0</v>
      </c>
      <c r="G670">
        <v>2</v>
      </c>
      <c r="H670">
        <v>1</v>
      </c>
      <c r="I670">
        <v>2</v>
      </c>
      <c r="J670">
        <v>0.31818200000000002</v>
      </c>
      <c r="K670">
        <v>0.30990899999999999</v>
      </c>
      <c r="L670">
        <v>0.82545500000000005</v>
      </c>
      <c r="M670">
        <v>0.213009</v>
      </c>
      <c r="N670">
        <v>87</v>
      </c>
      <c r="O670">
        <v>1009</v>
      </c>
      <c r="P670">
        <v>1096</v>
      </c>
      <c r="Q670">
        <f t="shared" si="40"/>
        <v>6.9545540000000017</v>
      </c>
      <c r="R670">
        <f t="shared" si="41"/>
        <v>4.453993999999998</v>
      </c>
      <c r="S670">
        <f t="shared" si="42"/>
        <v>82.545500000000004</v>
      </c>
      <c r="T670">
        <f t="shared" si="43"/>
        <v>14.271603000000001</v>
      </c>
      <c r="U670" t="str">
        <f>_xlfn.XLOOKUP(C670,Lookup!$A$3:$A$6,Lookup!$B$3:$B$6)</f>
        <v>Fall</v>
      </c>
      <c r="V670">
        <f>_xlfn.XLOOKUP(D670,Lookup!$D$3:$D$4,Lookup!$E$3:$E$4)</f>
        <v>2012</v>
      </c>
      <c r="W670" t="str">
        <f>_xlfn.XLOOKUP(I670,Lookup!$G$3:$G$6,Lookup!$H$3:$H$6)</f>
        <v>Misty/Cloudy</v>
      </c>
      <c r="X670" t="str">
        <f>_xlfn.XLOOKUP(E670,Lookup!$J$3:$J$14,Lookup!$K$3:$K$14)</f>
        <v>October</v>
      </c>
      <c r="Y670" t="str">
        <f>_xlfn.XLOOKUP(G670,Lookup!$M$3:$M$9,Lookup!$N$3:$N$9)</f>
        <v>Tuesday</v>
      </c>
    </row>
    <row r="671" spans="1:25" x14ac:dyDescent="0.3">
      <c r="A671">
        <v>670</v>
      </c>
      <c r="B671" s="1">
        <v>41213</v>
      </c>
      <c r="C671">
        <v>4</v>
      </c>
      <c r="D671">
        <v>1</v>
      </c>
      <c r="E671">
        <v>10</v>
      </c>
      <c r="F671">
        <v>0</v>
      </c>
      <c r="G671">
        <v>3</v>
      </c>
      <c r="H671">
        <v>1</v>
      </c>
      <c r="I671">
        <v>2</v>
      </c>
      <c r="J671">
        <v>0.35749999999999998</v>
      </c>
      <c r="K671">
        <v>0.36109999999999998</v>
      </c>
      <c r="L671">
        <v>0.66666700000000001</v>
      </c>
      <c r="M671">
        <v>0.16666700000000001</v>
      </c>
      <c r="N671">
        <v>419</v>
      </c>
      <c r="O671">
        <v>5147</v>
      </c>
      <c r="P671">
        <v>5566</v>
      </c>
      <c r="Q671">
        <f t="shared" si="40"/>
        <v>8.8024999999999984</v>
      </c>
      <c r="R671">
        <f t="shared" si="41"/>
        <v>7.8325999999999993</v>
      </c>
      <c r="S671">
        <f t="shared" si="42"/>
        <v>66.666700000000006</v>
      </c>
      <c r="T671">
        <f t="shared" si="43"/>
        <v>11.166689</v>
      </c>
      <c r="U671" t="str">
        <f>_xlfn.XLOOKUP(C671,Lookup!$A$3:$A$6,Lookup!$B$3:$B$6)</f>
        <v>Fall</v>
      </c>
      <c r="V671">
        <f>_xlfn.XLOOKUP(D671,Lookup!$D$3:$D$4,Lookup!$E$3:$E$4)</f>
        <v>2012</v>
      </c>
      <c r="W671" t="str">
        <f>_xlfn.XLOOKUP(I671,Lookup!$G$3:$G$6,Lookup!$H$3:$H$6)</f>
        <v>Misty/Cloudy</v>
      </c>
      <c r="X671" t="str">
        <f>_xlfn.XLOOKUP(E671,Lookup!$J$3:$J$14,Lookup!$K$3:$K$14)</f>
        <v>October</v>
      </c>
      <c r="Y671" t="str">
        <f>_xlfn.XLOOKUP(G671,Lookup!$M$3:$M$9,Lookup!$N$3:$N$9)</f>
        <v>Wednesday</v>
      </c>
    </row>
    <row r="672" spans="1:25" x14ac:dyDescent="0.3">
      <c r="A672">
        <v>671</v>
      </c>
      <c r="B672" s="1">
        <v>41214</v>
      </c>
      <c r="C672">
        <v>4</v>
      </c>
      <c r="D672">
        <v>1</v>
      </c>
      <c r="E672">
        <v>11</v>
      </c>
      <c r="F672">
        <v>0</v>
      </c>
      <c r="G672">
        <v>4</v>
      </c>
      <c r="H672">
        <v>1</v>
      </c>
      <c r="I672">
        <v>2</v>
      </c>
      <c r="J672">
        <v>0.36583300000000002</v>
      </c>
      <c r="K672">
        <v>0.36994199999999999</v>
      </c>
      <c r="L672">
        <v>0.58166700000000005</v>
      </c>
      <c r="M672">
        <v>0.15734600000000001</v>
      </c>
      <c r="N672">
        <v>466</v>
      </c>
      <c r="O672">
        <v>5520</v>
      </c>
      <c r="P672">
        <v>5986</v>
      </c>
      <c r="Q672">
        <f t="shared" si="40"/>
        <v>9.1941510000000015</v>
      </c>
      <c r="R672">
        <f t="shared" si="41"/>
        <v>8.4161719999999995</v>
      </c>
      <c r="S672">
        <f t="shared" si="42"/>
        <v>58.166700000000006</v>
      </c>
      <c r="T672">
        <f t="shared" si="43"/>
        <v>10.542182</v>
      </c>
      <c r="U672" t="str">
        <f>_xlfn.XLOOKUP(C672,Lookup!$A$3:$A$6,Lookup!$B$3:$B$6)</f>
        <v>Fall</v>
      </c>
      <c r="V672">
        <f>_xlfn.XLOOKUP(D672,Lookup!$D$3:$D$4,Lookup!$E$3:$E$4)</f>
        <v>2012</v>
      </c>
      <c r="W672" t="str">
        <f>_xlfn.XLOOKUP(I672,Lookup!$G$3:$G$6,Lookup!$H$3:$H$6)</f>
        <v>Misty/Cloudy</v>
      </c>
      <c r="X672" t="str">
        <f>_xlfn.XLOOKUP(E672,Lookup!$J$3:$J$14,Lookup!$K$3:$K$14)</f>
        <v>November</v>
      </c>
      <c r="Y672" t="str">
        <f>_xlfn.XLOOKUP(G672,Lookup!$M$3:$M$9,Lookup!$N$3:$N$9)</f>
        <v>Thursday</v>
      </c>
    </row>
    <row r="673" spans="1:25" x14ac:dyDescent="0.3">
      <c r="A673">
        <v>672</v>
      </c>
      <c r="B673" s="1">
        <v>41215</v>
      </c>
      <c r="C673">
        <v>4</v>
      </c>
      <c r="D673">
        <v>1</v>
      </c>
      <c r="E673">
        <v>11</v>
      </c>
      <c r="F673">
        <v>0</v>
      </c>
      <c r="G673">
        <v>5</v>
      </c>
      <c r="H673">
        <v>1</v>
      </c>
      <c r="I673">
        <v>1</v>
      </c>
      <c r="J673">
        <v>0.35499999999999998</v>
      </c>
      <c r="K673">
        <v>0.35604200000000003</v>
      </c>
      <c r="L673">
        <v>0.52208299999999996</v>
      </c>
      <c r="M673">
        <v>0.26617499999999999</v>
      </c>
      <c r="N673">
        <v>618</v>
      </c>
      <c r="O673">
        <v>5229</v>
      </c>
      <c r="P673">
        <v>5847</v>
      </c>
      <c r="Q673">
        <f t="shared" si="40"/>
        <v>8.6849999999999987</v>
      </c>
      <c r="R673">
        <f t="shared" si="41"/>
        <v>7.4987720000000024</v>
      </c>
      <c r="S673">
        <f t="shared" si="42"/>
        <v>52.208299999999994</v>
      </c>
      <c r="T673">
        <f t="shared" si="43"/>
        <v>17.833725000000001</v>
      </c>
      <c r="U673" t="str">
        <f>_xlfn.XLOOKUP(C673,Lookup!$A$3:$A$6,Lookup!$B$3:$B$6)</f>
        <v>Fall</v>
      </c>
      <c r="V673">
        <f>_xlfn.XLOOKUP(D673,Lookup!$D$3:$D$4,Lookup!$E$3:$E$4)</f>
        <v>2012</v>
      </c>
      <c r="W673" t="str">
        <f>_xlfn.XLOOKUP(I673,Lookup!$G$3:$G$6,Lookup!$H$3:$H$6)</f>
        <v>Clear</v>
      </c>
      <c r="X673" t="str">
        <f>_xlfn.XLOOKUP(E673,Lookup!$J$3:$J$14,Lookup!$K$3:$K$14)</f>
        <v>November</v>
      </c>
      <c r="Y673" t="str">
        <f>_xlfn.XLOOKUP(G673,Lookup!$M$3:$M$9,Lookup!$N$3:$N$9)</f>
        <v>Friday</v>
      </c>
    </row>
    <row r="674" spans="1:25" x14ac:dyDescent="0.3">
      <c r="A674">
        <v>673</v>
      </c>
      <c r="B674" s="1">
        <v>41216</v>
      </c>
      <c r="C674">
        <v>4</v>
      </c>
      <c r="D674">
        <v>1</v>
      </c>
      <c r="E674">
        <v>11</v>
      </c>
      <c r="F674">
        <v>0</v>
      </c>
      <c r="G674">
        <v>6</v>
      </c>
      <c r="H674">
        <v>0</v>
      </c>
      <c r="I674">
        <v>2</v>
      </c>
      <c r="J674">
        <v>0.343333</v>
      </c>
      <c r="K674">
        <v>0.32384600000000002</v>
      </c>
      <c r="L674">
        <v>0.49125000000000002</v>
      </c>
      <c r="M674">
        <v>0.27052900000000002</v>
      </c>
      <c r="N674">
        <v>1029</v>
      </c>
      <c r="O674">
        <v>4109</v>
      </c>
      <c r="P674">
        <v>5138</v>
      </c>
      <c r="Q674">
        <f t="shared" si="40"/>
        <v>8.1366510000000005</v>
      </c>
      <c r="R674">
        <f t="shared" si="41"/>
        <v>5.3738360000000007</v>
      </c>
      <c r="S674">
        <f t="shared" si="42"/>
        <v>49.125</v>
      </c>
      <c r="T674">
        <f t="shared" si="43"/>
        <v>18.125443000000001</v>
      </c>
      <c r="U674" t="str">
        <f>_xlfn.XLOOKUP(C674,Lookup!$A$3:$A$6,Lookup!$B$3:$B$6)</f>
        <v>Fall</v>
      </c>
      <c r="V674">
        <f>_xlfn.XLOOKUP(D674,Lookup!$D$3:$D$4,Lookup!$E$3:$E$4)</f>
        <v>2012</v>
      </c>
      <c r="W674" t="str">
        <f>_xlfn.XLOOKUP(I674,Lookup!$G$3:$G$6,Lookup!$H$3:$H$6)</f>
        <v>Misty/Cloudy</v>
      </c>
      <c r="X674" t="str">
        <f>_xlfn.XLOOKUP(E674,Lookup!$J$3:$J$14,Lookup!$K$3:$K$14)</f>
        <v>November</v>
      </c>
      <c r="Y674" t="str">
        <f>_xlfn.XLOOKUP(G674,Lookup!$M$3:$M$9,Lookup!$N$3:$N$9)</f>
        <v>Saturday</v>
      </c>
    </row>
    <row r="675" spans="1:25" x14ac:dyDescent="0.3">
      <c r="A675">
        <v>674</v>
      </c>
      <c r="B675" s="1">
        <v>41217</v>
      </c>
      <c r="C675">
        <v>4</v>
      </c>
      <c r="D675">
        <v>1</v>
      </c>
      <c r="E675">
        <v>11</v>
      </c>
      <c r="F675">
        <v>0</v>
      </c>
      <c r="G675">
        <v>0</v>
      </c>
      <c r="H675">
        <v>0</v>
      </c>
      <c r="I675">
        <v>1</v>
      </c>
      <c r="J675">
        <v>0.32583299999999998</v>
      </c>
      <c r="K675">
        <v>0.329538</v>
      </c>
      <c r="L675">
        <v>0.53291699999999997</v>
      </c>
      <c r="M675">
        <v>0.17910799999999999</v>
      </c>
      <c r="N675">
        <v>1201</v>
      </c>
      <c r="O675">
        <v>3906</v>
      </c>
      <c r="P675">
        <v>5107</v>
      </c>
      <c r="Q675">
        <f t="shared" si="40"/>
        <v>7.314150999999999</v>
      </c>
      <c r="R675">
        <f t="shared" si="41"/>
        <v>5.7495079999999987</v>
      </c>
      <c r="S675">
        <f t="shared" si="42"/>
        <v>53.291699999999999</v>
      </c>
      <c r="T675">
        <f t="shared" si="43"/>
        <v>12.000235999999999</v>
      </c>
      <c r="U675" t="str">
        <f>_xlfn.XLOOKUP(C675,Lookup!$A$3:$A$6,Lookup!$B$3:$B$6)</f>
        <v>Fall</v>
      </c>
      <c r="V675">
        <f>_xlfn.XLOOKUP(D675,Lookup!$D$3:$D$4,Lookup!$E$3:$E$4)</f>
        <v>2012</v>
      </c>
      <c r="W675" t="str">
        <f>_xlfn.XLOOKUP(I675,Lookup!$G$3:$G$6,Lookup!$H$3:$H$6)</f>
        <v>Clear</v>
      </c>
      <c r="X675" t="str">
        <f>_xlfn.XLOOKUP(E675,Lookup!$J$3:$J$14,Lookup!$K$3:$K$14)</f>
        <v>November</v>
      </c>
      <c r="Y675" t="str">
        <f>_xlfn.XLOOKUP(G675,Lookup!$M$3:$M$9,Lookup!$N$3:$N$9)</f>
        <v>Sunday</v>
      </c>
    </row>
    <row r="676" spans="1:25" x14ac:dyDescent="0.3">
      <c r="A676">
        <v>675</v>
      </c>
      <c r="B676" s="1">
        <v>41218</v>
      </c>
      <c r="C676">
        <v>4</v>
      </c>
      <c r="D676">
        <v>1</v>
      </c>
      <c r="E676">
        <v>11</v>
      </c>
      <c r="F676">
        <v>0</v>
      </c>
      <c r="G676">
        <v>1</v>
      </c>
      <c r="H676">
        <v>1</v>
      </c>
      <c r="I676">
        <v>1</v>
      </c>
      <c r="J676">
        <v>0.31916699999999998</v>
      </c>
      <c r="K676">
        <v>0.30807499999999999</v>
      </c>
      <c r="L676">
        <v>0.49416700000000002</v>
      </c>
      <c r="M676">
        <v>0.23632500000000001</v>
      </c>
      <c r="N676">
        <v>378</v>
      </c>
      <c r="O676">
        <v>4881</v>
      </c>
      <c r="P676">
        <v>5259</v>
      </c>
      <c r="Q676">
        <f t="shared" si="40"/>
        <v>7.0008489999999988</v>
      </c>
      <c r="R676">
        <f t="shared" si="41"/>
        <v>4.3329500000000003</v>
      </c>
      <c r="S676">
        <f t="shared" si="42"/>
        <v>49.416700000000006</v>
      </c>
      <c r="T676">
        <f t="shared" si="43"/>
        <v>15.833775000000001</v>
      </c>
      <c r="U676" t="str">
        <f>_xlfn.XLOOKUP(C676,Lookup!$A$3:$A$6,Lookup!$B$3:$B$6)</f>
        <v>Fall</v>
      </c>
      <c r="V676">
        <f>_xlfn.XLOOKUP(D676,Lookup!$D$3:$D$4,Lookup!$E$3:$E$4)</f>
        <v>2012</v>
      </c>
      <c r="W676" t="str">
        <f>_xlfn.XLOOKUP(I676,Lookup!$G$3:$G$6,Lookup!$H$3:$H$6)</f>
        <v>Clear</v>
      </c>
      <c r="X676" t="str">
        <f>_xlfn.XLOOKUP(E676,Lookup!$J$3:$J$14,Lookup!$K$3:$K$14)</f>
        <v>November</v>
      </c>
      <c r="Y676" t="str">
        <f>_xlfn.XLOOKUP(G676,Lookup!$M$3:$M$9,Lookup!$N$3:$N$9)</f>
        <v>Monday</v>
      </c>
    </row>
    <row r="677" spans="1:25" x14ac:dyDescent="0.3">
      <c r="A677">
        <v>676</v>
      </c>
      <c r="B677" s="1">
        <v>41219</v>
      </c>
      <c r="C677">
        <v>4</v>
      </c>
      <c r="D677">
        <v>1</v>
      </c>
      <c r="E677">
        <v>11</v>
      </c>
      <c r="F677">
        <v>0</v>
      </c>
      <c r="G677">
        <v>2</v>
      </c>
      <c r="H677">
        <v>1</v>
      </c>
      <c r="I677">
        <v>1</v>
      </c>
      <c r="J677">
        <v>0.280833</v>
      </c>
      <c r="K677">
        <v>0.28156700000000001</v>
      </c>
      <c r="L677">
        <v>0.567083</v>
      </c>
      <c r="M677">
        <v>0.173513</v>
      </c>
      <c r="N677">
        <v>466</v>
      </c>
      <c r="O677">
        <v>5220</v>
      </c>
      <c r="P677">
        <v>5686</v>
      </c>
      <c r="Q677">
        <f t="shared" si="40"/>
        <v>5.1991510000000005</v>
      </c>
      <c r="R677">
        <f t="shared" si="41"/>
        <v>2.5834220000000023</v>
      </c>
      <c r="S677">
        <f t="shared" si="42"/>
        <v>56.708300000000001</v>
      </c>
      <c r="T677">
        <f t="shared" si="43"/>
        <v>11.625370999999999</v>
      </c>
      <c r="U677" t="str">
        <f>_xlfn.XLOOKUP(C677,Lookup!$A$3:$A$6,Lookup!$B$3:$B$6)</f>
        <v>Fall</v>
      </c>
      <c r="V677">
        <f>_xlfn.XLOOKUP(D677,Lookup!$D$3:$D$4,Lookup!$E$3:$E$4)</f>
        <v>2012</v>
      </c>
      <c r="W677" t="str">
        <f>_xlfn.XLOOKUP(I677,Lookup!$G$3:$G$6,Lookup!$H$3:$H$6)</f>
        <v>Clear</v>
      </c>
      <c r="X677" t="str">
        <f>_xlfn.XLOOKUP(E677,Lookup!$J$3:$J$14,Lookup!$K$3:$K$14)</f>
        <v>November</v>
      </c>
      <c r="Y677" t="str">
        <f>_xlfn.XLOOKUP(G677,Lookup!$M$3:$M$9,Lookup!$N$3:$N$9)</f>
        <v>Tuesday</v>
      </c>
    </row>
    <row r="678" spans="1:25" x14ac:dyDescent="0.3">
      <c r="A678">
        <v>677</v>
      </c>
      <c r="B678" s="1">
        <v>41220</v>
      </c>
      <c r="C678">
        <v>4</v>
      </c>
      <c r="D678">
        <v>1</v>
      </c>
      <c r="E678">
        <v>11</v>
      </c>
      <c r="F678">
        <v>0</v>
      </c>
      <c r="G678">
        <v>3</v>
      </c>
      <c r="H678">
        <v>1</v>
      </c>
      <c r="I678">
        <v>2</v>
      </c>
      <c r="J678">
        <v>0.29583300000000001</v>
      </c>
      <c r="K678">
        <v>0.274621</v>
      </c>
      <c r="L678">
        <v>0.54749999999999999</v>
      </c>
      <c r="M678">
        <v>0.30410799999999999</v>
      </c>
      <c r="N678">
        <v>326</v>
      </c>
      <c r="O678">
        <v>4709</v>
      </c>
      <c r="P678">
        <v>5035</v>
      </c>
      <c r="Q678">
        <f t="shared" si="40"/>
        <v>5.9041510000000006</v>
      </c>
      <c r="R678">
        <f t="shared" si="41"/>
        <v>2.1249859999999998</v>
      </c>
      <c r="S678">
        <f t="shared" si="42"/>
        <v>54.75</v>
      </c>
      <c r="T678">
        <f t="shared" si="43"/>
        <v>20.375236000000001</v>
      </c>
      <c r="U678" t="str">
        <f>_xlfn.XLOOKUP(C678,Lookup!$A$3:$A$6,Lookup!$B$3:$B$6)</f>
        <v>Fall</v>
      </c>
      <c r="V678">
        <f>_xlfn.XLOOKUP(D678,Lookup!$D$3:$D$4,Lookup!$E$3:$E$4)</f>
        <v>2012</v>
      </c>
      <c r="W678" t="str">
        <f>_xlfn.XLOOKUP(I678,Lookup!$G$3:$G$6,Lookup!$H$3:$H$6)</f>
        <v>Misty/Cloudy</v>
      </c>
      <c r="X678" t="str">
        <f>_xlfn.XLOOKUP(E678,Lookup!$J$3:$J$14,Lookup!$K$3:$K$14)</f>
        <v>November</v>
      </c>
      <c r="Y678" t="str">
        <f>_xlfn.XLOOKUP(G678,Lookup!$M$3:$M$9,Lookup!$N$3:$N$9)</f>
        <v>Wednesday</v>
      </c>
    </row>
    <row r="679" spans="1:25" x14ac:dyDescent="0.3">
      <c r="A679">
        <v>678</v>
      </c>
      <c r="B679" s="1">
        <v>41221</v>
      </c>
      <c r="C679">
        <v>4</v>
      </c>
      <c r="D679">
        <v>1</v>
      </c>
      <c r="E679">
        <v>11</v>
      </c>
      <c r="F679">
        <v>0</v>
      </c>
      <c r="G679">
        <v>4</v>
      </c>
      <c r="H679">
        <v>1</v>
      </c>
      <c r="I679">
        <v>1</v>
      </c>
      <c r="J679">
        <v>0.35217399999999999</v>
      </c>
      <c r="K679">
        <v>0.341891</v>
      </c>
      <c r="L679">
        <v>0.333478</v>
      </c>
      <c r="M679">
        <v>0.34783500000000001</v>
      </c>
      <c r="N679">
        <v>340</v>
      </c>
      <c r="O679">
        <v>4975</v>
      </c>
      <c r="P679">
        <v>5315</v>
      </c>
      <c r="Q679">
        <f t="shared" si="40"/>
        <v>8.5521779999999978</v>
      </c>
      <c r="R679">
        <f t="shared" si="41"/>
        <v>6.5648060000000008</v>
      </c>
      <c r="S679">
        <f t="shared" si="42"/>
        <v>33.347799999999999</v>
      </c>
      <c r="T679">
        <f t="shared" si="43"/>
        <v>23.304945</v>
      </c>
      <c r="U679" t="str">
        <f>_xlfn.XLOOKUP(C679,Lookup!$A$3:$A$6,Lookup!$B$3:$B$6)</f>
        <v>Fall</v>
      </c>
      <c r="V679">
        <f>_xlfn.XLOOKUP(D679,Lookup!$D$3:$D$4,Lookup!$E$3:$E$4)</f>
        <v>2012</v>
      </c>
      <c r="W679" t="str">
        <f>_xlfn.XLOOKUP(I679,Lookup!$G$3:$G$6,Lookup!$H$3:$H$6)</f>
        <v>Clear</v>
      </c>
      <c r="X679" t="str">
        <f>_xlfn.XLOOKUP(E679,Lookup!$J$3:$J$14,Lookup!$K$3:$K$14)</f>
        <v>November</v>
      </c>
      <c r="Y679" t="str">
        <f>_xlfn.XLOOKUP(G679,Lookup!$M$3:$M$9,Lookup!$N$3:$N$9)</f>
        <v>Thursday</v>
      </c>
    </row>
    <row r="680" spans="1:25" x14ac:dyDescent="0.3">
      <c r="A680">
        <v>679</v>
      </c>
      <c r="B680" s="1">
        <v>41222</v>
      </c>
      <c r="C680">
        <v>4</v>
      </c>
      <c r="D680">
        <v>1</v>
      </c>
      <c r="E680">
        <v>11</v>
      </c>
      <c r="F680">
        <v>0</v>
      </c>
      <c r="G680">
        <v>5</v>
      </c>
      <c r="H680">
        <v>1</v>
      </c>
      <c r="I680">
        <v>1</v>
      </c>
      <c r="J680">
        <v>0.36166700000000002</v>
      </c>
      <c r="K680">
        <v>0.35541299999999998</v>
      </c>
      <c r="L680">
        <v>0.54083300000000001</v>
      </c>
      <c r="M680">
        <v>0.214558</v>
      </c>
      <c r="N680">
        <v>709</v>
      </c>
      <c r="O680">
        <v>5283</v>
      </c>
      <c r="P680">
        <v>5992</v>
      </c>
      <c r="Q680">
        <f t="shared" si="40"/>
        <v>8.998349000000001</v>
      </c>
      <c r="R680">
        <f t="shared" si="41"/>
        <v>7.4572579999999995</v>
      </c>
      <c r="S680">
        <f t="shared" si="42"/>
        <v>54.083300000000001</v>
      </c>
      <c r="T680">
        <f t="shared" si="43"/>
        <v>14.375386000000001</v>
      </c>
      <c r="U680" t="str">
        <f>_xlfn.XLOOKUP(C680,Lookup!$A$3:$A$6,Lookup!$B$3:$B$6)</f>
        <v>Fall</v>
      </c>
      <c r="V680">
        <f>_xlfn.XLOOKUP(D680,Lookup!$D$3:$D$4,Lookup!$E$3:$E$4)</f>
        <v>2012</v>
      </c>
      <c r="W680" t="str">
        <f>_xlfn.XLOOKUP(I680,Lookup!$G$3:$G$6,Lookup!$H$3:$H$6)</f>
        <v>Clear</v>
      </c>
      <c r="X680" t="str">
        <f>_xlfn.XLOOKUP(E680,Lookup!$J$3:$J$14,Lookup!$K$3:$K$14)</f>
        <v>November</v>
      </c>
      <c r="Y680" t="str">
        <f>_xlfn.XLOOKUP(G680,Lookup!$M$3:$M$9,Lookup!$N$3:$N$9)</f>
        <v>Friday</v>
      </c>
    </row>
    <row r="681" spans="1:25" x14ac:dyDescent="0.3">
      <c r="A681">
        <v>680</v>
      </c>
      <c r="B681" s="1">
        <v>41223</v>
      </c>
      <c r="C681">
        <v>4</v>
      </c>
      <c r="D681">
        <v>1</v>
      </c>
      <c r="E681">
        <v>11</v>
      </c>
      <c r="F681">
        <v>0</v>
      </c>
      <c r="G681">
        <v>6</v>
      </c>
      <c r="H681">
        <v>0</v>
      </c>
      <c r="I681">
        <v>1</v>
      </c>
      <c r="J681">
        <v>0.38916699999999999</v>
      </c>
      <c r="K681">
        <v>0.39393699999999998</v>
      </c>
      <c r="L681">
        <v>0.64541700000000002</v>
      </c>
      <c r="M681">
        <v>5.7845800000000003E-2</v>
      </c>
      <c r="N681">
        <v>2090</v>
      </c>
      <c r="O681">
        <v>4446</v>
      </c>
      <c r="P681">
        <v>6536</v>
      </c>
      <c r="Q681">
        <f t="shared" si="40"/>
        <v>10.290848999999998</v>
      </c>
      <c r="R681">
        <f t="shared" si="41"/>
        <v>9.9998419999999975</v>
      </c>
      <c r="S681">
        <f t="shared" si="42"/>
        <v>64.541700000000006</v>
      </c>
      <c r="T681">
        <f t="shared" si="43"/>
        <v>3.8756686</v>
      </c>
      <c r="U681" t="str">
        <f>_xlfn.XLOOKUP(C681,Lookup!$A$3:$A$6,Lookup!$B$3:$B$6)</f>
        <v>Fall</v>
      </c>
      <c r="V681">
        <f>_xlfn.XLOOKUP(D681,Lookup!$D$3:$D$4,Lookup!$E$3:$E$4)</f>
        <v>2012</v>
      </c>
      <c r="W681" t="str">
        <f>_xlfn.XLOOKUP(I681,Lookup!$G$3:$G$6,Lookup!$H$3:$H$6)</f>
        <v>Clear</v>
      </c>
      <c r="X681" t="str">
        <f>_xlfn.XLOOKUP(E681,Lookup!$J$3:$J$14,Lookup!$K$3:$K$14)</f>
        <v>November</v>
      </c>
      <c r="Y681" t="str">
        <f>_xlfn.XLOOKUP(G681,Lookup!$M$3:$M$9,Lookup!$N$3:$N$9)</f>
        <v>Saturday</v>
      </c>
    </row>
    <row r="682" spans="1:25" x14ac:dyDescent="0.3">
      <c r="A682">
        <v>681</v>
      </c>
      <c r="B682" s="1">
        <v>41224</v>
      </c>
      <c r="C682">
        <v>4</v>
      </c>
      <c r="D682">
        <v>1</v>
      </c>
      <c r="E682">
        <v>11</v>
      </c>
      <c r="F682">
        <v>0</v>
      </c>
      <c r="G682">
        <v>0</v>
      </c>
      <c r="H682">
        <v>0</v>
      </c>
      <c r="I682">
        <v>1</v>
      </c>
      <c r="J682">
        <v>0.42083300000000001</v>
      </c>
      <c r="K682">
        <v>0.421713</v>
      </c>
      <c r="L682">
        <v>0.65916699999999995</v>
      </c>
      <c r="M682">
        <v>0.1275</v>
      </c>
      <c r="N682">
        <v>2290</v>
      </c>
      <c r="O682">
        <v>4562</v>
      </c>
      <c r="P682">
        <v>6852</v>
      </c>
      <c r="Q682">
        <f t="shared" si="40"/>
        <v>11.779150999999999</v>
      </c>
      <c r="R682">
        <f t="shared" si="41"/>
        <v>11.833058000000001</v>
      </c>
      <c r="S682">
        <f t="shared" si="42"/>
        <v>65.916699999999992</v>
      </c>
      <c r="T682">
        <f t="shared" si="43"/>
        <v>8.5425000000000004</v>
      </c>
      <c r="U682" t="str">
        <f>_xlfn.XLOOKUP(C682,Lookup!$A$3:$A$6,Lookup!$B$3:$B$6)</f>
        <v>Fall</v>
      </c>
      <c r="V682">
        <f>_xlfn.XLOOKUP(D682,Lookup!$D$3:$D$4,Lookup!$E$3:$E$4)</f>
        <v>2012</v>
      </c>
      <c r="W682" t="str">
        <f>_xlfn.XLOOKUP(I682,Lookup!$G$3:$G$6,Lookup!$H$3:$H$6)</f>
        <v>Clear</v>
      </c>
      <c r="X682" t="str">
        <f>_xlfn.XLOOKUP(E682,Lookup!$J$3:$J$14,Lookup!$K$3:$K$14)</f>
        <v>November</v>
      </c>
      <c r="Y682" t="str">
        <f>_xlfn.XLOOKUP(G682,Lookup!$M$3:$M$9,Lookup!$N$3:$N$9)</f>
        <v>Sunday</v>
      </c>
    </row>
    <row r="683" spans="1:25" x14ac:dyDescent="0.3">
      <c r="A683">
        <v>682</v>
      </c>
      <c r="B683" s="1">
        <v>41225</v>
      </c>
      <c r="C683">
        <v>4</v>
      </c>
      <c r="D683">
        <v>1</v>
      </c>
      <c r="E683">
        <v>11</v>
      </c>
      <c r="F683">
        <v>1</v>
      </c>
      <c r="G683">
        <v>1</v>
      </c>
      <c r="H683">
        <v>0</v>
      </c>
      <c r="I683">
        <v>1</v>
      </c>
      <c r="J683">
        <v>0.48499999999999999</v>
      </c>
      <c r="K683">
        <v>0.475383</v>
      </c>
      <c r="L683">
        <v>0.74166699999999997</v>
      </c>
      <c r="M683">
        <v>0.173517</v>
      </c>
      <c r="N683">
        <v>1097</v>
      </c>
      <c r="O683">
        <v>5172</v>
      </c>
      <c r="P683">
        <v>6269</v>
      </c>
      <c r="Q683">
        <f t="shared" si="40"/>
        <v>14.794999999999998</v>
      </c>
      <c r="R683">
        <f t="shared" si="41"/>
        <v>15.375278000000002</v>
      </c>
      <c r="S683">
        <f t="shared" si="42"/>
        <v>74.166699999999992</v>
      </c>
      <c r="T683">
        <f t="shared" si="43"/>
        <v>11.625639</v>
      </c>
      <c r="U683" t="str">
        <f>_xlfn.XLOOKUP(C683,Lookup!$A$3:$A$6,Lookup!$B$3:$B$6)</f>
        <v>Fall</v>
      </c>
      <c r="V683">
        <f>_xlfn.XLOOKUP(D683,Lookup!$D$3:$D$4,Lookup!$E$3:$E$4)</f>
        <v>2012</v>
      </c>
      <c r="W683" t="str">
        <f>_xlfn.XLOOKUP(I683,Lookup!$G$3:$G$6,Lookup!$H$3:$H$6)</f>
        <v>Clear</v>
      </c>
      <c r="X683" t="str">
        <f>_xlfn.XLOOKUP(E683,Lookup!$J$3:$J$14,Lookup!$K$3:$K$14)</f>
        <v>November</v>
      </c>
      <c r="Y683" t="str">
        <f>_xlfn.XLOOKUP(G683,Lookup!$M$3:$M$9,Lookup!$N$3:$N$9)</f>
        <v>Monday</v>
      </c>
    </row>
    <row r="684" spans="1:25" x14ac:dyDescent="0.3">
      <c r="A684">
        <v>683</v>
      </c>
      <c r="B684" s="1">
        <v>41226</v>
      </c>
      <c r="C684">
        <v>4</v>
      </c>
      <c r="D684">
        <v>1</v>
      </c>
      <c r="E684">
        <v>11</v>
      </c>
      <c r="F684">
        <v>0</v>
      </c>
      <c r="G684">
        <v>2</v>
      </c>
      <c r="H684">
        <v>1</v>
      </c>
      <c r="I684">
        <v>2</v>
      </c>
      <c r="J684">
        <v>0.343333</v>
      </c>
      <c r="K684">
        <v>0.32322499999999998</v>
      </c>
      <c r="L684">
        <v>0.66291699999999998</v>
      </c>
      <c r="M684">
        <v>0.34204600000000002</v>
      </c>
      <c r="N684">
        <v>327</v>
      </c>
      <c r="O684">
        <v>3767</v>
      </c>
      <c r="P684">
        <v>4094</v>
      </c>
      <c r="Q684">
        <f t="shared" si="40"/>
        <v>8.1366510000000005</v>
      </c>
      <c r="R684">
        <f t="shared" si="41"/>
        <v>5.3328500000000005</v>
      </c>
      <c r="S684">
        <f t="shared" si="42"/>
        <v>66.291699999999992</v>
      </c>
      <c r="T684">
        <f t="shared" si="43"/>
        <v>22.917082000000001</v>
      </c>
      <c r="U684" t="str">
        <f>_xlfn.XLOOKUP(C684,Lookup!$A$3:$A$6,Lookup!$B$3:$B$6)</f>
        <v>Fall</v>
      </c>
      <c r="V684">
        <f>_xlfn.XLOOKUP(D684,Lookup!$D$3:$D$4,Lookup!$E$3:$E$4)</f>
        <v>2012</v>
      </c>
      <c r="W684" t="str">
        <f>_xlfn.XLOOKUP(I684,Lookup!$G$3:$G$6,Lookup!$H$3:$H$6)</f>
        <v>Misty/Cloudy</v>
      </c>
      <c r="X684" t="str">
        <f>_xlfn.XLOOKUP(E684,Lookup!$J$3:$J$14,Lookup!$K$3:$K$14)</f>
        <v>November</v>
      </c>
      <c r="Y684" t="str">
        <f>_xlfn.XLOOKUP(G684,Lookup!$M$3:$M$9,Lookup!$N$3:$N$9)</f>
        <v>Tuesday</v>
      </c>
    </row>
    <row r="685" spans="1:25" x14ac:dyDescent="0.3">
      <c r="A685">
        <v>684</v>
      </c>
      <c r="B685" s="1">
        <v>41227</v>
      </c>
      <c r="C685">
        <v>4</v>
      </c>
      <c r="D685">
        <v>1</v>
      </c>
      <c r="E685">
        <v>11</v>
      </c>
      <c r="F685">
        <v>0</v>
      </c>
      <c r="G685">
        <v>3</v>
      </c>
      <c r="H685">
        <v>1</v>
      </c>
      <c r="I685">
        <v>1</v>
      </c>
      <c r="J685">
        <v>0.28916700000000001</v>
      </c>
      <c r="K685">
        <v>0.28156300000000001</v>
      </c>
      <c r="L685">
        <v>0.55208299999999999</v>
      </c>
      <c r="M685">
        <v>0.199625</v>
      </c>
      <c r="N685">
        <v>373</v>
      </c>
      <c r="O685">
        <v>5122</v>
      </c>
      <c r="P685">
        <v>5495</v>
      </c>
      <c r="Q685">
        <f t="shared" si="40"/>
        <v>5.5908490000000004</v>
      </c>
      <c r="R685">
        <f t="shared" si="41"/>
        <v>2.583158000000001</v>
      </c>
      <c r="S685">
        <f t="shared" si="42"/>
        <v>55.208300000000001</v>
      </c>
      <c r="T685">
        <f t="shared" si="43"/>
        <v>13.374874999999999</v>
      </c>
      <c r="U685" t="str">
        <f>_xlfn.XLOOKUP(C685,Lookup!$A$3:$A$6,Lookup!$B$3:$B$6)</f>
        <v>Fall</v>
      </c>
      <c r="V685">
        <f>_xlfn.XLOOKUP(D685,Lookup!$D$3:$D$4,Lookup!$E$3:$E$4)</f>
        <v>2012</v>
      </c>
      <c r="W685" t="str">
        <f>_xlfn.XLOOKUP(I685,Lookup!$G$3:$G$6,Lookup!$H$3:$H$6)</f>
        <v>Clear</v>
      </c>
      <c r="X685" t="str">
        <f>_xlfn.XLOOKUP(E685,Lookup!$J$3:$J$14,Lookup!$K$3:$K$14)</f>
        <v>November</v>
      </c>
      <c r="Y685" t="str">
        <f>_xlfn.XLOOKUP(G685,Lookup!$M$3:$M$9,Lookup!$N$3:$N$9)</f>
        <v>Wednesday</v>
      </c>
    </row>
    <row r="686" spans="1:25" x14ac:dyDescent="0.3">
      <c r="A686">
        <v>685</v>
      </c>
      <c r="B686" s="1">
        <v>41228</v>
      </c>
      <c r="C686">
        <v>4</v>
      </c>
      <c r="D686">
        <v>1</v>
      </c>
      <c r="E686">
        <v>11</v>
      </c>
      <c r="F686">
        <v>0</v>
      </c>
      <c r="G686">
        <v>4</v>
      </c>
      <c r="H686">
        <v>1</v>
      </c>
      <c r="I686">
        <v>2</v>
      </c>
      <c r="J686">
        <v>0.32166699999999998</v>
      </c>
      <c r="K686">
        <v>0.324492</v>
      </c>
      <c r="L686">
        <v>0.620417</v>
      </c>
      <c r="M686">
        <v>0.15298700000000001</v>
      </c>
      <c r="N686">
        <v>320</v>
      </c>
      <c r="O686">
        <v>5125</v>
      </c>
      <c r="P686">
        <v>5445</v>
      </c>
      <c r="Q686">
        <f t="shared" si="40"/>
        <v>7.1183489999999985</v>
      </c>
      <c r="R686">
        <f t="shared" si="41"/>
        <v>5.4164719999999988</v>
      </c>
      <c r="S686">
        <f t="shared" si="42"/>
        <v>62.041699999999999</v>
      </c>
      <c r="T686">
        <f t="shared" si="43"/>
        <v>10.250129000000001</v>
      </c>
      <c r="U686" t="str">
        <f>_xlfn.XLOOKUP(C686,Lookup!$A$3:$A$6,Lookup!$B$3:$B$6)</f>
        <v>Fall</v>
      </c>
      <c r="V686">
        <f>_xlfn.XLOOKUP(D686,Lookup!$D$3:$D$4,Lookup!$E$3:$E$4)</f>
        <v>2012</v>
      </c>
      <c r="W686" t="str">
        <f>_xlfn.XLOOKUP(I686,Lookup!$G$3:$G$6,Lookup!$H$3:$H$6)</f>
        <v>Misty/Cloudy</v>
      </c>
      <c r="X686" t="str">
        <f>_xlfn.XLOOKUP(E686,Lookup!$J$3:$J$14,Lookup!$K$3:$K$14)</f>
        <v>November</v>
      </c>
      <c r="Y686" t="str">
        <f>_xlfn.XLOOKUP(G686,Lookup!$M$3:$M$9,Lookup!$N$3:$N$9)</f>
        <v>Thursday</v>
      </c>
    </row>
    <row r="687" spans="1:25" x14ac:dyDescent="0.3">
      <c r="A687">
        <v>686</v>
      </c>
      <c r="B687" s="1">
        <v>41229</v>
      </c>
      <c r="C687">
        <v>4</v>
      </c>
      <c r="D687">
        <v>1</v>
      </c>
      <c r="E687">
        <v>11</v>
      </c>
      <c r="F687">
        <v>0</v>
      </c>
      <c r="G687">
        <v>5</v>
      </c>
      <c r="H687">
        <v>1</v>
      </c>
      <c r="I687">
        <v>1</v>
      </c>
      <c r="J687">
        <v>0.34499999999999997</v>
      </c>
      <c r="K687">
        <v>0.34720400000000001</v>
      </c>
      <c r="L687">
        <v>0.52458300000000002</v>
      </c>
      <c r="M687">
        <v>0.17102500000000001</v>
      </c>
      <c r="N687">
        <v>484</v>
      </c>
      <c r="O687">
        <v>5214</v>
      </c>
      <c r="P687">
        <v>5698</v>
      </c>
      <c r="Q687">
        <f t="shared" si="40"/>
        <v>8.2149999999999999</v>
      </c>
      <c r="R687">
        <f t="shared" si="41"/>
        <v>6.9154640000000001</v>
      </c>
      <c r="S687">
        <f t="shared" si="42"/>
        <v>52.458300000000001</v>
      </c>
      <c r="T687">
        <f t="shared" si="43"/>
        <v>11.458675000000001</v>
      </c>
      <c r="U687" t="str">
        <f>_xlfn.XLOOKUP(C687,Lookup!$A$3:$A$6,Lookup!$B$3:$B$6)</f>
        <v>Fall</v>
      </c>
      <c r="V687">
        <f>_xlfn.XLOOKUP(D687,Lookup!$D$3:$D$4,Lookup!$E$3:$E$4)</f>
        <v>2012</v>
      </c>
      <c r="W687" t="str">
        <f>_xlfn.XLOOKUP(I687,Lookup!$G$3:$G$6,Lookup!$H$3:$H$6)</f>
        <v>Clear</v>
      </c>
      <c r="X687" t="str">
        <f>_xlfn.XLOOKUP(E687,Lookup!$J$3:$J$14,Lookup!$K$3:$K$14)</f>
        <v>November</v>
      </c>
      <c r="Y687" t="str">
        <f>_xlfn.XLOOKUP(G687,Lookup!$M$3:$M$9,Lookup!$N$3:$N$9)</f>
        <v>Friday</v>
      </c>
    </row>
    <row r="688" spans="1:25" x14ac:dyDescent="0.3">
      <c r="A688">
        <v>687</v>
      </c>
      <c r="B688" s="1">
        <v>41230</v>
      </c>
      <c r="C688">
        <v>4</v>
      </c>
      <c r="D688">
        <v>1</v>
      </c>
      <c r="E688">
        <v>11</v>
      </c>
      <c r="F688">
        <v>0</v>
      </c>
      <c r="G688">
        <v>6</v>
      </c>
      <c r="H688">
        <v>0</v>
      </c>
      <c r="I688">
        <v>1</v>
      </c>
      <c r="J688">
        <v>0.32500000000000001</v>
      </c>
      <c r="K688">
        <v>0.32638299999999998</v>
      </c>
      <c r="L688">
        <v>0.54541700000000004</v>
      </c>
      <c r="M688">
        <v>0.179729</v>
      </c>
      <c r="N688">
        <v>1313</v>
      </c>
      <c r="O688">
        <v>4316</v>
      </c>
      <c r="P688">
        <v>5629</v>
      </c>
      <c r="Q688">
        <f t="shared" si="40"/>
        <v>7.2750000000000004</v>
      </c>
      <c r="R688">
        <f t="shared" si="41"/>
        <v>5.5412779999999984</v>
      </c>
      <c r="S688">
        <f t="shared" si="42"/>
        <v>54.541700000000006</v>
      </c>
      <c r="T688">
        <f t="shared" si="43"/>
        <v>12.041843</v>
      </c>
      <c r="U688" t="str">
        <f>_xlfn.XLOOKUP(C688,Lookup!$A$3:$A$6,Lookup!$B$3:$B$6)</f>
        <v>Fall</v>
      </c>
      <c r="V688">
        <f>_xlfn.XLOOKUP(D688,Lookup!$D$3:$D$4,Lookup!$E$3:$E$4)</f>
        <v>2012</v>
      </c>
      <c r="W688" t="str">
        <f>_xlfn.XLOOKUP(I688,Lookup!$G$3:$G$6,Lookup!$H$3:$H$6)</f>
        <v>Clear</v>
      </c>
      <c r="X688" t="str">
        <f>_xlfn.XLOOKUP(E688,Lookup!$J$3:$J$14,Lookup!$K$3:$K$14)</f>
        <v>November</v>
      </c>
      <c r="Y688" t="str">
        <f>_xlfn.XLOOKUP(G688,Lookup!$M$3:$M$9,Lookup!$N$3:$N$9)</f>
        <v>Saturday</v>
      </c>
    </row>
    <row r="689" spans="1:25" x14ac:dyDescent="0.3">
      <c r="A689">
        <v>688</v>
      </c>
      <c r="B689" s="1">
        <v>41231</v>
      </c>
      <c r="C689">
        <v>4</v>
      </c>
      <c r="D689">
        <v>1</v>
      </c>
      <c r="E689">
        <v>11</v>
      </c>
      <c r="F689">
        <v>0</v>
      </c>
      <c r="G689">
        <v>0</v>
      </c>
      <c r="H689">
        <v>0</v>
      </c>
      <c r="I689">
        <v>1</v>
      </c>
      <c r="J689">
        <v>0.34250000000000003</v>
      </c>
      <c r="K689">
        <v>0.33774599999999999</v>
      </c>
      <c r="L689">
        <v>0.69291700000000001</v>
      </c>
      <c r="M689">
        <v>0.22761200000000001</v>
      </c>
      <c r="N689">
        <v>922</v>
      </c>
      <c r="O689">
        <v>3747</v>
      </c>
      <c r="P689">
        <v>4669</v>
      </c>
      <c r="Q689">
        <f t="shared" si="40"/>
        <v>8.0975000000000001</v>
      </c>
      <c r="R689">
        <f t="shared" si="41"/>
        <v>6.2912359999999978</v>
      </c>
      <c r="S689">
        <f t="shared" si="42"/>
        <v>69.291700000000006</v>
      </c>
      <c r="T689">
        <f t="shared" si="43"/>
        <v>15.250004000000001</v>
      </c>
      <c r="U689" t="str">
        <f>_xlfn.XLOOKUP(C689,Lookup!$A$3:$A$6,Lookup!$B$3:$B$6)</f>
        <v>Fall</v>
      </c>
      <c r="V689">
        <f>_xlfn.XLOOKUP(D689,Lookup!$D$3:$D$4,Lookup!$E$3:$E$4)</f>
        <v>2012</v>
      </c>
      <c r="W689" t="str">
        <f>_xlfn.XLOOKUP(I689,Lookup!$G$3:$G$6,Lookup!$H$3:$H$6)</f>
        <v>Clear</v>
      </c>
      <c r="X689" t="str">
        <f>_xlfn.XLOOKUP(E689,Lookup!$J$3:$J$14,Lookup!$K$3:$K$14)</f>
        <v>November</v>
      </c>
      <c r="Y689" t="str">
        <f>_xlfn.XLOOKUP(G689,Lookup!$M$3:$M$9,Lookup!$N$3:$N$9)</f>
        <v>Sunday</v>
      </c>
    </row>
    <row r="690" spans="1:25" x14ac:dyDescent="0.3">
      <c r="A690">
        <v>689</v>
      </c>
      <c r="B690" s="1">
        <v>41232</v>
      </c>
      <c r="C690">
        <v>4</v>
      </c>
      <c r="D690">
        <v>1</v>
      </c>
      <c r="E690">
        <v>11</v>
      </c>
      <c r="F690">
        <v>0</v>
      </c>
      <c r="G690">
        <v>1</v>
      </c>
      <c r="H690">
        <v>1</v>
      </c>
      <c r="I690">
        <v>2</v>
      </c>
      <c r="J690">
        <v>0.38083299999999998</v>
      </c>
      <c r="K690">
        <v>0.37562099999999998</v>
      </c>
      <c r="L690">
        <v>0.62333300000000003</v>
      </c>
      <c r="M690">
        <v>0.235067</v>
      </c>
      <c r="N690">
        <v>449</v>
      </c>
      <c r="O690">
        <v>5050</v>
      </c>
      <c r="P690">
        <v>5499</v>
      </c>
      <c r="Q690">
        <f t="shared" si="40"/>
        <v>9.8991509999999998</v>
      </c>
      <c r="R690">
        <f t="shared" si="41"/>
        <v>8.7909860000000002</v>
      </c>
      <c r="S690">
        <f t="shared" si="42"/>
        <v>62.333300000000001</v>
      </c>
      <c r="T690">
        <f t="shared" si="43"/>
        <v>15.749489000000001</v>
      </c>
      <c r="U690" t="str">
        <f>_xlfn.XLOOKUP(C690,Lookup!$A$3:$A$6,Lookup!$B$3:$B$6)</f>
        <v>Fall</v>
      </c>
      <c r="V690">
        <f>_xlfn.XLOOKUP(D690,Lookup!$D$3:$D$4,Lookup!$E$3:$E$4)</f>
        <v>2012</v>
      </c>
      <c r="W690" t="str">
        <f>_xlfn.XLOOKUP(I690,Lookup!$G$3:$G$6,Lookup!$H$3:$H$6)</f>
        <v>Misty/Cloudy</v>
      </c>
      <c r="X690" t="str">
        <f>_xlfn.XLOOKUP(E690,Lookup!$J$3:$J$14,Lookup!$K$3:$K$14)</f>
        <v>November</v>
      </c>
      <c r="Y690" t="str">
        <f>_xlfn.XLOOKUP(G690,Lookup!$M$3:$M$9,Lookup!$N$3:$N$9)</f>
        <v>Monday</v>
      </c>
    </row>
    <row r="691" spans="1:25" x14ac:dyDescent="0.3">
      <c r="A691">
        <v>690</v>
      </c>
      <c r="B691" s="1">
        <v>41233</v>
      </c>
      <c r="C691">
        <v>4</v>
      </c>
      <c r="D691">
        <v>1</v>
      </c>
      <c r="E691">
        <v>11</v>
      </c>
      <c r="F691">
        <v>0</v>
      </c>
      <c r="G691">
        <v>2</v>
      </c>
      <c r="H691">
        <v>1</v>
      </c>
      <c r="I691">
        <v>2</v>
      </c>
      <c r="J691">
        <v>0.37416700000000003</v>
      </c>
      <c r="K691">
        <v>0.38066699999999998</v>
      </c>
      <c r="L691">
        <v>0.68500000000000005</v>
      </c>
      <c r="M691">
        <v>8.2725000000000007E-2</v>
      </c>
      <c r="N691">
        <v>534</v>
      </c>
      <c r="O691">
        <v>5100</v>
      </c>
      <c r="P691">
        <v>5634</v>
      </c>
      <c r="Q691">
        <f t="shared" si="40"/>
        <v>9.5858489999999996</v>
      </c>
      <c r="R691">
        <f t="shared" si="41"/>
        <v>9.1240220000000001</v>
      </c>
      <c r="S691">
        <f t="shared" si="42"/>
        <v>68.5</v>
      </c>
      <c r="T691">
        <f t="shared" si="43"/>
        <v>5.5425750000000003</v>
      </c>
      <c r="U691" t="str">
        <f>_xlfn.XLOOKUP(C691,Lookup!$A$3:$A$6,Lookup!$B$3:$B$6)</f>
        <v>Fall</v>
      </c>
      <c r="V691">
        <f>_xlfn.XLOOKUP(D691,Lookup!$D$3:$D$4,Lookup!$E$3:$E$4)</f>
        <v>2012</v>
      </c>
      <c r="W691" t="str">
        <f>_xlfn.XLOOKUP(I691,Lookup!$G$3:$G$6,Lookup!$H$3:$H$6)</f>
        <v>Misty/Cloudy</v>
      </c>
      <c r="X691" t="str">
        <f>_xlfn.XLOOKUP(E691,Lookup!$J$3:$J$14,Lookup!$K$3:$K$14)</f>
        <v>November</v>
      </c>
      <c r="Y691" t="str">
        <f>_xlfn.XLOOKUP(G691,Lookup!$M$3:$M$9,Lookup!$N$3:$N$9)</f>
        <v>Tuesday</v>
      </c>
    </row>
    <row r="692" spans="1:25" x14ac:dyDescent="0.3">
      <c r="A692">
        <v>691</v>
      </c>
      <c r="B692" s="1">
        <v>41234</v>
      </c>
      <c r="C692">
        <v>4</v>
      </c>
      <c r="D692">
        <v>1</v>
      </c>
      <c r="E692">
        <v>11</v>
      </c>
      <c r="F692">
        <v>0</v>
      </c>
      <c r="G692">
        <v>3</v>
      </c>
      <c r="H692">
        <v>1</v>
      </c>
      <c r="I692">
        <v>1</v>
      </c>
      <c r="J692">
        <v>0.35333300000000001</v>
      </c>
      <c r="K692">
        <v>0.36489199999999999</v>
      </c>
      <c r="L692">
        <v>0.61375000000000002</v>
      </c>
      <c r="M692">
        <v>0.103246</v>
      </c>
      <c r="N692">
        <v>615</v>
      </c>
      <c r="O692">
        <v>4531</v>
      </c>
      <c r="P692">
        <v>5146</v>
      </c>
      <c r="Q692">
        <f t="shared" si="40"/>
        <v>8.6066509999999994</v>
      </c>
      <c r="R692">
        <f t="shared" si="41"/>
        <v>8.0828719999999983</v>
      </c>
      <c r="S692">
        <f t="shared" si="42"/>
        <v>61.375</v>
      </c>
      <c r="T692">
        <f t="shared" si="43"/>
        <v>6.9174820000000006</v>
      </c>
      <c r="U692" t="str">
        <f>_xlfn.XLOOKUP(C692,Lookup!$A$3:$A$6,Lookup!$B$3:$B$6)</f>
        <v>Fall</v>
      </c>
      <c r="V692">
        <f>_xlfn.XLOOKUP(D692,Lookup!$D$3:$D$4,Lookup!$E$3:$E$4)</f>
        <v>2012</v>
      </c>
      <c r="W692" t="str">
        <f>_xlfn.XLOOKUP(I692,Lookup!$G$3:$G$6,Lookup!$H$3:$H$6)</f>
        <v>Clear</v>
      </c>
      <c r="X692" t="str">
        <f>_xlfn.XLOOKUP(E692,Lookup!$J$3:$J$14,Lookup!$K$3:$K$14)</f>
        <v>November</v>
      </c>
      <c r="Y692" t="str">
        <f>_xlfn.XLOOKUP(G692,Lookup!$M$3:$M$9,Lookup!$N$3:$N$9)</f>
        <v>Wednesday</v>
      </c>
    </row>
    <row r="693" spans="1:25" x14ac:dyDescent="0.3">
      <c r="A693">
        <v>692</v>
      </c>
      <c r="B693" s="1">
        <v>41235</v>
      </c>
      <c r="C693">
        <v>4</v>
      </c>
      <c r="D693">
        <v>1</v>
      </c>
      <c r="E693">
        <v>11</v>
      </c>
      <c r="F693">
        <v>1</v>
      </c>
      <c r="G693">
        <v>4</v>
      </c>
      <c r="H693">
        <v>0</v>
      </c>
      <c r="I693">
        <v>1</v>
      </c>
      <c r="J693">
        <v>0.34</v>
      </c>
      <c r="K693">
        <v>0.35037099999999999</v>
      </c>
      <c r="L693">
        <v>0.58041699999999996</v>
      </c>
      <c r="M693">
        <v>5.2870800000000003E-2</v>
      </c>
      <c r="N693">
        <v>955</v>
      </c>
      <c r="O693">
        <v>1470</v>
      </c>
      <c r="P693">
        <v>2425</v>
      </c>
      <c r="Q693">
        <f t="shared" si="40"/>
        <v>7.98</v>
      </c>
      <c r="R693">
        <f t="shared" si="41"/>
        <v>7.1244859999999974</v>
      </c>
      <c r="S693">
        <f t="shared" si="42"/>
        <v>58.041699999999999</v>
      </c>
      <c r="T693">
        <f t="shared" si="43"/>
        <v>3.5423436000000001</v>
      </c>
      <c r="U693" t="str">
        <f>_xlfn.XLOOKUP(C693,Lookup!$A$3:$A$6,Lookup!$B$3:$B$6)</f>
        <v>Fall</v>
      </c>
      <c r="V693">
        <f>_xlfn.XLOOKUP(D693,Lookup!$D$3:$D$4,Lookup!$E$3:$E$4)</f>
        <v>2012</v>
      </c>
      <c r="W693" t="str">
        <f>_xlfn.XLOOKUP(I693,Lookup!$G$3:$G$6,Lookup!$H$3:$H$6)</f>
        <v>Clear</v>
      </c>
      <c r="X693" t="str">
        <f>_xlfn.XLOOKUP(E693,Lookup!$J$3:$J$14,Lookup!$K$3:$K$14)</f>
        <v>November</v>
      </c>
      <c r="Y693" t="str">
        <f>_xlfn.XLOOKUP(G693,Lookup!$M$3:$M$9,Lookup!$N$3:$N$9)</f>
        <v>Thursday</v>
      </c>
    </row>
    <row r="694" spans="1:25" x14ac:dyDescent="0.3">
      <c r="A694">
        <v>693</v>
      </c>
      <c r="B694" s="1">
        <v>41236</v>
      </c>
      <c r="C694">
        <v>4</v>
      </c>
      <c r="D694">
        <v>1</v>
      </c>
      <c r="E694">
        <v>11</v>
      </c>
      <c r="F694">
        <v>0</v>
      </c>
      <c r="G694">
        <v>5</v>
      </c>
      <c r="H694">
        <v>1</v>
      </c>
      <c r="I694">
        <v>1</v>
      </c>
      <c r="J694">
        <v>0.36833300000000002</v>
      </c>
      <c r="K694">
        <v>0.37877899999999998</v>
      </c>
      <c r="L694">
        <v>0.56874999999999998</v>
      </c>
      <c r="M694">
        <v>0.14802100000000001</v>
      </c>
      <c r="N694">
        <v>1603</v>
      </c>
      <c r="O694">
        <v>2307</v>
      </c>
      <c r="P694">
        <v>3910</v>
      </c>
      <c r="Q694">
        <f t="shared" si="40"/>
        <v>9.3116510000000012</v>
      </c>
      <c r="R694">
        <f t="shared" si="41"/>
        <v>8.999413999999998</v>
      </c>
      <c r="S694">
        <f t="shared" si="42"/>
        <v>56.875</v>
      </c>
      <c r="T694">
        <f t="shared" si="43"/>
        <v>9.9174070000000007</v>
      </c>
      <c r="U694" t="str">
        <f>_xlfn.XLOOKUP(C694,Lookup!$A$3:$A$6,Lookup!$B$3:$B$6)</f>
        <v>Fall</v>
      </c>
      <c r="V694">
        <f>_xlfn.XLOOKUP(D694,Lookup!$D$3:$D$4,Lookup!$E$3:$E$4)</f>
        <v>2012</v>
      </c>
      <c r="W694" t="str">
        <f>_xlfn.XLOOKUP(I694,Lookup!$G$3:$G$6,Lookup!$H$3:$H$6)</f>
        <v>Clear</v>
      </c>
      <c r="X694" t="str">
        <f>_xlfn.XLOOKUP(E694,Lookup!$J$3:$J$14,Lookup!$K$3:$K$14)</f>
        <v>November</v>
      </c>
      <c r="Y694" t="str">
        <f>_xlfn.XLOOKUP(G694,Lookup!$M$3:$M$9,Lookup!$N$3:$N$9)</f>
        <v>Friday</v>
      </c>
    </row>
    <row r="695" spans="1:25" x14ac:dyDescent="0.3">
      <c r="A695">
        <v>694</v>
      </c>
      <c r="B695" s="1">
        <v>41237</v>
      </c>
      <c r="C695">
        <v>4</v>
      </c>
      <c r="D695">
        <v>1</v>
      </c>
      <c r="E695">
        <v>11</v>
      </c>
      <c r="F695">
        <v>0</v>
      </c>
      <c r="G695">
        <v>6</v>
      </c>
      <c r="H695">
        <v>0</v>
      </c>
      <c r="I695">
        <v>1</v>
      </c>
      <c r="J695">
        <v>0.278333</v>
      </c>
      <c r="K695">
        <v>0.24874199999999999</v>
      </c>
      <c r="L695">
        <v>0.40458300000000003</v>
      </c>
      <c r="M695">
        <v>0.37687100000000001</v>
      </c>
      <c r="N695">
        <v>532</v>
      </c>
      <c r="O695">
        <v>1745</v>
      </c>
      <c r="P695">
        <v>2277</v>
      </c>
      <c r="Q695">
        <f t="shared" si="40"/>
        <v>5.081650999999999</v>
      </c>
      <c r="R695">
        <f t="shared" si="41"/>
        <v>0.41697199999999768</v>
      </c>
      <c r="S695">
        <f t="shared" si="42"/>
        <v>40.458300000000001</v>
      </c>
      <c r="T695">
        <f t="shared" si="43"/>
        <v>25.250357000000001</v>
      </c>
      <c r="U695" t="str">
        <f>_xlfn.XLOOKUP(C695,Lookup!$A$3:$A$6,Lookup!$B$3:$B$6)</f>
        <v>Fall</v>
      </c>
      <c r="V695">
        <f>_xlfn.XLOOKUP(D695,Lookup!$D$3:$D$4,Lookup!$E$3:$E$4)</f>
        <v>2012</v>
      </c>
      <c r="W695" t="str">
        <f>_xlfn.XLOOKUP(I695,Lookup!$G$3:$G$6,Lookup!$H$3:$H$6)</f>
        <v>Clear</v>
      </c>
      <c r="X695" t="str">
        <f>_xlfn.XLOOKUP(E695,Lookup!$J$3:$J$14,Lookup!$K$3:$K$14)</f>
        <v>November</v>
      </c>
      <c r="Y695" t="str">
        <f>_xlfn.XLOOKUP(G695,Lookup!$M$3:$M$9,Lookup!$N$3:$N$9)</f>
        <v>Saturday</v>
      </c>
    </row>
    <row r="696" spans="1:25" x14ac:dyDescent="0.3">
      <c r="A696">
        <v>695</v>
      </c>
      <c r="B696" s="1">
        <v>41238</v>
      </c>
      <c r="C696">
        <v>4</v>
      </c>
      <c r="D696">
        <v>1</v>
      </c>
      <c r="E696">
        <v>11</v>
      </c>
      <c r="F696">
        <v>0</v>
      </c>
      <c r="G696">
        <v>0</v>
      </c>
      <c r="H696">
        <v>0</v>
      </c>
      <c r="I696">
        <v>1</v>
      </c>
      <c r="J696">
        <v>0.245833</v>
      </c>
      <c r="K696">
        <v>0.25758300000000001</v>
      </c>
      <c r="L696">
        <v>0.468333</v>
      </c>
      <c r="M696">
        <v>0.15049999999999999</v>
      </c>
      <c r="N696">
        <v>309</v>
      </c>
      <c r="O696">
        <v>2115</v>
      </c>
      <c r="P696">
        <v>2424</v>
      </c>
      <c r="Q696">
        <f t="shared" si="40"/>
        <v>3.5541509999999992</v>
      </c>
      <c r="R696">
        <f t="shared" si="41"/>
        <v>1.0004780000000011</v>
      </c>
      <c r="S696">
        <f t="shared" si="42"/>
        <v>46.833300000000001</v>
      </c>
      <c r="T696">
        <f t="shared" si="43"/>
        <v>10.083499999999999</v>
      </c>
      <c r="U696" t="str">
        <f>_xlfn.XLOOKUP(C696,Lookup!$A$3:$A$6,Lookup!$B$3:$B$6)</f>
        <v>Fall</v>
      </c>
      <c r="V696">
        <f>_xlfn.XLOOKUP(D696,Lookup!$D$3:$D$4,Lookup!$E$3:$E$4)</f>
        <v>2012</v>
      </c>
      <c r="W696" t="str">
        <f>_xlfn.XLOOKUP(I696,Lookup!$G$3:$G$6,Lookup!$H$3:$H$6)</f>
        <v>Clear</v>
      </c>
      <c r="X696" t="str">
        <f>_xlfn.XLOOKUP(E696,Lookup!$J$3:$J$14,Lookup!$K$3:$K$14)</f>
        <v>November</v>
      </c>
      <c r="Y696" t="str">
        <f>_xlfn.XLOOKUP(G696,Lookup!$M$3:$M$9,Lookup!$N$3:$N$9)</f>
        <v>Sunday</v>
      </c>
    </row>
    <row r="697" spans="1:25" x14ac:dyDescent="0.3">
      <c r="A697">
        <v>696</v>
      </c>
      <c r="B697" s="1">
        <v>41239</v>
      </c>
      <c r="C697">
        <v>4</v>
      </c>
      <c r="D697">
        <v>1</v>
      </c>
      <c r="E697">
        <v>11</v>
      </c>
      <c r="F697">
        <v>0</v>
      </c>
      <c r="G697">
        <v>1</v>
      </c>
      <c r="H697">
        <v>1</v>
      </c>
      <c r="I697">
        <v>1</v>
      </c>
      <c r="J697">
        <v>0.31333299999999997</v>
      </c>
      <c r="K697">
        <v>0.33900400000000003</v>
      </c>
      <c r="L697">
        <v>0.53541700000000003</v>
      </c>
      <c r="M697">
        <v>4.6649999999999997E-2</v>
      </c>
      <c r="N697">
        <v>337</v>
      </c>
      <c r="O697">
        <v>4750</v>
      </c>
      <c r="P697">
        <v>5087</v>
      </c>
      <c r="Q697">
        <f t="shared" si="40"/>
        <v>6.7266509999999986</v>
      </c>
      <c r="R697">
        <f t="shared" si="41"/>
        <v>6.3742640000000002</v>
      </c>
      <c r="S697">
        <f t="shared" si="42"/>
        <v>53.541700000000006</v>
      </c>
      <c r="T697">
        <f t="shared" si="43"/>
        <v>3.1255499999999996</v>
      </c>
      <c r="U697" t="str">
        <f>_xlfn.XLOOKUP(C697,Lookup!$A$3:$A$6,Lookup!$B$3:$B$6)</f>
        <v>Fall</v>
      </c>
      <c r="V697">
        <f>_xlfn.XLOOKUP(D697,Lookup!$D$3:$D$4,Lookup!$E$3:$E$4)</f>
        <v>2012</v>
      </c>
      <c r="W697" t="str">
        <f>_xlfn.XLOOKUP(I697,Lookup!$G$3:$G$6,Lookup!$H$3:$H$6)</f>
        <v>Clear</v>
      </c>
      <c r="X697" t="str">
        <f>_xlfn.XLOOKUP(E697,Lookup!$J$3:$J$14,Lookup!$K$3:$K$14)</f>
        <v>November</v>
      </c>
      <c r="Y697" t="str">
        <f>_xlfn.XLOOKUP(G697,Lookup!$M$3:$M$9,Lookup!$N$3:$N$9)</f>
        <v>Monday</v>
      </c>
    </row>
    <row r="698" spans="1:25" x14ac:dyDescent="0.3">
      <c r="A698">
        <v>697</v>
      </c>
      <c r="B698" s="1">
        <v>41240</v>
      </c>
      <c r="C698">
        <v>4</v>
      </c>
      <c r="D698">
        <v>1</v>
      </c>
      <c r="E698">
        <v>11</v>
      </c>
      <c r="F698">
        <v>0</v>
      </c>
      <c r="G698">
        <v>2</v>
      </c>
      <c r="H698">
        <v>1</v>
      </c>
      <c r="I698">
        <v>2</v>
      </c>
      <c r="J698">
        <v>0.29166700000000001</v>
      </c>
      <c r="K698">
        <v>0.28155799999999997</v>
      </c>
      <c r="L698">
        <v>0.78666700000000001</v>
      </c>
      <c r="M698">
        <v>0.237562</v>
      </c>
      <c r="N698">
        <v>123</v>
      </c>
      <c r="O698">
        <v>3836</v>
      </c>
      <c r="P698">
        <v>3959</v>
      </c>
      <c r="Q698">
        <f t="shared" si="40"/>
        <v>5.7083490000000001</v>
      </c>
      <c r="R698">
        <f t="shared" si="41"/>
        <v>2.5828279999999992</v>
      </c>
      <c r="S698">
        <f t="shared" si="42"/>
        <v>78.666700000000006</v>
      </c>
      <c r="T698">
        <f t="shared" si="43"/>
        <v>15.916653999999999</v>
      </c>
      <c r="U698" t="str">
        <f>_xlfn.XLOOKUP(C698,Lookup!$A$3:$A$6,Lookup!$B$3:$B$6)</f>
        <v>Fall</v>
      </c>
      <c r="V698">
        <f>_xlfn.XLOOKUP(D698,Lookup!$D$3:$D$4,Lookup!$E$3:$E$4)</f>
        <v>2012</v>
      </c>
      <c r="W698" t="str">
        <f>_xlfn.XLOOKUP(I698,Lookup!$G$3:$G$6,Lookup!$H$3:$H$6)</f>
        <v>Misty/Cloudy</v>
      </c>
      <c r="X698" t="str">
        <f>_xlfn.XLOOKUP(E698,Lookup!$J$3:$J$14,Lookup!$K$3:$K$14)</f>
        <v>November</v>
      </c>
      <c r="Y698" t="str">
        <f>_xlfn.XLOOKUP(G698,Lookup!$M$3:$M$9,Lookup!$N$3:$N$9)</f>
        <v>Tuesday</v>
      </c>
    </row>
    <row r="699" spans="1:25" x14ac:dyDescent="0.3">
      <c r="A699">
        <v>698</v>
      </c>
      <c r="B699" s="1">
        <v>41241</v>
      </c>
      <c r="C699">
        <v>4</v>
      </c>
      <c r="D699">
        <v>1</v>
      </c>
      <c r="E699">
        <v>11</v>
      </c>
      <c r="F699">
        <v>0</v>
      </c>
      <c r="G699">
        <v>3</v>
      </c>
      <c r="H699">
        <v>1</v>
      </c>
      <c r="I699">
        <v>1</v>
      </c>
      <c r="J699">
        <v>0.29666700000000001</v>
      </c>
      <c r="K699">
        <v>0.28976200000000002</v>
      </c>
      <c r="L699">
        <v>0.50624999999999998</v>
      </c>
      <c r="M699">
        <v>0.21082100000000001</v>
      </c>
      <c r="N699">
        <v>198</v>
      </c>
      <c r="O699">
        <v>5062</v>
      </c>
      <c r="P699">
        <v>5260</v>
      </c>
      <c r="Q699">
        <f t="shared" si="40"/>
        <v>5.9433490000000013</v>
      </c>
      <c r="R699">
        <f t="shared" si="41"/>
        <v>3.1242920000000005</v>
      </c>
      <c r="S699">
        <f t="shared" si="42"/>
        <v>50.625</v>
      </c>
      <c r="T699">
        <f t="shared" si="43"/>
        <v>14.125007</v>
      </c>
      <c r="U699" t="str">
        <f>_xlfn.XLOOKUP(C699,Lookup!$A$3:$A$6,Lookup!$B$3:$B$6)</f>
        <v>Fall</v>
      </c>
      <c r="V699">
        <f>_xlfn.XLOOKUP(D699,Lookup!$D$3:$D$4,Lookup!$E$3:$E$4)</f>
        <v>2012</v>
      </c>
      <c r="W699" t="str">
        <f>_xlfn.XLOOKUP(I699,Lookup!$G$3:$G$6,Lookup!$H$3:$H$6)</f>
        <v>Clear</v>
      </c>
      <c r="X699" t="str">
        <f>_xlfn.XLOOKUP(E699,Lookup!$J$3:$J$14,Lookup!$K$3:$K$14)</f>
        <v>November</v>
      </c>
      <c r="Y699" t="str">
        <f>_xlfn.XLOOKUP(G699,Lookup!$M$3:$M$9,Lookup!$N$3:$N$9)</f>
        <v>Wednesday</v>
      </c>
    </row>
    <row r="700" spans="1:25" x14ac:dyDescent="0.3">
      <c r="A700">
        <v>699</v>
      </c>
      <c r="B700" s="1">
        <v>41242</v>
      </c>
      <c r="C700">
        <v>4</v>
      </c>
      <c r="D700">
        <v>1</v>
      </c>
      <c r="E700">
        <v>11</v>
      </c>
      <c r="F700">
        <v>0</v>
      </c>
      <c r="G700">
        <v>4</v>
      </c>
      <c r="H700">
        <v>1</v>
      </c>
      <c r="I700">
        <v>1</v>
      </c>
      <c r="J700">
        <v>0.28087000000000001</v>
      </c>
      <c r="K700">
        <v>0.29842200000000002</v>
      </c>
      <c r="L700">
        <v>0.55565200000000003</v>
      </c>
      <c r="M700">
        <v>0.115522</v>
      </c>
      <c r="N700">
        <v>243</v>
      </c>
      <c r="O700">
        <v>5080</v>
      </c>
      <c r="P700">
        <v>5323</v>
      </c>
      <c r="Q700">
        <f t="shared" si="40"/>
        <v>5.2008900000000011</v>
      </c>
      <c r="R700">
        <f t="shared" si="41"/>
        <v>3.6958520000000021</v>
      </c>
      <c r="S700">
        <f t="shared" si="42"/>
        <v>55.565200000000004</v>
      </c>
      <c r="T700">
        <f t="shared" si="43"/>
        <v>7.7399740000000001</v>
      </c>
      <c r="U700" t="str">
        <f>_xlfn.XLOOKUP(C700,Lookup!$A$3:$A$6,Lookup!$B$3:$B$6)</f>
        <v>Fall</v>
      </c>
      <c r="V700">
        <f>_xlfn.XLOOKUP(D700,Lookup!$D$3:$D$4,Lookup!$E$3:$E$4)</f>
        <v>2012</v>
      </c>
      <c r="W700" t="str">
        <f>_xlfn.XLOOKUP(I700,Lookup!$G$3:$G$6,Lookup!$H$3:$H$6)</f>
        <v>Clear</v>
      </c>
      <c r="X700" t="str">
        <f>_xlfn.XLOOKUP(E700,Lookup!$J$3:$J$14,Lookup!$K$3:$K$14)</f>
        <v>November</v>
      </c>
      <c r="Y700" t="str">
        <f>_xlfn.XLOOKUP(G700,Lookup!$M$3:$M$9,Lookup!$N$3:$N$9)</f>
        <v>Thursday</v>
      </c>
    </row>
    <row r="701" spans="1:25" x14ac:dyDescent="0.3">
      <c r="A701">
        <v>700</v>
      </c>
      <c r="B701" s="1">
        <v>41243</v>
      </c>
      <c r="C701">
        <v>4</v>
      </c>
      <c r="D701">
        <v>1</v>
      </c>
      <c r="E701">
        <v>11</v>
      </c>
      <c r="F701">
        <v>0</v>
      </c>
      <c r="G701">
        <v>5</v>
      </c>
      <c r="H701">
        <v>1</v>
      </c>
      <c r="I701">
        <v>1</v>
      </c>
      <c r="J701">
        <v>0.29833300000000001</v>
      </c>
      <c r="K701">
        <v>0.32386700000000002</v>
      </c>
      <c r="L701">
        <v>0.64958300000000002</v>
      </c>
      <c r="M701">
        <v>5.8470800000000003E-2</v>
      </c>
      <c r="N701">
        <v>362</v>
      </c>
      <c r="O701">
        <v>5306</v>
      </c>
      <c r="P701">
        <v>5668</v>
      </c>
      <c r="Q701">
        <f t="shared" si="40"/>
        <v>6.0216510000000003</v>
      </c>
      <c r="R701">
        <f t="shared" si="41"/>
        <v>5.3752220000000008</v>
      </c>
      <c r="S701">
        <f t="shared" si="42"/>
        <v>64.958300000000008</v>
      </c>
      <c r="T701">
        <f t="shared" si="43"/>
        <v>3.9175436000000001</v>
      </c>
      <c r="U701" t="str">
        <f>_xlfn.XLOOKUP(C701,Lookup!$A$3:$A$6,Lookup!$B$3:$B$6)</f>
        <v>Fall</v>
      </c>
      <c r="V701">
        <f>_xlfn.XLOOKUP(D701,Lookup!$D$3:$D$4,Lookup!$E$3:$E$4)</f>
        <v>2012</v>
      </c>
      <c r="W701" t="str">
        <f>_xlfn.XLOOKUP(I701,Lookup!$G$3:$G$6,Lookup!$H$3:$H$6)</f>
        <v>Clear</v>
      </c>
      <c r="X701" t="str">
        <f>_xlfn.XLOOKUP(E701,Lookup!$J$3:$J$14,Lookup!$K$3:$K$14)</f>
        <v>November</v>
      </c>
      <c r="Y701" t="str">
        <f>_xlfn.XLOOKUP(G701,Lookup!$M$3:$M$9,Lookup!$N$3:$N$9)</f>
        <v>Friday</v>
      </c>
    </row>
    <row r="702" spans="1:25" x14ac:dyDescent="0.3">
      <c r="A702">
        <v>701</v>
      </c>
      <c r="B702" s="1">
        <v>41244</v>
      </c>
      <c r="C702">
        <v>4</v>
      </c>
      <c r="D702">
        <v>1</v>
      </c>
      <c r="E702">
        <v>12</v>
      </c>
      <c r="F702">
        <v>0</v>
      </c>
      <c r="G702">
        <v>6</v>
      </c>
      <c r="H702">
        <v>0</v>
      </c>
      <c r="I702">
        <v>2</v>
      </c>
      <c r="J702">
        <v>0.29833300000000001</v>
      </c>
      <c r="K702">
        <v>0.31690400000000002</v>
      </c>
      <c r="L702">
        <v>0.80666700000000002</v>
      </c>
      <c r="M702">
        <v>5.9704199999999999E-2</v>
      </c>
      <c r="N702">
        <v>951</v>
      </c>
      <c r="O702">
        <v>4240</v>
      </c>
      <c r="P702">
        <v>5191</v>
      </c>
      <c r="Q702">
        <f t="shared" si="40"/>
        <v>6.0216510000000003</v>
      </c>
      <c r="R702">
        <f t="shared" si="41"/>
        <v>4.9156639999999996</v>
      </c>
      <c r="S702">
        <f t="shared" si="42"/>
        <v>80.666700000000006</v>
      </c>
      <c r="T702">
        <f t="shared" si="43"/>
        <v>4.0001813999999998</v>
      </c>
      <c r="U702" t="str">
        <f>_xlfn.XLOOKUP(C702,Lookup!$A$3:$A$6,Lookup!$B$3:$B$6)</f>
        <v>Fall</v>
      </c>
      <c r="V702">
        <f>_xlfn.XLOOKUP(D702,Lookup!$D$3:$D$4,Lookup!$E$3:$E$4)</f>
        <v>2012</v>
      </c>
      <c r="W702" t="str">
        <f>_xlfn.XLOOKUP(I702,Lookup!$G$3:$G$6,Lookup!$H$3:$H$6)</f>
        <v>Misty/Cloudy</v>
      </c>
      <c r="X702" t="str">
        <f>_xlfn.XLOOKUP(E702,Lookup!$J$3:$J$14,Lookup!$K$3:$K$14)</f>
        <v>December</v>
      </c>
      <c r="Y702" t="str">
        <f>_xlfn.XLOOKUP(G702,Lookup!$M$3:$M$9,Lookup!$N$3:$N$9)</f>
        <v>Saturday</v>
      </c>
    </row>
    <row r="703" spans="1:25" x14ac:dyDescent="0.3">
      <c r="A703">
        <v>702</v>
      </c>
      <c r="B703" s="1">
        <v>41245</v>
      </c>
      <c r="C703">
        <v>4</v>
      </c>
      <c r="D703">
        <v>1</v>
      </c>
      <c r="E703">
        <v>12</v>
      </c>
      <c r="F703">
        <v>0</v>
      </c>
      <c r="G703">
        <v>0</v>
      </c>
      <c r="H703">
        <v>0</v>
      </c>
      <c r="I703">
        <v>2</v>
      </c>
      <c r="J703">
        <v>0.34749999999999998</v>
      </c>
      <c r="K703">
        <v>0.35920800000000003</v>
      </c>
      <c r="L703">
        <v>0.82333299999999998</v>
      </c>
      <c r="M703">
        <v>0.124379</v>
      </c>
      <c r="N703">
        <v>892</v>
      </c>
      <c r="O703">
        <v>3757</v>
      </c>
      <c r="P703">
        <v>4649</v>
      </c>
      <c r="Q703">
        <f t="shared" si="40"/>
        <v>8.3324999999999996</v>
      </c>
      <c r="R703">
        <f t="shared" si="41"/>
        <v>7.707728000000003</v>
      </c>
      <c r="S703">
        <f t="shared" si="42"/>
        <v>82.333299999999994</v>
      </c>
      <c r="T703">
        <f t="shared" si="43"/>
        <v>8.3333930000000009</v>
      </c>
      <c r="U703" t="str">
        <f>_xlfn.XLOOKUP(C703,Lookup!$A$3:$A$6,Lookup!$B$3:$B$6)</f>
        <v>Fall</v>
      </c>
      <c r="V703">
        <f>_xlfn.XLOOKUP(D703,Lookup!$D$3:$D$4,Lookup!$E$3:$E$4)</f>
        <v>2012</v>
      </c>
      <c r="W703" t="str">
        <f>_xlfn.XLOOKUP(I703,Lookup!$G$3:$G$6,Lookup!$H$3:$H$6)</f>
        <v>Misty/Cloudy</v>
      </c>
      <c r="X703" t="str">
        <f>_xlfn.XLOOKUP(E703,Lookup!$J$3:$J$14,Lookup!$K$3:$K$14)</f>
        <v>December</v>
      </c>
      <c r="Y703" t="str">
        <f>_xlfn.XLOOKUP(G703,Lookup!$M$3:$M$9,Lookup!$N$3:$N$9)</f>
        <v>Sunday</v>
      </c>
    </row>
    <row r="704" spans="1:25" x14ac:dyDescent="0.3">
      <c r="A704">
        <v>703</v>
      </c>
      <c r="B704" s="1">
        <v>41246</v>
      </c>
      <c r="C704">
        <v>4</v>
      </c>
      <c r="D704">
        <v>1</v>
      </c>
      <c r="E704">
        <v>12</v>
      </c>
      <c r="F704">
        <v>0</v>
      </c>
      <c r="G704">
        <v>1</v>
      </c>
      <c r="H704">
        <v>1</v>
      </c>
      <c r="I704">
        <v>1</v>
      </c>
      <c r="J704">
        <v>0.45250000000000001</v>
      </c>
      <c r="K704">
        <v>0.45579599999999998</v>
      </c>
      <c r="L704">
        <v>0.76749999999999996</v>
      </c>
      <c r="M704">
        <v>8.2720799999999997E-2</v>
      </c>
      <c r="N704">
        <v>555</v>
      </c>
      <c r="O704">
        <v>5679</v>
      </c>
      <c r="P704">
        <v>6234</v>
      </c>
      <c r="Q704">
        <f t="shared" si="40"/>
        <v>13.267500000000002</v>
      </c>
      <c r="R704">
        <f t="shared" si="41"/>
        <v>14.082535999999998</v>
      </c>
      <c r="S704">
        <f t="shared" si="42"/>
        <v>76.75</v>
      </c>
      <c r="T704">
        <f t="shared" si="43"/>
        <v>5.5422935999999998</v>
      </c>
      <c r="U704" t="str">
        <f>_xlfn.XLOOKUP(C704,Lookup!$A$3:$A$6,Lookup!$B$3:$B$6)</f>
        <v>Fall</v>
      </c>
      <c r="V704">
        <f>_xlfn.XLOOKUP(D704,Lookup!$D$3:$D$4,Lookup!$E$3:$E$4)</f>
        <v>2012</v>
      </c>
      <c r="W704" t="str">
        <f>_xlfn.XLOOKUP(I704,Lookup!$G$3:$G$6,Lookup!$H$3:$H$6)</f>
        <v>Clear</v>
      </c>
      <c r="X704" t="str">
        <f>_xlfn.XLOOKUP(E704,Lookup!$J$3:$J$14,Lookup!$K$3:$K$14)</f>
        <v>December</v>
      </c>
      <c r="Y704" t="str">
        <f>_xlfn.XLOOKUP(G704,Lookup!$M$3:$M$9,Lookup!$N$3:$N$9)</f>
        <v>Monday</v>
      </c>
    </row>
    <row r="705" spans="1:25" x14ac:dyDescent="0.3">
      <c r="A705">
        <v>704</v>
      </c>
      <c r="B705" s="1">
        <v>41247</v>
      </c>
      <c r="C705">
        <v>4</v>
      </c>
      <c r="D705">
        <v>1</v>
      </c>
      <c r="E705">
        <v>12</v>
      </c>
      <c r="F705">
        <v>0</v>
      </c>
      <c r="G705">
        <v>2</v>
      </c>
      <c r="H705">
        <v>1</v>
      </c>
      <c r="I705">
        <v>1</v>
      </c>
      <c r="J705">
        <v>0.47583300000000001</v>
      </c>
      <c r="K705">
        <v>0.46905400000000003</v>
      </c>
      <c r="L705">
        <v>0.73375000000000001</v>
      </c>
      <c r="M705">
        <v>0.17412900000000001</v>
      </c>
      <c r="N705">
        <v>551</v>
      </c>
      <c r="O705">
        <v>6055</v>
      </c>
      <c r="P705">
        <v>6606</v>
      </c>
      <c r="Q705">
        <f t="shared" si="40"/>
        <v>14.364151</v>
      </c>
      <c r="R705">
        <f t="shared" si="41"/>
        <v>14.957564000000001</v>
      </c>
      <c r="S705">
        <f t="shared" si="42"/>
        <v>73.375</v>
      </c>
      <c r="T705">
        <f t="shared" si="43"/>
        <v>11.666643000000001</v>
      </c>
      <c r="U705" t="str">
        <f>_xlfn.XLOOKUP(C705,Lookup!$A$3:$A$6,Lookup!$B$3:$B$6)</f>
        <v>Fall</v>
      </c>
      <c r="V705">
        <f>_xlfn.XLOOKUP(D705,Lookup!$D$3:$D$4,Lookup!$E$3:$E$4)</f>
        <v>2012</v>
      </c>
      <c r="W705" t="str">
        <f>_xlfn.XLOOKUP(I705,Lookup!$G$3:$G$6,Lookup!$H$3:$H$6)</f>
        <v>Clear</v>
      </c>
      <c r="X705" t="str">
        <f>_xlfn.XLOOKUP(E705,Lookup!$J$3:$J$14,Lookup!$K$3:$K$14)</f>
        <v>December</v>
      </c>
      <c r="Y705" t="str">
        <f>_xlfn.XLOOKUP(G705,Lookup!$M$3:$M$9,Lookup!$N$3:$N$9)</f>
        <v>Tuesday</v>
      </c>
    </row>
    <row r="706" spans="1:25" x14ac:dyDescent="0.3">
      <c r="A706">
        <v>705</v>
      </c>
      <c r="B706" s="1">
        <v>41248</v>
      </c>
      <c r="C706">
        <v>4</v>
      </c>
      <c r="D706">
        <v>1</v>
      </c>
      <c r="E706">
        <v>12</v>
      </c>
      <c r="F706">
        <v>0</v>
      </c>
      <c r="G706">
        <v>3</v>
      </c>
      <c r="H706">
        <v>1</v>
      </c>
      <c r="I706">
        <v>1</v>
      </c>
      <c r="J706">
        <v>0.43833299999999997</v>
      </c>
      <c r="K706">
        <v>0.428012</v>
      </c>
      <c r="L706">
        <v>0.48499999999999999</v>
      </c>
      <c r="M706">
        <v>0.324021</v>
      </c>
      <c r="N706">
        <v>331</v>
      </c>
      <c r="O706">
        <v>5398</v>
      </c>
      <c r="P706">
        <v>5729</v>
      </c>
      <c r="Q706">
        <f t="shared" si="40"/>
        <v>12.601651</v>
      </c>
      <c r="R706">
        <f t="shared" si="41"/>
        <v>12.248792000000002</v>
      </c>
      <c r="S706">
        <f t="shared" si="42"/>
        <v>48.5</v>
      </c>
      <c r="T706">
        <f t="shared" si="43"/>
        <v>21.709406999999999</v>
      </c>
      <c r="U706" t="str">
        <f>_xlfn.XLOOKUP(C706,Lookup!$A$3:$A$6,Lookup!$B$3:$B$6)</f>
        <v>Fall</v>
      </c>
      <c r="V706">
        <f>_xlfn.XLOOKUP(D706,Lookup!$D$3:$D$4,Lookup!$E$3:$E$4)</f>
        <v>2012</v>
      </c>
      <c r="W706" t="str">
        <f>_xlfn.XLOOKUP(I706,Lookup!$G$3:$G$6,Lookup!$H$3:$H$6)</f>
        <v>Clear</v>
      </c>
      <c r="X706" t="str">
        <f>_xlfn.XLOOKUP(E706,Lookup!$J$3:$J$14,Lookup!$K$3:$K$14)</f>
        <v>December</v>
      </c>
      <c r="Y706" t="str">
        <f>_xlfn.XLOOKUP(G706,Lookup!$M$3:$M$9,Lookup!$N$3:$N$9)</f>
        <v>Wednesday</v>
      </c>
    </row>
    <row r="707" spans="1:25" x14ac:dyDescent="0.3">
      <c r="A707">
        <v>706</v>
      </c>
      <c r="B707" s="1">
        <v>41249</v>
      </c>
      <c r="C707">
        <v>4</v>
      </c>
      <c r="D707">
        <v>1</v>
      </c>
      <c r="E707">
        <v>12</v>
      </c>
      <c r="F707">
        <v>0</v>
      </c>
      <c r="G707">
        <v>4</v>
      </c>
      <c r="H707">
        <v>1</v>
      </c>
      <c r="I707">
        <v>1</v>
      </c>
      <c r="J707">
        <v>0.25583299999999998</v>
      </c>
      <c r="K707">
        <v>0.25820399999999999</v>
      </c>
      <c r="L707">
        <v>0.50875000000000004</v>
      </c>
      <c r="M707">
        <v>0.17475399999999999</v>
      </c>
      <c r="N707">
        <v>340</v>
      </c>
      <c r="O707">
        <v>5035</v>
      </c>
      <c r="P707">
        <v>5375</v>
      </c>
      <c r="Q707">
        <f t="shared" ref="Q707:Q732" si="44">J707*47-8</f>
        <v>4.0241509999999998</v>
      </c>
      <c r="R707">
        <f t="shared" ref="R707:R732" si="45">K707*66-16</f>
        <v>1.0414639999999977</v>
      </c>
      <c r="S707">
        <f t="shared" ref="S707:S732" si="46">L707*100</f>
        <v>50.875</v>
      </c>
      <c r="T707">
        <f t="shared" ref="T707:T732" si="47">M707*67</f>
        <v>11.708518</v>
      </c>
      <c r="U707" t="str">
        <f>_xlfn.XLOOKUP(C707,Lookup!$A$3:$A$6,Lookup!$B$3:$B$6)</f>
        <v>Fall</v>
      </c>
      <c r="V707">
        <f>_xlfn.XLOOKUP(D707,Lookup!$D$3:$D$4,Lookup!$E$3:$E$4)</f>
        <v>2012</v>
      </c>
      <c r="W707" t="str">
        <f>_xlfn.XLOOKUP(I707,Lookup!$G$3:$G$6,Lookup!$H$3:$H$6)</f>
        <v>Clear</v>
      </c>
      <c r="X707" t="str">
        <f>_xlfn.XLOOKUP(E707,Lookup!$J$3:$J$14,Lookup!$K$3:$K$14)</f>
        <v>December</v>
      </c>
      <c r="Y707" t="str">
        <f>_xlfn.XLOOKUP(G707,Lookup!$M$3:$M$9,Lookup!$N$3:$N$9)</f>
        <v>Thursday</v>
      </c>
    </row>
    <row r="708" spans="1:25" x14ac:dyDescent="0.3">
      <c r="A708">
        <v>707</v>
      </c>
      <c r="B708" s="1">
        <v>41250</v>
      </c>
      <c r="C708">
        <v>4</v>
      </c>
      <c r="D708">
        <v>1</v>
      </c>
      <c r="E708">
        <v>12</v>
      </c>
      <c r="F708">
        <v>0</v>
      </c>
      <c r="G708">
        <v>5</v>
      </c>
      <c r="H708">
        <v>1</v>
      </c>
      <c r="I708">
        <v>2</v>
      </c>
      <c r="J708">
        <v>0.32083299999999998</v>
      </c>
      <c r="K708">
        <v>0.32195800000000002</v>
      </c>
      <c r="L708">
        <v>0.76416700000000004</v>
      </c>
      <c r="M708">
        <v>0.13059999999999999</v>
      </c>
      <c r="N708">
        <v>349</v>
      </c>
      <c r="O708">
        <v>4659</v>
      </c>
      <c r="P708">
        <v>5008</v>
      </c>
      <c r="Q708">
        <f t="shared" si="44"/>
        <v>7.0791509999999995</v>
      </c>
      <c r="R708">
        <f t="shared" si="45"/>
        <v>5.2492280000000022</v>
      </c>
      <c r="S708">
        <f t="shared" si="46"/>
        <v>76.416700000000006</v>
      </c>
      <c r="T708">
        <f t="shared" si="47"/>
        <v>8.7501999999999995</v>
      </c>
      <c r="U708" t="str">
        <f>_xlfn.XLOOKUP(C708,Lookup!$A$3:$A$6,Lookup!$B$3:$B$6)</f>
        <v>Fall</v>
      </c>
      <c r="V708">
        <f>_xlfn.XLOOKUP(D708,Lookup!$D$3:$D$4,Lookup!$E$3:$E$4)</f>
        <v>2012</v>
      </c>
      <c r="W708" t="str">
        <f>_xlfn.XLOOKUP(I708,Lookup!$G$3:$G$6,Lookup!$H$3:$H$6)</f>
        <v>Misty/Cloudy</v>
      </c>
      <c r="X708" t="str">
        <f>_xlfn.XLOOKUP(E708,Lookup!$J$3:$J$14,Lookup!$K$3:$K$14)</f>
        <v>December</v>
      </c>
      <c r="Y708" t="str">
        <f>_xlfn.XLOOKUP(G708,Lookup!$M$3:$M$9,Lookup!$N$3:$N$9)</f>
        <v>Friday</v>
      </c>
    </row>
    <row r="709" spans="1:25" x14ac:dyDescent="0.3">
      <c r="A709">
        <v>708</v>
      </c>
      <c r="B709" s="1">
        <v>41251</v>
      </c>
      <c r="C709">
        <v>4</v>
      </c>
      <c r="D709">
        <v>1</v>
      </c>
      <c r="E709">
        <v>12</v>
      </c>
      <c r="F709">
        <v>0</v>
      </c>
      <c r="G709">
        <v>6</v>
      </c>
      <c r="H709">
        <v>0</v>
      </c>
      <c r="I709">
        <v>2</v>
      </c>
      <c r="J709">
        <v>0.38166699999999998</v>
      </c>
      <c r="K709">
        <v>0.38950800000000002</v>
      </c>
      <c r="L709">
        <v>0.91125</v>
      </c>
      <c r="M709">
        <v>0.101379</v>
      </c>
      <c r="N709">
        <v>1153</v>
      </c>
      <c r="O709">
        <v>4429</v>
      </c>
      <c r="P709">
        <v>5582</v>
      </c>
      <c r="Q709">
        <f t="shared" si="44"/>
        <v>9.9383489999999988</v>
      </c>
      <c r="R709">
        <f t="shared" si="45"/>
        <v>9.7075279999999999</v>
      </c>
      <c r="S709">
        <f t="shared" si="46"/>
        <v>91.125</v>
      </c>
      <c r="T709">
        <f t="shared" si="47"/>
        <v>6.7923929999999997</v>
      </c>
      <c r="U709" t="str">
        <f>_xlfn.XLOOKUP(C709,Lookup!$A$3:$A$6,Lookup!$B$3:$B$6)</f>
        <v>Fall</v>
      </c>
      <c r="V709">
        <f>_xlfn.XLOOKUP(D709,Lookup!$D$3:$D$4,Lookup!$E$3:$E$4)</f>
        <v>2012</v>
      </c>
      <c r="W709" t="str">
        <f>_xlfn.XLOOKUP(I709,Lookup!$G$3:$G$6,Lookup!$H$3:$H$6)</f>
        <v>Misty/Cloudy</v>
      </c>
      <c r="X709" t="str">
        <f>_xlfn.XLOOKUP(E709,Lookup!$J$3:$J$14,Lookup!$K$3:$K$14)</f>
        <v>December</v>
      </c>
      <c r="Y709" t="str">
        <f>_xlfn.XLOOKUP(G709,Lookup!$M$3:$M$9,Lookup!$N$3:$N$9)</f>
        <v>Saturday</v>
      </c>
    </row>
    <row r="710" spans="1:25" x14ac:dyDescent="0.3">
      <c r="A710">
        <v>709</v>
      </c>
      <c r="B710" s="1">
        <v>41252</v>
      </c>
      <c r="C710">
        <v>4</v>
      </c>
      <c r="D710">
        <v>1</v>
      </c>
      <c r="E710">
        <v>12</v>
      </c>
      <c r="F710">
        <v>0</v>
      </c>
      <c r="G710">
        <v>0</v>
      </c>
      <c r="H710">
        <v>0</v>
      </c>
      <c r="I710">
        <v>2</v>
      </c>
      <c r="J710">
        <v>0.38416699999999998</v>
      </c>
      <c r="K710">
        <v>0.39014599999999999</v>
      </c>
      <c r="L710">
        <v>0.90541700000000003</v>
      </c>
      <c r="M710">
        <v>0.157975</v>
      </c>
      <c r="N710">
        <v>441</v>
      </c>
      <c r="O710">
        <v>2787</v>
      </c>
      <c r="P710">
        <v>3228</v>
      </c>
      <c r="Q710">
        <f t="shared" si="44"/>
        <v>10.055848999999998</v>
      </c>
      <c r="R710">
        <f t="shared" si="45"/>
        <v>9.7496359999999989</v>
      </c>
      <c r="S710">
        <f t="shared" si="46"/>
        <v>90.541700000000006</v>
      </c>
      <c r="T710">
        <f t="shared" si="47"/>
        <v>10.584325</v>
      </c>
      <c r="U710" t="str">
        <f>_xlfn.XLOOKUP(C710,Lookup!$A$3:$A$6,Lookup!$B$3:$B$6)</f>
        <v>Fall</v>
      </c>
      <c r="V710">
        <f>_xlfn.XLOOKUP(D710,Lookup!$D$3:$D$4,Lookup!$E$3:$E$4)</f>
        <v>2012</v>
      </c>
      <c r="W710" t="str">
        <f>_xlfn.XLOOKUP(I710,Lookup!$G$3:$G$6,Lookup!$H$3:$H$6)</f>
        <v>Misty/Cloudy</v>
      </c>
      <c r="X710" t="str">
        <f>_xlfn.XLOOKUP(E710,Lookup!$J$3:$J$14,Lookup!$K$3:$K$14)</f>
        <v>December</v>
      </c>
      <c r="Y710" t="str">
        <f>_xlfn.XLOOKUP(G710,Lookup!$M$3:$M$9,Lookup!$N$3:$N$9)</f>
        <v>Sunday</v>
      </c>
    </row>
    <row r="711" spans="1:25" x14ac:dyDescent="0.3">
      <c r="A711">
        <v>710</v>
      </c>
      <c r="B711" s="1">
        <v>41253</v>
      </c>
      <c r="C711">
        <v>4</v>
      </c>
      <c r="D711">
        <v>1</v>
      </c>
      <c r="E711">
        <v>12</v>
      </c>
      <c r="F711">
        <v>0</v>
      </c>
      <c r="G711">
        <v>1</v>
      </c>
      <c r="H711">
        <v>1</v>
      </c>
      <c r="I711">
        <v>2</v>
      </c>
      <c r="J711">
        <v>0.43583300000000003</v>
      </c>
      <c r="K711">
        <v>0.43557499999999999</v>
      </c>
      <c r="L711">
        <v>0.92500000000000004</v>
      </c>
      <c r="M711">
        <v>0.190308</v>
      </c>
      <c r="N711">
        <v>329</v>
      </c>
      <c r="O711">
        <v>4841</v>
      </c>
      <c r="P711">
        <v>5170</v>
      </c>
      <c r="Q711">
        <f t="shared" si="44"/>
        <v>12.484151000000001</v>
      </c>
      <c r="R711">
        <f t="shared" si="45"/>
        <v>12.747949999999999</v>
      </c>
      <c r="S711">
        <f t="shared" si="46"/>
        <v>92.5</v>
      </c>
      <c r="T711">
        <f t="shared" si="47"/>
        <v>12.750636</v>
      </c>
      <c r="U711" t="str">
        <f>_xlfn.XLOOKUP(C711,Lookup!$A$3:$A$6,Lookup!$B$3:$B$6)</f>
        <v>Fall</v>
      </c>
      <c r="V711">
        <f>_xlfn.XLOOKUP(D711,Lookup!$D$3:$D$4,Lookup!$E$3:$E$4)</f>
        <v>2012</v>
      </c>
      <c r="W711" t="str">
        <f>_xlfn.XLOOKUP(I711,Lookup!$G$3:$G$6,Lookup!$H$3:$H$6)</f>
        <v>Misty/Cloudy</v>
      </c>
      <c r="X711" t="str">
        <f>_xlfn.XLOOKUP(E711,Lookup!$J$3:$J$14,Lookup!$K$3:$K$14)</f>
        <v>December</v>
      </c>
      <c r="Y711" t="str">
        <f>_xlfn.XLOOKUP(G711,Lookup!$M$3:$M$9,Lookup!$N$3:$N$9)</f>
        <v>Monday</v>
      </c>
    </row>
    <row r="712" spans="1:25" x14ac:dyDescent="0.3">
      <c r="A712">
        <v>711</v>
      </c>
      <c r="B712" s="1">
        <v>41254</v>
      </c>
      <c r="C712">
        <v>4</v>
      </c>
      <c r="D712">
        <v>1</v>
      </c>
      <c r="E712">
        <v>12</v>
      </c>
      <c r="F712">
        <v>0</v>
      </c>
      <c r="G712">
        <v>2</v>
      </c>
      <c r="H712">
        <v>1</v>
      </c>
      <c r="I712">
        <v>2</v>
      </c>
      <c r="J712">
        <v>0.35333300000000001</v>
      </c>
      <c r="K712">
        <v>0.33836300000000002</v>
      </c>
      <c r="L712">
        <v>0.59666699999999995</v>
      </c>
      <c r="M712">
        <v>0.29603699999999999</v>
      </c>
      <c r="N712">
        <v>282</v>
      </c>
      <c r="O712">
        <v>5219</v>
      </c>
      <c r="P712">
        <v>5501</v>
      </c>
      <c r="Q712">
        <f t="shared" si="44"/>
        <v>8.6066509999999994</v>
      </c>
      <c r="R712">
        <f t="shared" si="45"/>
        <v>6.3319580000000002</v>
      </c>
      <c r="S712">
        <f t="shared" si="46"/>
        <v>59.666699999999992</v>
      </c>
      <c r="T712">
        <f t="shared" si="47"/>
        <v>19.834478999999998</v>
      </c>
      <c r="U712" t="str">
        <f>_xlfn.XLOOKUP(C712,Lookup!$A$3:$A$6,Lookup!$B$3:$B$6)</f>
        <v>Fall</v>
      </c>
      <c r="V712">
        <f>_xlfn.XLOOKUP(D712,Lookup!$D$3:$D$4,Lookup!$E$3:$E$4)</f>
        <v>2012</v>
      </c>
      <c r="W712" t="str">
        <f>_xlfn.XLOOKUP(I712,Lookup!$G$3:$G$6,Lookup!$H$3:$H$6)</f>
        <v>Misty/Cloudy</v>
      </c>
      <c r="X712" t="str">
        <f>_xlfn.XLOOKUP(E712,Lookup!$J$3:$J$14,Lookup!$K$3:$K$14)</f>
        <v>December</v>
      </c>
      <c r="Y712" t="str">
        <f>_xlfn.XLOOKUP(G712,Lookup!$M$3:$M$9,Lookup!$N$3:$N$9)</f>
        <v>Tuesday</v>
      </c>
    </row>
    <row r="713" spans="1:25" x14ac:dyDescent="0.3">
      <c r="A713">
        <v>712</v>
      </c>
      <c r="B713" s="1">
        <v>41255</v>
      </c>
      <c r="C713">
        <v>4</v>
      </c>
      <c r="D713">
        <v>1</v>
      </c>
      <c r="E713">
        <v>12</v>
      </c>
      <c r="F713">
        <v>0</v>
      </c>
      <c r="G713">
        <v>3</v>
      </c>
      <c r="H713">
        <v>1</v>
      </c>
      <c r="I713">
        <v>2</v>
      </c>
      <c r="J713">
        <v>0.29749999999999999</v>
      </c>
      <c r="K713">
        <v>0.29733799999999999</v>
      </c>
      <c r="L713">
        <v>0.53833299999999995</v>
      </c>
      <c r="M713">
        <v>0.162937</v>
      </c>
      <c r="N713">
        <v>310</v>
      </c>
      <c r="O713">
        <v>5009</v>
      </c>
      <c r="P713">
        <v>5319</v>
      </c>
      <c r="Q713">
        <f t="shared" si="44"/>
        <v>5.9824999999999999</v>
      </c>
      <c r="R713">
        <f t="shared" si="45"/>
        <v>3.6243079999999992</v>
      </c>
      <c r="S713">
        <f t="shared" si="46"/>
        <v>53.833299999999994</v>
      </c>
      <c r="T713">
        <f t="shared" si="47"/>
        <v>10.916779</v>
      </c>
      <c r="U713" t="str">
        <f>_xlfn.XLOOKUP(C713,Lookup!$A$3:$A$6,Lookup!$B$3:$B$6)</f>
        <v>Fall</v>
      </c>
      <c r="V713">
        <f>_xlfn.XLOOKUP(D713,Lookup!$D$3:$D$4,Lookup!$E$3:$E$4)</f>
        <v>2012</v>
      </c>
      <c r="W713" t="str">
        <f>_xlfn.XLOOKUP(I713,Lookup!$G$3:$G$6,Lookup!$H$3:$H$6)</f>
        <v>Misty/Cloudy</v>
      </c>
      <c r="X713" t="str">
        <f>_xlfn.XLOOKUP(E713,Lookup!$J$3:$J$14,Lookup!$K$3:$K$14)</f>
        <v>December</v>
      </c>
      <c r="Y713" t="str">
        <f>_xlfn.XLOOKUP(G713,Lookup!$M$3:$M$9,Lookup!$N$3:$N$9)</f>
        <v>Wednesday</v>
      </c>
    </row>
    <row r="714" spans="1:25" x14ac:dyDescent="0.3">
      <c r="A714">
        <v>713</v>
      </c>
      <c r="B714" s="1">
        <v>41256</v>
      </c>
      <c r="C714">
        <v>4</v>
      </c>
      <c r="D714">
        <v>1</v>
      </c>
      <c r="E714">
        <v>12</v>
      </c>
      <c r="F714">
        <v>0</v>
      </c>
      <c r="G714">
        <v>4</v>
      </c>
      <c r="H714">
        <v>1</v>
      </c>
      <c r="I714">
        <v>1</v>
      </c>
      <c r="J714">
        <v>0.29583300000000001</v>
      </c>
      <c r="K714">
        <v>0.29418800000000001</v>
      </c>
      <c r="L714">
        <v>0.48583300000000001</v>
      </c>
      <c r="M714">
        <v>0.17412900000000001</v>
      </c>
      <c r="N714">
        <v>425</v>
      </c>
      <c r="O714">
        <v>5107</v>
      </c>
      <c r="P714">
        <v>5532</v>
      </c>
      <c r="Q714">
        <f t="shared" si="44"/>
        <v>5.9041510000000006</v>
      </c>
      <c r="R714">
        <f t="shared" si="45"/>
        <v>3.4164080000000006</v>
      </c>
      <c r="S714">
        <f t="shared" si="46"/>
        <v>48.583300000000001</v>
      </c>
      <c r="T714">
        <f t="shared" si="47"/>
        <v>11.666643000000001</v>
      </c>
      <c r="U714" t="str">
        <f>_xlfn.XLOOKUP(C714,Lookup!$A$3:$A$6,Lookup!$B$3:$B$6)</f>
        <v>Fall</v>
      </c>
      <c r="V714">
        <f>_xlfn.XLOOKUP(D714,Lookup!$D$3:$D$4,Lookup!$E$3:$E$4)</f>
        <v>2012</v>
      </c>
      <c r="W714" t="str">
        <f>_xlfn.XLOOKUP(I714,Lookup!$G$3:$G$6,Lookup!$H$3:$H$6)</f>
        <v>Clear</v>
      </c>
      <c r="X714" t="str">
        <f>_xlfn.XLOOKUP(E714,Lookup!$J$3:$J$14,Lookup!$K$3:$K$14)</f>
        <v>December</v>
      </c>
      <c r="Y714" t="str">
        <f>_xlfn.XLOOKUP(G714,Lookup!$M$3:$M$9,Lookup!$N$3:$N$9)</f>
        <v>Thursday</v>
      </c>
    </row>
    <row r="715" spans="1:25" x14ac:dyDescent="0.3">
      <c r="A715">
        <v>714</v>
      </c>
      <c r="B715" s="1">
        <v>41257</v>
      </c>
      <c r="C715">
        <v>4</v>
      </c>
      <c r="D715">
        <v>1</v>
      </c>
      <c r="E715">
        <v>12</v>
      </c>
      <c r="F715">
        <v>0</v>
      </c>
      <c r="G715">
        <v>5</v>
      </c>
      <c r="H715">
        <v>1</v>
      </c>
      <c r="I715">
        <v>1</v>
      </c>
      <c r="J715">
        <v>0.281667</v>
      </c>
      <c r="K715">
        <v>0.29419200000000001</v>
      </c>
      <c r="L715">
        <v>0.64291699999999996</v>
      </c>
      <c r="M715">
        <v>0.13122900000000001</v>
      </c>
      <c r="N715">
        <v>429</v>
      </c>
      <c r="O715">
        <v>5182</v>
      </c>
      <c r="P715">
        <v>5611</v>
      </c>
      <c r="Q715">
        <f t="shared" si="44"/>
        <v>5.2383489999999995</v>
      </c>
      <c r="R715">
        <f t="shared" si="45"/>
        <v>3.4166720000000019</v>
      </c>
      <c r="S715">
        <f t="shared" si="46"/>
        <v>64.291699999999992</v>
      </c>
      <c r="T715">
        <f t="shared" si="47"/>
        <v>8.7923430000000007</v>
      </c>
      <c r="U715" t="str">
        <f>_xlfn.XLOOKUP(C715,Lookup!$A$3:$A$6,Lookup!$B$3:$B$6)</f>
        <v>Fall</v>
      </c>
      <c r="V715">
        <f>_xlfn.XLOOKUP(D715,Lookup!$D$3:$D$4,Lookup!$E$3:$E$4)</f>
        <v>2012</v>
      </c>
      <c r="W715" t="str">
        <f>_xlfn.XLOOKUP(I715,Lookup!$G$3:$G$6,Lookup!$H$3:$H$6)</f>
        <v>Clear</v>
      </c>
      <c r="X715" t="str">
        <f>_xlfn.XLOOKUP(E715,Lookup!$J$3:$J$14,Lookup!$K$3:$K$14)</f>
        <v>December</v>
      </c>
      <c r="Y715" t="str">
        <f>_xlfn.XLOOKUP(G715,Lookup!$M$3:$M$9,Lookup!$N$3:$N$9)</f>
        <v>Friday</v>
      </c>
    </row>
    <row r="716" spans="1:25" x14ac:dyDescent="0.3">
      <c r="A716">
        <v>715</v>
      </c>
      <c r="B716" s="1">
        <v>41258</v>
      </c>
      <c r="C716">
        <v>4</v>
      </c>
      <c r="D716">
        <v>1</v>
      </c>
      <c r="E716">
        <v>12</v>
      </c>
      <c r="F716">
        <v>0</v>
      </c>
      <c r="G716">
        <v>6</v>
      </c>
      <c r="H716">
        <v>0</v>
      </c>
      <c r="I716">
        <v>1</v>
      </c>
      <c r="J716">
        <v>0.32416699999999998</v>
      </c>
      <c r="K716">
        <v>0.33838299999999999</v>
      </c>
      <c r="L716">
        <v>0.65041700000000002</v>
      </c>
      <c r="M716">
        <v>0.10635</v>
      </c>
      <c r="N716">
        <v>767</v>
      </c>
      <c r="O716">
        <v>4280</v>
      </c>
      <c r="P716">
        <v>5047</v>
      </c>
      <c r="Q716">
        <f t="shared" si="44"/>
        <v>7.235849</v>
      </c>
      <c r="R716">
        <f t="shared" si="45"/>
        <v>6.333278</v>
      </c>
      <c r="S716">
        <f t="shared" si="46"/>
        <v>65.041700000000006</v>
      </c>
      <c r="T716">
        <f t="shared" si="47"/>
        <v>7.1254499999999998</v>
      </c>
      <c r="U716" t="str">
        <f>_xlfn.XLOOKUP(C716,Lookup!$A$3:$A$6,Lookup!$B$3:$B$6)</f>
        <v>Fall</v>
      </c>
      <c r="V716">
        <f>_xlfn.XLOOKUP(D716,Lookup!$D$3:$D$4,Lookup!$E$3:$E$4)</f>
        <v>2012</v>
      </c>
      <c r="W716" t="str">
        <f>_xlfn.XLOOKUP(I716,Lookup!$G$3:$G$6,Lookup!$H$3:$H$6)</f>
        <v>Clear</v>
      </c>
      <c r="X716" t="str">
        <f>_xlfn.XLOOKUP(E716,Lookup!$J$3:$J$14,Lookup!$K$3:$K$14)</f>
        <v>December</v>
      </c>
      <c r="Y716" t="str">
        <f>_xlfn.XLOOKUP(G716,Lookup!$M$3:$M$9,Lookup!$N$3:$N$9)</f>
        <v>Saturday</v>
      </c>
    </row>
    <row r="717" spans="1:25" x14ac:dyDescent="0.3">
      <c r="A717">
        <v>716</v>
      </c>
      <c r="B717" s="1">
        <v>41259</v>
      </c>
      <c r="C717">
        <v>4</v>
      </c>
      <c r="D717">
        <v>1</v>
      </c>
      <c r="E717">
        <v>12</v>
      </c>
      <c r="F717">
        <v>0</v>
      </c>
      <c r="G717">
        <v>0</v>
      </c>
      <c r="H717">
        <v>0</v>
      </c>
      <c r="I717">
        <v>2</v>
      </c>
      <c r="J717">
        <v>0.36249999999999999</v>
      </c>
      <c r="K717">
        <v>0.36993799999999999</v>
      </c>
      <c r="L717">
        <v>0.83875</v>
      </c>
      <c r="M717">
        <v>0.100742</v>
      </c>
      <c r="N717">
        <v>538</v>
      </c>
      <c r="O717">
        <v>3248</v>
      </c>
      <c r="P717">
        <v>3786</v>
      </c>
      <c r="Q717">
        <f t="shared" si="44"/>
        <v>9.0374999999999979</v>
      </c>
      <c r="R717">
        <f t="shared" si="45"/>
        <v>8.4159079999999982</v>
      </c>
      <c r="S717">
        <f t="shared" si="46"/>
        <v>83.875</v>
      </c>
      <c r="T717">
        <f t="shared" si="47"/>
        <v>6.749714</v>
      </c>
      <c r="U717" t="str">
        <f>_xlfn.XLOOKUP(C717,Lookup!$A$3:$A$6,Lookup!$B$3:$B$6)</f>
        <v>Fall</v>
      </c>
      <c r="V717">
        <f>_xlfn.XLOOKUP(D717,Lookup!$D$3:$D$4,Lookup!$E$3:$E$4)</f>
        <v>2012</v>
      </c>
      <c r="W717" t="str">
        <f>_xlfn.XLOOKUP(I717,Lookup!$G$3:$G$6,Lookup!$H$3:$H$6)</f>
        <v>Misty/Cloudy</v>
      </c>
      <c r="X717" t="str">
        <f>_xlfn.XLOOKUP(E717,Lookup!$J$3:$J$14,Lookup!$K$3:$K$14)</f>
        <v>December</v>
      </c>
      <c r="Y717" t="str">
        <f>_xlfn.XLOOKUP(G717,Lookup!$M$3:$M$9,Lookup!$N$3:$N$9)</f>
        <v>Sunday</v>
      </c>
    </row>
    <row r="718" spans="1:25" x14ac:dyDescent="0.3">
      <c r="A718">
        <v>717</v>
      </c>
      <c r="B718" s="1">
        <v>41260</v>
      </c>
      <c r="C718">
        <v>4</v>
      </c>
      <c r="D718">
        <v>1</v>
      </c>
      <c r="E718">
        <v>12</v>
      </c>
      <c r="F718">
        <v>0</v>
      </c>
      <c r="G718">
        <v>1</v>
      </c>
      <c r="H718">
        <v>1</v>
      </c>
      <c r="I718">
        <v>2</v>
      </c>
      <c r="J718">
        <v>0.39333299999999999</v>
      </c>
      <c r="K718">
        <v>0.40150000000000002</v>
      </c>
      <c r="L718">
        <v>0.90708299999999997</v>
      </c>
      <c r="M718">
        <v>9.8258300000000007E-2</v>
      </c>
      <c r="N718">
        <v>212</v>
      </c>
      <c r="O718">
        <v>4373</v>
      </c>
      <c r="P718">
        <v>4585</v>
      </c>
      <c r="Q718">
        <f t="shared" si="44"/>
        <v>10.486650999999998</v>
      </c>
      <c r="R718">
        <f t="shared" si="45"/>
        <v>10.499000000000002</v>
      </c>
      <c r="S718">
        <f t="shared" si="46"/>
        <v>90.708299999999994</v>
      </c>
      <c r="T718">
        <f t="shared" si="47"/>
        <v>6.5833061000000006</v>
      </c>
      <c r="U718" t="str">
        <f>_xlfn.XLOOKUP(C718,Lookup!$A$3:$A$6,Lookup!$B$3:$B$6)</f>
        <v>Fall</v>
      </c>
      <c r="V718">
        <f>_xlfn.XLOOKUP(D718,Lookup!$D$3:$D$4,Lookup!$E$3:$E$4)</f>
        <v>2012</v>
      </c>
      <c r="W718" t="str">
        <f>_xlfn.XLOOKUP(I718,Lookup!$G$3:$G$6,Lookup!$H$3:$H$6)</f>
        <v>Misty/Cloudy</v>
      </c>
      <c r="X718" t="str">
        <f>_xlfn.XLOOKUP(E718,Lookup!$J$3:$J$14,Lookup!$K$3:$K$14)</f>
        <v>December</v>
      </c>
      <c r="Y718" t="str">
        <f>_xlfn.XLOOKUP(G718,Lookup!$M$3:$M$9,Lookup!$N$3:$N$9)</f>
        <v>Monday</v>
      </c>
    </row>
    <row r="719" spans="1:25" x14ac:dyDescent="0.3">
      <c r="A719">
        <v>718</v>
      </c>
      <c r="B719" s="1">
        <v>41261</v>
      </c>
      <c r="C719">
        <v>4</v>
      </c>
      <c r="D719">
        <v>1</v>
      </c>
      <c r="E719">
        <v>12</v>
      </c>
      <c r="F719">
        <v>0</v>
      </c>
      <c r="G719">
        <v>2</v>
      </c>
      <c r="H719">
        <v>1</v>
      </c>
      <c r="I719">
        <v>1</v>
      </c>
      <c r="J719">
        <v>0.410833</v>
      </c>
      <c r="K719">
        <v>0.40970800000000002</v>
      </c>
      <c r="L719">
        <v>0.66625000000000001</v>
      </c>
      <c r="M719">
        <v>0.22140399999999999</v>
      </c>
      <c r="N719">
        <v>433</v>
      </c>
      <c r="O719">
        <v>5124</v>
      </c>
      <c r="P719">
        <v>5557</v>
      </c>
      <c r="Q719">
        <f t="shared" si="44"/>
        <v>11.309151</v>
      </c>
      <c r="R719">
        <f t="shared" si="45"/>
        <v>11.040728000000001</v>
      </c>
      <c r="S719">
        <f t="shared" si="46"/>
        <v>66.625</v>
      </c>
      <c r="T719">
        <f t="shared" si="47"/>
        <v>14.834067999999998</v>
      </c>
      <c r="U719" t="str">
        <f>_xlfn.XLOOKUP(C719,Lookup!$A$3:$A$6,Lookup!$B$3:$B$6)</f>
        <v>Fall</v>
      </c>
      <c r="V719">
        <f>_xlfn.XLOOKUP(D719,Lookup!$D$3:$D$4,Lookup!$E$3:$E$4)</f>
        <v>2012</v>
      </c>
      <c r="W719" t="str">
        <f>_xlfn.XLOOKUP(I719,Lookup!$G$3:$G$6,Lookup!$H$3:$H$6)</f>
        <v>Clear</v>
      </c>
      <c r="X719" t="str">
        <f>_xlfn.XLOOKUP(E719,Lookup!$J$3:$J$14,Lookup!$K$3:$K$14)</f>
        <v>December</v>
      </c>
      <c r="Y719" t="str">
        <f>_xlfn.XLOOKUP(G719,Lookup!$M$3:$M$9,Lookup!$N$3:$N$9)</f>
        <v>Tuesday</v>
      </c>
    </row>
    <row r="720" spans="1:25" x14ac:dyDescent="0.3">
      <c r="A720">
        <v>719</v>
      </c>
      <c r="B720" s="1">
        <v>41262</v>
      </c>
      <c r="C720">
        <v>4</v>
      </c>
      <c r="D720">
        <v>1</v>
      </c>
      <c r="E720">
        <v>12</v>
      </c>
      <c r="F720">
        <v>0</v>
      </c>
      <c r="G720">
        <v>3</v>
      </c>
      <c r="H720">
        <v>1</v>
      </c>
      <c r="I720">
        <v>1</v>
      </c>
      <c r="J720">
        <v>0.33250000000000002</v>
      </c>
      <c r="K720">
        <v>0.34216200000000002</v>
      </c>
      <c r="L720">
        <v>0.625417</v>
      </c>
      <c r="M720">
        <v>0.18409200000000001</v>
      </c>
      <c r="N720">
        <v>333</v>
      </c>
      <c r="O720">
        <v>4934</v>
      </c>
      <c r="P720">
        <v>5267</v>
      </c>
      <c r="Q720">
        <f t="shared" si="44"/>
        <v>7.6275000000000013</v>
      </c>
      <c r="R720">
        <f t="shared" si="45"/>
        <v>6.5826920000000015</v>
      </c>
      <c r="S720">
        <f t="shared" si="46"/>
        <v>62.541699999999999</v>
      </c>
      <c r="T720">
        <f t="shared" si="47"/>
        <v>12.334164000000001</v>
      </c>
      <c r="U720" t="str">
        <f>_xlfn.XLOOKUP(C720,Lookup!$A$3:$A$6,Lookup!$B$3:$B$6)</f>
        <v>Fall</v>
      </c>
      <c r="V720">
        <f>_xlfn.XLOOKUP(D720,Lookup!$D$3:$D$4,Lookup!$E$3:$E$4)</f>
        <v>2012</v>
      </c>
      <c r="W720" t="str">
        <f>_xlfn.XLOOKUP(I720,Lookup!$G$3:$G$6,Lookup!$H$3:$H$6)</f>
        <v>Clear</v>
      </c>
      <c r="X720" t="str">
        <f>_xlfn.XLOOKUP(E720,Lookup!$J$3:$J$14,Lookup!$K$3:$K$14)</f>
        <v>December</v>
      </c>
      <c r="Y720" t="str">
        <f>_xlfn.XLOOKUP(G720,Lookup!$M$3:$M$9,Lookup!$N$3:$N$9)</f>
        <v>Wednesday</v>
      </c>
    </row>
    <row r="721" spans="1:25" x14ac:dyDescent="0.3">
      <c r="A721">
        <v>720</v>
      </c>
      <c r="B721" s="1">
        <v>41263</v>
      </c>
      <c r="C721">
        <v>4</v>
      </c>
      <c r="D721">
        <v>1</v>
      </c>
      <c r="E721">
        <v>12</v>
      </c>
      <c r="F721">
        <v>0</v>
      </c>
      <c r="G721">
        <v>4</v>
      </c>
      <c r="H721">
        <v>1</v>
      </c>
      <c r="I721">
        <v>2</v>
      </c>
      <c r="J721">
        <v>0.33</v>
      </c>
      <c r="K721">
        <v>0.33521699999999999</v>
      </c>
      <c r="L721">
        <v>0.66791699999999998</v>
      </c>
      <c r="M721">
        <v>0.132463</v>
      </c>
      <c r="N721">
        <v>314</v>
      </c>
      <c r="O721">
        <v>3814</v>
      </c>
      <c r="P721">
        <v>4128</v>
      </c>
      <c r="Q721">
        <f t="shared" si="44"/>
        <v>7.5100000000000016</v>
      </c>
      <c r="R721">
        <f t="shared" si="45"/>
        <v>6.1243219999999994</v>
      </c>
      <c r="S721">
        <f t="shared" si="46"/>
        <v>66.791699999999992</v>
      </c>
      <c r="T721">
        <f t="shared" si="47"/>
        <v>8.8750210000000003</v>
      </c>
      <c r="U721" t="str">
        <f>_xlfn.XLOOKUP(C721,Lookup!$A$3:$A$6,Lookup!$B$3:$B$6)</f>
        <v>Fall</v>
      </c>
      <c r="V721">
        <f>_xlfn.XLOOKUP(D721,Lookup!$D$3:$D$4,Lookup!$E$3:$E$4)</f>
        <v>2012</v>
      </c>
      <c r="W721" t="str">
        <f>_xlfn.XLOOKUP(I721,Lookup!$G$3:$G$6,Lookup!$H$3:$H$6)</f>
        <v>Misty/Cloudy</v>
      </c>
      <c r="X721" t="str">
        <f>_xlfn.XLOOKUP(E721,Lookup!$J$3:$J$14,Lookup!$K$3:$K$14)</f>
        <v>December</v>
      </c>
      <c r="Y721" t="str">
        <f>_xlfn.XLOOKUP(G721,Lookup!$M$3:$M$9,Lookup!$N$3:$N$9)</f>
        <v>Thursday</v>
      </c>
    </row>
    <row r="722" spans="1:25" x14ac:dyDescent="0.3">
      <c r="A722">
        <v>721</v>
      </c>
      <c r="B722" s="1">
        <v>41264</v>
      </c>
      <c r="C722">
        <v>1</v>
      </c>
      <c r="D722">
        <v>1</v>
      </c>
      <c r="E722">
        <v>12</v>
      </c>
      <c r="F722">
        <v>0</v>
      </c>
      <c r="G722">
        <v>5</v>
      </c>
      <c r="H722">
        <v>1</v>
      </c>
      <c r="I722">
        <v>2</v>
      </c>
      <c r="J722">
        <v>0.32666699999999999</v>
      </c>
      <c r="K722">
        <v>0.30176700000000001</v>
      </c>
      <c r="L722">
        <v>0.55666700000000002</v>
      </c>
      <c r="M722">
        <v>0.37438300000000002</v>
      </c>
      <c r="N722">
        <v>221</v>
      </c>
      <c r="O722">
        <v>3402</v>
      </c>
      <c r="P722">
        <v>3623</v>
      </c>
      <c r="Q722">
        <f t="shared" si="44"/>
        <v>7.3533489999999997</v>
      </c>
      <c r="R722">
        <f t="shared" si="45"/>
        <v>3.9166220000000003</v>
      </c>
      <c r="S722">
        <f t="shared" si="46"/>
        <v>55.666700000000006</v>
      </c>
      <c r="T722">
        <f t="shared" si="47"/>
        <v>25.083661000000003</v>
      </c>
      <c r="U722" t="str">
        <f>_xlfn.XLOOKUP(C722,Lookup!$A$3:$A$6,Lookup!$B$3:$B$6)</f>
        <v>Winter</v>
      </c>
      <c r="V722">
        <f>_xlfn.XLOOKUP(D722,Lookup!$D$3:$D$4,Lookup!$E$3:$E$4)</f>
        <v>2012</v>
      </c>
      <c r="W722" t="str">
        <f>_xlfn.XLOOKUP(I722,Lookup!$G$3:$G$6,Lookup!$H$3:$H$6)</f>
        <v>Misty/Cloudy</v>
      </c>
      <c r="X722" t="str">
        <f>_xlfn.XLOOKUP(E722,Lookup!$J$3:$J$14,Lookup!$K$3:$K$14)</f>
        <v>December</v>
      </c>
      <c r="Y722" t="str">
        <f>_xlfn.XLOOKUP(G722,Lookup!$M$3:$M$9,Lookup!$N$3:$N$9)</f>
        <v>Friday</v>
      </c>
    </row>
    <row r="723" spans="1:25" x14ac:dyDescent="0.3">
      <c r="A723">
        <v>722</v>
      </c>
      <c r="B723" s="1">
        <v>41265</v>
      </c>
      <c r="C723">
        <v>1</v>
      </c>
      <c r="D723">
        <v>1</v>
      </c>
      <c r="E723">
        <v>12</v>
      </c>
      <c r="F723">
        <v>0</v>
      </c>
      <c r="G723">
        <v>6</v>
      </c>
      <c r="H723">
        <v>0</v>
      </c>
      <c r="I723">
        <v>1</v>
      </c>
      <c r="J723">
        <v>0.26583299999999999</v>
      </c>
      <c r="K723">
        <v>0.23611299999999999</v>
      </c>
      <c r="L723">
        <v>0.44124999999999998</v>
      </c>
      <c r="M723">
        <v>0.40734599999999999</v>
      </c>
      <c r="N723">
        <v>205</v>
      </c>
      <c r="O723">
        <v>1544</v>
      </c>
      <c r="P723">
        <v>1749</v>
      </c>
      <c r="Q723">
        <f t="shared" si="44"/>
        <v>4.4941509999999987</v>
      </c>
      <c r="R723">
        <f t="shared" si="45"/>
        <v>-0.41654200000000152</v>
      </c>
      <c r="S723">
        <f t="shared" si="46"/>
        <v>44.125</v>
      </c>
      <c r="T723">
        <f t="shared" si="47"/>
        <v>27.292182</v>
      </c>
      <c r="U723" t="str">
        <f>_xlfn.XLOOKUP(C723,Lookup!$A$3:$A$6,Lookup!$B$3:$B$6)</f>
        <v>Winter</v>
      </c>
      <c r="V723">
        <f>_xlfn.XLOOKUP(D723,Lookup!$D$3:$D$4,Lookup!$E$3:$E$4)</f>
        <v>2012</v>
      </c>
      <c r="W723" t="str">
        <f>_xlfn.XLOOKUP(I723,Lookup!$G$3:$G$6,Lookup!$H$3:$H$6)</f>
        <v>Clear</v>
      </c>
      <c r="X723" t="str">
        <f>_xlfn.XLOOKUP(E723,Lookup!$J$3:$J$14,Lookup!$K$3:$K$14)</f>
        <v>December</v>
      </c>
      <c r="Y723" t="str">
        <f>_xlfn.XLOOKUP(G723,Lookup!$M$3:$M$9,Lookup!$N$3:$N$9)</f>
        <v>Saturday</v>
      </c>
    </row>
    <row r="724" spans="1:25" x14ac:dyDescent="0.3">
      <c r="A724">
        <v>723</v>
      </c>
      <c r="B724" s="1">
        <v>41266</v>
      </c>
      <c r="C724">
        <v>1</v>
      </c>
      <c r="D724">
        <v>1</v>
      </c>
      <c r="E724">
        <v>12</v>
      </c>
      <c r="F724">
        <v>0</v>
      </c>
      <c r="G724">
        <v>0</v>
      </c>
      <c r="H724">
        <v>0</v>
      </c>
      <c r="I724">
        <v>1</v>
      </c>
      <c r="J724">
        <v>0.245833</v>
      </c>
      <c r="K724">
        <v>0.25947100000000001</v>
      </c>
      <c r="L724">
        <v>0.51541700000000001</v>
      </c>
      <c r="M724">
        <v>0.13308300000000001</v>
      </c>
      <c r="N724">
        <v>408</v>
      </c>
      <c r="O724">
        <v>1379</v>
      </c>
      <c r="P724">
        <v>1787</v>
      </c>
      <c r="Q724">
        <f t="shared" si="44"/>
        <v>3.5541509999999992</v>
      </c>
      <c r="R724">
        <f t="shared" si="45"/>
        <v>1.1250859999999996</v>
      </c>
      <c r="S724">
        <f t="shared" si="46"/>
        <v>51.541699999999999</v>
      </c>
      <c r="T724">
        <f t="shared" si="47"/>
        <v>8.9165609999999997</v>
      </c>
      <c r="U724" t="str">
        <f>_xlfn.XLOOKUP(C724,Lookup!$A$3:$A$6,Lookup!$B$3:$B$6)</f>
        <v>Winter</v>
      </c>
      <c r="V724">
        <f>_xlfn.XLOOKUP(D724,Lookup!$D$3:$D$4,Lookup!$E$3:$E$4)</f>
        <v>2012</v>
      </c>
      <c r="W724" t="str">
        <f>_xlfn.XLOOKUP(I724,Lookup!$G$3:$G$6,Lookup!$H$3:$H$6)</f>
        <v>Clear</v>
      </c>
      <c r="X724" t="str">
        <f>_xlfn.XLOOKUP(E724,Lookup!$J$3:$J$14,Lookup!$K$3:$K$14)</f>
        <v>December</v>
      </c>
      <c r="Y724" t="str">
        <f>_xlfn.XLOOKUP(G724,Lookup!$M$3:$M$9,Lookup!$N$3:$N$9)</f>
        <v>Sunday</v>
      </c>
    </row>
    <row r="725" spans="1:25" x14ac:dyDescent="0.3">
      <c r="A725">
        <v>724</v>
      </c>
      <c r="B725" s="1">
        <v>41267</v>
      </c>
      <c r="C725">
        <v>1</v>
      </c>
      <c r="D725">
        <v>1</v>
      </c>
      <c r="E725">
        <v>12</v>
      </c>
      <c r="F725">
        <v>0</v>
      </c>
      <c r="G725">
        <v>1</v>
      </c>
      <c r="H725">
        <v>1</v>
      </c>
      <c r="I725">
        <v>2</v>
      </c>
      <c r="J725">
        <v>0.23130400000000001</v>
      </c>
      <c r="K725">
        <v>0.25890000000000002</v>
      </c>
      <c r="L725">
        <v>0.79130400000000001</v>
      </c>
      <c r="M725">
        <v>7.7230400000000005E-2</v>
      </c>
      <c r="N725">
        <v>174</v>
      </c>
      <c r="O725">
        <v>746</v>
      </c>
      <c r="P725">
        <v>920</v>
      </c>
      <c r="Q725">
        <f t="shared" si="44"/>
        <v>2.8712879999999998</v>
      </c>
      <c r="R725">
        <f t="shared" si="45"/>
        <v>1.0874000000000024</v>
      </c>
      <c r="S725">
        <f t="shared" si="46"/>
        <v>79.130399999999995</v>
      </c>
      <c r="T725">
        <f t="shared" si="47"/>
        <v>5.1744368000000005</v>
      </c>
      <c r="U725" t="str">
        <f>_xlfn.XLOOKUP(C725,Lookup!$A$3:$A$6,Lookup!$B$3:$B$6)</f>
        <v>Winter</v>
      </c>
      <c r="V725">
        <f>_xlfn.XLOOKUP(D725,Lookup!$D$3:$D$4,Lookup!$E$3:$E$4)</f>
        <v>2012</v>
      </c>
      <c r="W725" t="str">
        <f>_xlfn.XLOOKUP(I725,Lookup!$G$3:$G$6,Lookup!$H$3:$H$6)</f>
        <v>Misty/Cloudy</v>
      </c>
      <c r="X725" t="str">
        <f>_xlfn.XLOOKUP(E725,Lookup!$J$3:$J$14,Lookup!$K$3:$K$14)</f>
        <v>December</v>
      </c>
      <c r="Y725" t="str">
        <f>_xlfn.XLOOKUP(G725,Lookup!$M$3:$M$9,Lookup!$N$3:$N$9)</f>
        <v>Monday</v>
      </c>
    </row>
    <row r="726" spans="1:25" x14ac:dyDescent="0.3">
      <c r="A726">
        <v>725</v>
      </c>
      <c r="B726" s="1">
        <v>41268</v>
      </c>
      <c r="C726">
        <v>1</v>
      </c>
      <c r="D726">
        <v>1</v>
      </c>
      <c r="E726">
        <v>12</v>
      </c>
      <c r="F726">
        <v>1</v>
      </c>
      <c r="G726">
        <v>2</v>
      </c>
      <c r="H726">
        <v>0</v>
      </c>
      <c r="I726">
        <v>2</v>
      </c>
      <c r="J726">
        <v>0.29130400000000001</v>
      </c>
      <c r="K726">
        <v>0.29446499999999998</v>
      </c>
      <c r="L726">
        <v>0.73478299999999996</v>
      </c>
      <c r="M726">
        <v>0.16872599999999999</v>
      </c>
      <c r="N726">
        <v>440</v>
      </c>
      <c r="O726">
        <v>573</v>
      </c>
      <c r="P726">
        <v>1013</v>
      </c>
      <c r="Q726">
        <f t="shared" si="44"/>
        <v>5.6912880000000001</v>
      </c>
      <c r="R726">
        <f t="shared" si="45"/>
        <v>3.4346899999999998</v>
      </c>
      <c r="S726">
        <f t="shared" si="46"/>
        <v>73.47829999999999</v>
      </c>
      <c r="T726">
        <f t="shared" si="47"/>
        <v>11.304641999999999</v>
      </c>
      <c r="U726" t="str">
        <f>_xlfn.XLOOKUP(C726,Lookup!$A$3:$A$6,Lookup!$B$3:$B$6)</f>
        <v>Winter</v>
      </c>
      <c r="V726">
        <f>_xlfn.XLOOKUP(D726,Lookup!$D$3:$D$4,Lookup!$E$3:$E$4)</f>
        <v>2012</v>
      </c>
      <c r="W726" t="str">
        <f>_xlfn.XLOOKUP(I726,Lookup!$G$3:$G$6,Lookup!$H$3:$H$6)</f>
        <v>Misty/Cloudy</v>
      </c>
      <c r="X726" t="str">
        <f>_xlfn.XLOOKUP(E726,Lookup!$J$3:$J$14,Lookup!$K$3:$K$14)</f>
        <v>December</v>
      </c>
      <c r="Y726" t="str">
        <f>_xlfn.XLOOKUP(G726,Lookup!$M$3:$M$9,Lookup!$N$3:$N$9)</f>
        <v>Tuesday</v>
      </c>
    </row>
    <row r="727" spans="1:25" x14ac:dyDescent="0.3">
      <c r="A727">
        <v>726</v>
      </c>
      <c r="B727" s="1">
        <v>41269</v>
      </c>
      <c r="C727">
        <v>1</v>
      </c>
      <c r="D727">
        <v>1</v>
      </c>
      <c r="E727">
        <v>12</v>
      </c>
      <c r="F727">
        <v>0</v>
      </c>
      <c r="G727">
        <v>3</v>
      </c>
      <c r="H727">
        <v>1</v>
      </c>
      <c r="I727">
        <v>3</v>
      </c>
      <c r="J727">
        <v>0.24333299999999999</v>
      </c>
      <c r="K727">
        <v>0.220333</v>
      </c>
      <c r="L727">
        <v>0.82333299999999998</v>
      </c>
      <c r="M727">
        <v>0.31654599999999999</v>
      </c>
      <c r="N727">
        <v>9</v>
      </c>
      <c r="O727">
        <v>432</v>
      </c>
      <c r="P727">
        <v>441</v>
      </c>
      <c r="Q727">
        <f t="shared" si="44"/>
        <v>3.4366509999999995</v>
      </c>
      <c r="R727">
        <f t="shared" si="45"/>
        <v>-1.4580219999999997</v>
      </c>
      <c r="S727">
        <f t="shared" si="46"/>
        <v>82.333299999999994</v>
      </c>
      <c r="T727">
        <f t="shared" si="47"/>
        <v>21.208582</v>
      </c>
      <c r="U727" t="str">
        <f>_xlfn.XLOOKUP(C727,Lookup!$A$3:$A$6,Lookup!$B$3:$B$6)</f>
        <v>Winter</v>
      </c>
      <c r="V727">
        <f>_xlfn.XLOOKUP(D727,Lookup!$D$3:$D$4,Lookup!$E$3:$E$4)</f>
        <v>2012</v>
      </c>
      <c r="W727" t="str">
        <f>_xlfn.XLOOKUP(I727,Lookup!$G$3:$G$6,Lookup!$H$3:$H$6)</f>
        <v>Light Snow/Rain</v>
      </c>
      <c r="X727" t="str">
        <f>_xlfn.XLOOKUP(E727,Lookup!$J$3:$J$14,Lookup!$K$3:$K$14)</f>
        <v>December</v>
      </c>
      <c r="Y727" t="str">
        <f>_xlfn.XLOOKUP(G727,Lookup!$M$3:$M$9,Lookup!$N$3:$N$9)</f>
        <v>Wednesday</v>
      </c>
    </row>
    <row r="728" spans="1:25" x14ac:dyDescent="0.3">
      <c r="A728">
        <v>727</v>
      </c>
      <c r="B728" s="1">
        <v>41270</v>
      </c>
      <c r="C728">
        <v>1</v>
      </c>
      <c r="D728">
        <v>1</v>
      </c>
      <c r="E728">
        <v>12</v>
      </c>
      <c r="F728">
        <v>0</v>
      </c>
      <c r="G728">
        <v>4</v>
      </c>
      <c r="H728">
        <v>1</v>
      </c>
      <c r="I728">
        <v>2</v>
      </c>
      <c r="J728">
        <v>0.25416699999999998</v>
      </c>
      <c r="K728">
        <v>0.22664200000000001</v>
      </c>
      <c r="L728">
        <v>0.65291699999999997</v>
      </c>
      <c r="M728">
        <v>0.35013300000000003</v>
      </c>
      <c r="N728">
        <v>247</v>
      </c>
      <c r="O728">
        <v>1867</v>
      </c>
      <c r="P728">
        <v>2114</v>
      </c>
      <c r="Q728">
        <f t="shared" si="44"/>
        <v>3.9458489999999991</v>
      </c>
      <c r="R728">
        <f t="shared" si="45"/>
        <v>-1.0416279999999993</v>
      </c>
      <c r="S728">
        <f t="shared" si="46"/>
        <v>65.291699999999992</v>
      </c>
      <c r="T728">
        <f t="shared" si="47"/>
        <v>23.458911000000001</v>
      </c>
      <c r="U728" t="str">
        <f>_xlfn.XLOOKUP(C728,Lookup!$A$3:$A$6,Lookup!$B$3:$B$6)</f>
        <v>Winter</v>
      </c>
      <c r="V728">
        <f>_xlfn.XLOOKUP(D728,Lookup!$D$3:$D$4,Lookup!$E$3:$E$4)</f>
        <v>2012</v>
      </c>
      <c r="W728" t="str">
        <f>_xlfn.XLOOKUP(I728,Lookup!$G$3:$G$6,Lookup!$H$3:$H$6)</f>
        <v>Misty/Cloudy</v>
      </c>
      <c r="X728" t="str">
        <f>_xlfn.XLOOKUP(E728,Lookup!$J$3:$J$14,Lookup!$K$3:$K$14)</f>
        <v>December</v>
      </c>
      <c r="Y728" t="str">
        <f>_xlfn.XLOOKUP(G728,Lookup!$M$3:$M$9,Lookup!$N$3:$N$9)</f>
        <v>Thursday</v>
      </c>
    </row>
    <row r="729" spans="1:25" x14ac:dyDescent="0.3">
      <c r="A729">
        <v>728</v>
      </c>
      <c r="B729" s="1">
        <v>41271</v>
      </c>
      <c r="C729">
        <v>1</v>
      </c>
      <c r="D729">
        <v>1</v>
      </c>
      <c r="E729">
        <v>12</v>
      </c>
      <c r="F729">
        <v>0</v>
      </c>
      <c r="G729">
        <v>5</v>
      </c>
      <c r="H729">
        <v>1</v>
      </c>
      <c r="I729">
        <v>2</v>
      </c>
      <c r="J729">
        <v>0.25333299999999997</v>
      </c>
      <c r="K729">
        <v>0.25504599999999999</v>
      </c>
      <c r="L729">
        <v>0.59</v>
      </c>
      <c r="M729">
        <v>0.155471</v>
      </c>
      <c r="N729">
        <v>644</v>
      </c>
      <c r="O729">
        <v>2451</v>
      </c>
      <c r="P729">
        <v>3095</v>
      </c>
      <c r="Q729">
        <f t="shared" si="44"/>
        <v>3.9066509999999983</v>
      </c>
      <c r="R729">
        <f t="shared" si="45"/>
        <v>0.83303599999999989</v>
      </c>
      <c r="S729">
        <f t="shared" si="46"/>
        <v>59</v>
      </c>
      <c r="T729">
        <f t="shared" si="47"/>
        <v>10.416556999999999</v>
      </c>
      <c r="U729" t="str">
        <f>_xlfn.XLOOKUP(C729,Lookup!$A$3:$A$6,Lookup!$B$3:$B$6)</f>
        <v>Winter</v>
      </c>
      <c r="V729">
        <f>_xlfn.XLOOKUP(D729,Lookup!$D$3:$D$4,Lookup!$E$3:$E$4)</f>
        <v>2012</v>
      </c>
      <c r="W729" t="str">
        <f>_xlfn.XLOOKUP(I729,Lookup!$G$3:$G$6,Lookup!$H$3:$H$6)</f>
        <v>Misty/Cloudy</v>
      </c>
      <c r="X729" t="str">
        <f>_xlfn.XLOOKUP(E729,Lookup!$J$3:$J$14,Lookup!$K$3:$K$14)</f>
        <v>December</v>
      </c>
      <c r="Y729" t="str">
        <f>_xlfn.XLOOKUP(G729,Lookup!$M$3:$M$9,Lookup!$N$3:$N$9)</f>
        <v>Friday</v>
      </c>
    </row>
    <row r="730" spans="1:25" x14ac:dyDescent="0.3">
      <c r="A730">
        <v>729</v>
      </c>
      <c r="B730" s="1">
        <v>41272</v>
      </c>
      <c r="C730">
        <v>1</v>
      </c>
      <c r="D730">
        <v>1</v>
      </c>
      <c r="E730">
        <v>12</v>
      </c>
      <c r="F730">
        <v>0</v>
      </c>
      <c r="G730">
        <v>6</v>
      </c>
      <c r="H730">
        <v>0</v>
      </c>
      <c r="I730">
        <v>2</v>
      </c>
      <c r="J730">
        <v>0.25333299999999997</v>
      </c>
      <c r="K730">
        <v>0.2424</v>
      </c>
      <c r="L730">
        <v>0.75291699999999995</v>
      </c>
      <c r="M730">
        <v>0.12438299999999999</v>
      </c>
      <c r="N730">
        <v>159</v>
      </c>
      <c r="O730">
        <v>1182</v>
      </c>
      <c r="P730">
        <v>1341</v>
      </c>
      <c r="Q730">
        <f t="shared" si="44"/>
        <v>3.9066509999999983</v>
      </c>
      <c r="R730">
        <f t="shared" si="45"/>
        <v>-1.5999999999998238E-3</v>
      </c>
      <c r="S730">
        <f t="shared" si="46"/>
        <v>75.291699999999992</v>
      </c>
      <c r="T730">
        <f t="shared" si="47"/>
        <v>8.3336609999999993</v>
      </c>
      <c r="U730" t="str">
        <f>_xlfn.XLOOKUP(C730,Lookup!$A$3:$A$6,Lookup!$B$3:$B$6)</f>
        <v>Winter</v>
      </c>
      <c r="V730">
        <f>_xlfn.XLOOKUP(D730,Lookup!$D$3:$D$4,Lookup!$E$3:$E$4)</f>
        <v>2012</v>
      </c>
      <c r="W730" t="str">
        <f>_xlfn.XLOOKUP(I730,Lookup!$G$3:$G$6,Lookup!$H$3:$H$6)</f>
        <v>Misty/Cloudy</v>
      </c>
      <c r="X730" t="str">
        <f>_xlfn.XLOOKUP(E730,Lookup!$J$3:$J$14,Lookup!$K$3:$K$14)</f>
        <v>December</v>
      </c>
      <c r="Y730" t="str">
        <f>_xlfn.XLOOKUP(G730,Lookup!$M$3:$M$9,Lookup!$N$3:$N$9)</f>
        <v>Saturday</v>
      </c>
    </row>
    <row r="731" spans="1:25" x14ac:dyDescent="0.3">
      <c r="A731">
        <v>730</v>
      </c>
      <c r="B731" s="1">
        <v>41273</v>
      </c>
      <c r="C731">
        <v>1</v>
      </c>
      <c r="D731">
        <v>1</v>
      </c>
      <c r="E731">
        <v>12</v>
      </c>
      <c r="F731">
        <v>0</v>
      </c>
      <c r="G731">
        <v>0</v>
      </c>
      <c r="H731">
        <v>0</v>
      </c>
      <c r="I731">
        <v>1</v>
      </c>
      <c r="J731">
        <v>0.25583299999999998</v>
      </c>
      <c r="K731">
        <v>0.23169999999999999</v>
      </c>
      <c r="L731">
        <v>0.48333300000000001</v>
      </c>
      <c r="M731">
        <v>0.35075400000000001</v>
      </c>
      <c r="N731">
        <v>364</v>
      </c>
      <c r="O731">
        <v>1432</v>
      </c>
      <c r="P731">
        <v>1796</v>
      </c>
      <c r="Q731">
        <f t="shared" si="44"/>
        <v>4.0241509999999998</v>
      </c>
      <c r="R731">
        <f t="shared" si="45"/>
        <v>-0.70780000000000065</v>
      </c>
      <c r="S731">
        <f t="shared" si="46"/>
        <v>48.333300000000001</v>
      </c>
      <c r="T731">
        <f t="shared" si="47"/>
        <v>23.500518</v>
      </c>
      <c r="U731" t="str">
        <f>_xlfn.XLOOKUP(C731,Lookup!$A$3:$A$6,Lookup!$B$3:$B$6)</f>
        <v>Winter</v>
      </c>
      <c r="V731">
        <f>_xlfn.XLOOKUP(D731,Lookup!$D$3:$D$4,Lookup!$E$3:$E$4)</f>
        <v>2012</v>
      </c>
      <c r="W731" t="str">
        <f>_xlfn.XLOOKUP(I731,Lookup!$G$3:$G$6,Lookup!$H$3:$H$6)</f>
        <v>Clear</v>
      </c>
      <c r="X731" t="str">
        <f>_xlfn.XLOOKUP(E731,Lookup!$J$3:$J$14,Lookup!$K$3:$K$14)</f>
        <v>December</v>
      </c>
      <c r="Y731" t="str">
        <f>_xlfn.XLOOKUP(G731,Lookup!$M$3:$M$9,Lookup!$N$3:$N$9)</f>
        <v>Sunday</v>
      </c>
    </row>
    <row r="732" spans="1:25" x14ac:dyDescent="0.3">
      <c r="A732">
        <v>731</v>
      </c>
      <c r="B732" s="1">
        <v>41274</v>
      </c>
      <c r="C732">
        <v>1</v>
      </c>
      <c r="D732">
        <v>1</v>
      </c>
      <c r="E732">
        <v>12</v>
      </c>
      <c r="F732">
        <v>0</v>
      </c>
      <c r="G732">
        <v>1</v>
      </c>
      <c r="H732">
        <v>1</v>
      </c>
      <c r="I732">
        <v>2</v>
      </c>
      <c r="J732">
        <v>0.215833</v>
      </c>
      <c r="K732">
        <v>0.22348699999999999</v>
      </c>
      <c r="L732">
        <v>0.57750000000000001</v>
      </c>
      <c r="M732">
        <v>0.15484600000000001</v>
      </c>
      <c r="N732">
        <v>439</v>
      </c>
      <c r="O732">
        <v>2290</v>
      </c>
      <c r="P732">
        <v>2729</v>
      </c>
      <c r="Q732">
        <f t="shared" si="44"/>
        <v>2.144150999999999</v>
      </c>
      <c r="R732">
        <f t="shared" si="45"/>
        <v>-1.2498579999999997</v>
      </c>
      <c r="S732">
        <f t="shared" si="46"/>
        <v>57.75</v>
      </c>
      <c r="T732">
        <f t="shared" si="47"/>
        <v>10.374682</v>
      </c>
      <c r="U732" t="str">
        <f>_xlfn.XLOOKUP(C732,Lookup!$A$3:$A$6,Lookup!$B$3:$B$6)</f>
        <v>Winter</v>
      </c>
      <c r="V732">
        <f>_xlfn.XLOOKUP(D732,Lookup!$D$3:$D$4,Lookup!$E$3:$E$4)</f>
        <v>2012</v>
      </c>
      <c r="W732" t="str">
        <f>_xlfn.XLOOKUP(I732,Lookup!$G$3:$G$6,Lookup!$H$3:$H$6)</f>
        <v>Misty/Cloudy</v>
      </c>
      <c r="X732" t="str">
        <f>_xlfn.XLOOKUP(E732,Lookup!$J$3:$J$14,Lookup!$K$3:$K$14)</f>
        <v>December</v>
      </c>
      <c r="Y732" t="str">
        <f>_xlfn.XLOOKUP(G732,Lookup!$M$3:$M$9,Lookup!$N$3:$N$9)</f>
        <v>Monday</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F02AC-A0C4-4EDF-8C46-07521D44830D}">
  <dimension ref="A1:P732"/>
  <sheetViews>
    <sheetView workbookViewId="0"/>
  </sheetViews>
  <sheetFormatPr defaultRowHeight="14.4" x14ac:dyDescent="0.3"/>
  <cols>
    <col min="2" max="2" width="17.6640625"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1</v>
      </c>
      <c r="B2" s="1">
        <v>40544</v>
      </c>
      <c r="C2">
        <v>1</v>
      </c>
      <c r="D2">
        <v>0</v>
      </c>
      <c r="E2">
        <v>1</v>
      </c>
      <c r="F2">
        <v>0</v>
      </c>
      <c r="G2">
        <v>6</v>
      </c>
      <c r="H2">
        <v>0</v>
      </c>
      <c r="I2">
        <v>2</v>
      </c>
      <c r="J2">
        <v>0.344167</v>
      </c>
      <c r="K2">
        <v>0.36362499999999998</v>
      </c>
      <c r="L2">
        <v>0.80583300000000002</v>
      </c>
      <c r="M2">
        <v>0.16044600000000001</v>
      </c>
      <c r="N2">
        <v>331</v>
      </c>
      <c r="O2">
        <v>654</v>
      </c>
      <c r="P2">
        <v>985</v>
      </c>
    </row>
    <row r="3" spans="1:16" x14ac:dyDescent="0.3">
      <c r="A3">
        <v>2</v>
      </c>
      <c r="B3" s="1">
        <v>40545</v>
      </c>
      <c r="C3">
        <v>1</v>
      </c>
      <c r="D3">
        <v>0</v>
      </c>
      <c r="E3">
        <v>1</v>
      </c>
      <c r="F3">
        <v>0</v>
      </c>
      <c r="G3">
        <v>0</v>
      </c>
      <c r="H3">
        <v>0</v>
      </c>
      <c r="I3">
        <v>2</v>
      </c>
      <c r="J3">
        <v>0.36347800000000002</v>
      </c>
      <c r="K3">
        <v>0.35373900000000003</v>
      </c>
      <c r="L3">
        <v>0.69608700000000001</v>
      </c>
      <c r="M3">
        <v>0.24853900000000001</v>
      </c>
      <c r="N3">
        <v>131</v>
      </c>
      <c r="O3">
        <v>670</v>
      </c>
      <c r="P3">
        <v>801</v>
      </c>
    </row>
    <row r="4" spans="1:16" x14ac:dyDescent="0.3">
      <c r="A4">
        <v>3</v>
      </c>
      <c r="B4" s="1">
        <v>40546</v>
      </c>
      <c r="C4">
        <v>1</v>
      </c>
      <c r="D4">
        <v>0</v>
      </c>
      <c r="E4">
        <v>1</v>
      </c>
      <c r="F4">
        <v>0</v>
      </c>
      <c r="G4">
        <v>1</v>
      </c>
      <c r="H4">
        <v>1</v>
      </c>
      <c r="I4">
        <v>1</v>
      </c>
      <c r="J4">
        <v>0.19636400000000001</v>
      </c>
      <c r="K4">
        <v>0.18940499999999999</v>
      </c>
      <c r="L4">
        <v>0.43727300000000002</v>
      </c>
      <c r="M4">
        <v>0.248309</v>
      </c>
      <c r="N4">
        <v>120</v>
      </c>
      <c r="O4">
        <v>1229</v>
      </c>
      <c r="P4">
        <v>1349</v>
      </c>
    </row>
    <row r="5" spans="1:16" x14ac:dyDescent="0.3">
      <c r="A5">
        <v>4</v>
      </c>
      <c r="B5" s="1">
        <v>40547</v>
      </c>
      <c r="C5">
        <v>1</v>
      </c>
      <c r="D5">
        <v>0</v>
      </c>
      <c r="E5">
        <v>1</v>
      </c>
      <c r="F5">
        <v>0</v>
      </c>
      <c r="G5">
        <v>2</v>
      </c>
      <c r="H5">
        <v>1</v>
      </c>
      <c r="I5">
        <v>1</v>
      </c>
      <c r="J5">
        <v>0.2</v>
      </c>
      <c r="K5">
        <v>0.212122</v>
      </c>
      <c r="L5">
        <v>0.59043500000000004</v>
      </c>
      <c r="M5">
        <v>0.16029599999999999</v>
      </c>
      <c r="N5">
        <v>108</v>
      </c>
      <c r="O5">
        <v>1454</v>
      </c>
      <c r="P5">
        <v>1562</v>
      </c>
    </row>
    <row r="6" spans="1:16" x14ac:dyDescent="0.3">
      <c r="A6">
        <v>5</v>
      </c>
      <c r="B6" s="1">
        <v>40548</v>
      </c>
      <c r="C6">
        <v>1</v>
      </c>
      <c r="D6">
        <v>0</v>
      </c>
      <c r="E6">
        <v>1</v>
      </c>
      <c r="F6">
        <v>0</v>
      </c>
      <c r="G6">
        <v>3</v>
      </c>
      <c r="H6">
        <v>1</v>
      </c>
      <c r="I6">
        <v>1</v>
      </c>
      <c r="J6">
        <v>0.22695699999999999</v>
      </c>
      <c r="K6">
        <v>0.22927</v>
      </c>
      <c r="L6">
        <v>0.43695699999999998</v>
      </c>
      <c r="M6">
        <v>0.18690000000000001</v>
      </c>
      <c r="N6">
        <v>82</v>
      </c>
      <c r="O6">
        <v>1518</v>
      </c>
      <c r="P6">
        <v>1600</v>
      </c>
    </row>
    <row r="7" spans="1:16" x14ac:dyDescent="0.3">
      <c r="A7">
        <v>6</v>
      </c>
      <c r="B7" s="1">
        <v>40549</v>
      </c>
      <c r="C7">
        <v>1</v>
      </c>
      <c r="D7">
        <v>0</v>
      </c>
      <c r="E7">
        <v>1</v>
      </c>
      <c r="F7">
        <v>0</v>
      </c>
      <c r="G7">
        <v>4</v>
      </c>
      <c r="H7">
        <v>1</v>
      </c>
      <c r="I7">
        <v>1</v>
      </c>
      <c r="J7">
        <v>0.204348</v>
      </c>
      <c r="K7">
        <v>0.233209</v>
      </c>
      <c r="L7">
        <v>0.51826099999999997</v>
      </c>
      <c r="M7">
        <v>8.9565199999999998E-2</v>
      </c>
      <c r="N7">
        <v>88</v>
      </c>
      <c r="O7">
        <v>1518</v>
      </c>
      <c r="P7">
        <v>1606</v>
      </c>
    </row>
    <row r="8" spans="1:16" x14ac:dyDescent="0.3">
      <c r="A8">
        <v>7</v>
      </c>
      <c r="B8" s="1">
        <v>40550</v>
      </c>
      <c r="C8">
        <v>1</v>
      </c>
      <c r="D8">
        <v>0</v>
      </c>
      <c r="E8">
        <v>1</v>
      </c>
      <c r="F8">
        <v>0</v>
      </c>
      <c r="G8">
        <v>5</v>
      </c>
      <c r="H8">
        <v>1</v>
      </c>
      <c r="I8">
        <v>2</v>
      </c>
      <c r="J8">
        <v>0.196522</v>
      </c>
      <c r="K8">
        <v>0.208839</v>
      </c>
      <c r="L8">
        <v>0.49869599999999997</v>
      </c>
      <c r="M8">
        <v>0.16872599999999999</v>
      </c>
      <c r="N8">
        <v>148</v>
      </c>
      <c r="O8">
        <v>1362</v>
      </c>
      <c r="P8">
        <v>1510</v>
      </c>
    </row>
    <row r="9" spans="1:16" x14ac:dyDescent="0.3">
      <c r="A9">
        <v>8</v>
      </c>
      <c r="B9" s="1">
        <v>40551</v>
      </c>
      <c r="C9">
        <v>1</v>
      </c>
      <c r="D9">
        <v>0</v>
      </c>
      <c r="E9">
        <v>1</v>
      </c>
      <c r="F9">
        <v>0</v>
      </c>
      <c r="G9">
        <v>6</v>
      </c>
      <c r="H9">
        <v>0</v>
      </c>
      <c r="I9">
        <v>2</v>
      </c>
      <c r="J9">
        <v>0.16500000000000001</v>
      </c>
      <c r="K9">
        <v>0.16225400000000001</v>
      </c>
      <c r="L9">
        <v>0.535833</v>
      </c>
      <c r="M9">
        <v>0.26680399999999999</v>
      </c>
      <c r="N9">
        <v>68</v>
      </c>
      <c r="O9">
        <v>891</v>
      </c>
      <c r="P9">
        <v>959</v>
      </c>
    </row>
    <row r="10" spans="1:16" x14ac:dyDescent="0.3">
      <c r="A10">
        <v>9</v>
      </c>
      <c r="B10" s="1">
        <v>40552</v>
      </c>
      <c r="C10">
        <v>1</v>
      </c>
      <c r="D10">
        <v>0</v>
      </c>
      <c r="E10">
        <v>1</v>
      </c>
      <c r="F10">
        <v>0</v>
      </c>
      <c r="G10">
        <v>0</v>
      </c>
      <c r="H10">
        <v>0</v>
      </c>
      <c r="I10">
        <v>1</v>
      </c>
      <c r="J10">
        <v>0.13833300000000001</v>
      </c>
      <c r="K10">
        <v>0.116175</v>
      </c>
      <c r="L10">
        <v>0.43416700000000003</v>
      </c>
      <c r="M10">
        <v>0.36194999999999999</v>
      </c>
      <c r="N10">
        <v>54</v>
      </c>
      <c r="O10">
        <v>768</v>
      </c>
      <c r="P10">
        <v>822</v>
      </c>
    </row>
    <row r="11" spans="1:16" x14ac:dyDescent="0.3">
      <c r="A11">
        <v>10</v>
      </c>
      <c r="B11" s="1">
        <v>40553</v>
      </c>
      <c r="C11">
        <v>1</v>
      </c>
      <c r="D11">
        <v>0</v>
      </c>
      <c r="E11">
        <v>1</v>
      </c>
      <c r="F11">
        <v>0</v>
      </c>
      <c r="G11">
        <v>1</v>
      </c>
      <c r="H11">
        <v>1</v>
      </c>
      <c r="I11">
        <v>1</v>
      </c>
      <c r="J11">
        <v>0.15083299999999999</v>
      </c>
      <c r="K11">
        <v>0.15088799999999999</v>
      </c>
      <c r="L11">
        <v>0.48291699999999999</v>
      </c>
      <c r="M11">
        <v>0.22326699999999999</v>
      </c>
      <c r="N11">
        <v>41</v>
      </c>
      <c r="O11">
        <v>1280</v>
      </c>
      <c r="P11">
        <v>1321</v>
      </c>
    </row>
    <row r="12" spans="1:16" x14ac:dyDescent="0.3">
      <c r="A12">
        <v>11</v>
      </c>
      <c r="B12" s="1">
        <v>40554</v>
      </c>
      <c r="C12">
        <v>1</v>
      </c>
      <c r="D12">
        <v>0</v>
      </c>
      <c r="E12">
        <v>1</v>
      </c>
      <c r="F12">
        <v>0</v>
      </c>
      <c r="G12">
        <v>2</v>
      </c>
      <c r="H12">
        <v>1</v>
      </c>
      <c r="I12">
        <v>2</v>
      </c>
      <c r="J12">
        <v>0.16909099999999999</v>
      </c>
      <c r="K12">
        <v>0.191464</v>
      </c>
      <c r="L12">
        <v>0.68636399999999997</v>
      </c>
      <c r="M12">
        <v>0.122132</v>
      </c>
      <c r="N12">
        <v>43</v>
      </c>
      <c r="O12">
        <v>1220</v>
      </c>
      <c r="P12">
        <v>1263</v>
      </c>
    </row>
    <row r="13" spans="1:16" x14ac:dyDescent="0.3">
      <c r="A13">
        <v>12</v>
      </c>
      <c r="B13" s="1">
        <v>40555</v>
      </c>
      <c r="C13">
        <v>1</v>
      </c>
      <c r="D13">
        <v>0</v>
      </c>
      <c r="E13">
        <v>1</v>
      </c>
      <c r="F13">
        <v>0</v>
      </c>
      <c r="G13">
        <v>3</v>
      </c>
      <c r="H13">
        <v>1</v>
      </c>
      <c r="I13">
        <v>1</v>
      </c>
      <c r="J13">
        <v>0.17272699999999999</v>
      </c>
      <c r="K13">
        <v>0.160473</v>
      </c>
      <c r="L13">
        <v>0.59954499999999999</v>
      </c>
      <c r="M13">
        <v>0.30462699999999998</v>
      </c>
      <c r="N13">
        <v>25</v>
      </c>
      <c r="O13">
        <v>1137</v>
      </c>
      <c r="P13">
        <v>1162</v>
      </c>
    </row>
    <row r="14" spans="1:16" x14ac:dyDescent="0.3">
      <c r="A14">
        <v>13</v>
      </c>
      <c r="B14" s="1">
        <v>40556</v>
      </c>
      <c r="C14">
        <v>1</v>
      </c>
      <c r="D14">
        <v>0</v>
      </c>
      <c r="E14">
        <v>1</v>
      </c>
      <c r="F14">
        <v>0</v>
      </c>
      <c r="G14">
        <v>4</v>
      </c>
      <c r="H14">
        <v>1</v>
      </c>
      <c r="I14">
        <v>1</v>
      </c>
      <c r="J14">
        <v>0.16500000000000001</v>
      </c>
      <c r="K14">
        <v>0.15088299999999999</v>
      </c>
      <c r="L14">
        <v>0.47041699999999997</v>
      </c>
      <c r="M14">
        <v>0.30099999999999999</v>
      </c>
      <c r="N14">
        <v>38</v>
      </c>
      <c r="O14">
        <v>1368</v>
      </c>
      <c r="P14">
        <v>1406</v>
      </c>
    </row>
    <row r="15" spans="1:16" x14ac:dyDescent="0.3">
      <c r="A15">
        <v>14</v>
      </c>
      <c r="B15" s="1">
        <v>40557</v>
      </c>
      <c r="C15">
        <v>1</v>
      </c>
      <c r="D15">
        <v>0</v>
      </c>
      <c r="E15">
        <v>1</v>
      </c>
      <c r="F15">
        <v>0</v>
      </c>
      <c r="G15">
        <v>5</v>
      </c>
      <c r="H15">
        <v>1</v>
      </c>
      <c r="I15">
        <v>1</v>
      </c>
      <c r="J15">
        <v>0.16087000000000001</v>
      </c>
      <c r="K15">
        <v>0.188413</v>
      </c>
      <c r="L15">
        <v>0.53782600000000003</v>
      </c>
      <c r="M15">
        <v>0.12654799999999999</v>
      </c>
      <c r="N15">
        <v>54</v>
      </c>
      <c r="O15">
        <v>1367</v>
      </c>
      <c r="P15">
        <v>1421</v>
      </c>
    </row>
    <row r="16" spans="1:16" x14ac:dyDescent="0.3">
      <c r="A16">
        <v>15</v>
      </c>
      <c r="B16" s="1">
        <v>40558</v>
      </c>
      <c r="C16">
        <v>1</v>
      </c>
      <c r="D16">
        <v>0</v>
      </c>
      <c r="E16">
        <v>1</v>
      </c>
      <c r="F16">
        <v>0</v>
      </c>
      <c r="G16">
        <v>6</v>
      </c>
      <c r="H16">
        <v>0</v>
      </c>
      <c r="I16">
        <v>2</v>
      </c>
      <c r="J16">
        <v>0.23333300000000001</v>
      </c>
      <c r="K16">
        <v>0.248112</v>
      </c>
      <c r="L16">
        <v>0.49875000000000003</v>
      </c>
      <c r="M16">
        <v>0.15796299999999999</v>
      </c>
      <c r="N16">
        <v>222</v>
      </c>
      <c r="O16">
        <v>1026</v>
      </c>
      <c r="P16">
        <v>1248</v>
      </c>
    </row>
    <row r="17" spans="1:16" x14ac:dyDescent="0.3">
      <c r="A17">
        <v>16</v>
      </c>
      <c r="B17" s="1">
        <v>40559</v>
      </c>
      <c r="C17">
        <v>1</v>
      </c>
      <c r="D17">
        <v>0</v>
      </c>
      <c r="E17">
        <v>1</v>
      </c>
      <c r="F17">
        <v>0</v>
      </c>
      <c r="G17">
        <v>0</v>
      </c>
      <c r="H17">
        <v>0</v>
      </c>
      <c r="I17">
        <v>1</v>
      </c>
      <c r="J17">
        <v>0.23166700000000001</v>
      </c>
      <c r="K17">
        <v>0.23421700000000001</v>
      </c>
      <c r="L17">
        <v>0.48375000000000001</v>
      </c>
      <c r="M17">
        <v>0.18843299999999999</v>
      </c>
      <c r="N17">
        <v>251</v>
      </c>
      <c r="O17">
        <v>953</v>
      </c>
      <c r="P17">
        <v>1204</v>
      </c>
    </row>
    <row r="18" spans="1:16" x14ac:dyDescent="0.3">
      <c r="A18">
        <v>17</v>
      </c>
      <c r="B18" s="1">
        <v>40560</v>
      </c>
      <c r="C18">
        <v>1</v>
      </c>
      <c r="D18">
        <v>0</v>
      </c>
      <c r="E18">
        <v>1</v>
      </c>
      <c r="F18">
        <v>1</v>
      </c>
      <c r="G18">
        <v>1</v>
      </c>
      <c r="H18">
        <v>0</v>
      </c>
      <c r="I18">
        <v>2</v>
      </c>
      <c r="J18">
        <v>0.17583299999999999</v>
      </c>
      <c r="K18">
        <v>0.17677100000000001</v>
      </c>
      <c r="L18">
        <v>0.53749999999999998</v>
      </c>
      <c r="M18">
        <v>0.194017</v>
      </c>
      <c r="N18">
        <v>117</v>
      </c>
      <c r="O18">
        <v>883</v>
      </c>
      <c r="P18">
        <v>1000</v>
      </c>
    </row>
    <row r="19" spans="1:16" x14ac:dyDescent="0.3">
      <c r="A19">
        <v>18</v>
      </c>
      <c r="B19" s="1">
        <v>40561</v>
      </c>
      <c r="C19">
        <v>1</v>
      </c>
      <c r="D19">
        <v>0</v>
      </c>
      <c r="E19">
        <v>1</v>
      </c>
      <c r="F19">
        <v>0</v>
      </c>
      <c r="G19">
        <v>2</v>
      </c>
      <c r="H19">
        <v>1</v>
      </c>
      <c r="I19">
        <v>2</v>
      </c>
      <c r="J19">
        <v>0.216667</v>
      </c>
      <c r="K19">
        <v>0.23233300000000001</v>
      </c>
      <c r="L19">
        <v>0.86166699999999996</v>
      </c>
      <c r="M19">
        <v>0.14677499999999999</v>
      </c>
      <c r="N19">
        <v>9</v>
      </c>
      <c r="O19">
        <v>674</v>
      </c>
      <c r="P19">
        <v>683</v>
      </c>
    </row>
    <row r="20" spans="1:16" x14ac:dyDescent="0.3">
      <c r="A20">
        <v>19</v>
      </c>
      <c r="B20" s="1">
        <v>40562</v>
      </c>
      <c r="C20">
        <v>1</v>
      </c>
      <c r="D20">
        <v>0</v>
      </c>
      <c r="E20">
        <v>1</v>
      </c>
      <c r="F20">
        <v>0</v>
      </c>
      <c r="G20">
        <v>3</v>
      </c>
      <c r="H20">
        <v>1</v>
      </c>
      <c r="I20">
        <v>2</v>
      </c>
      <c r="J20">
        <v>0.29217399999999999</v>
      </c>
      <c r="K20">
        <v>0.29842200000000002</v>
      </c>
      <c r="L20">
        <v>0.74173900000000004</v>
      </c>
      <c r="M20">
        <v>0.208317</v>
      </c>
      <c r="N20">
        <v>78</v>
      </c>
      <c r="O20">
        <v>1572</v>
      </c>
      <c r="P20">
        <v>1650</v>
      </c>
    </row>
    <row r="21" spans="1:16" x14ac:dyDescent="0.3">
      <c r="A21">
        <v>20</v>
      </c>
      <c r="B21" s="1">
        <v>40563</v>
      </c>
      <c r="C21">
        <v>1</v>
      </c>
      <c r="D21">
        <v>0</v>
      </c>
      <c r="E21">
        <v>1</v>
      </c>
      <c r="F21">
        <v>0</v>
      </c>
      <c r="G21">
        <v>4</v>
      </c>
      <c r="H21">
        <v>1</v>
      </c>
      <c r="I21">
        <v>2</v>
      </c>
      <c r="J21">
        <v>0.26166699999999998</v>
      </c>
      <c r="K21">
        <v>0.25505</v>
      </c>
      <c r="L21">
        <v>0.53833299999999995</v>
      </c>
      <c r="M21">
        <v>0.19590399999999999</v>
      </c>
      <c r="N21">
        <v>83</v>
      </c>
      <c r="O21">
        <v>1844</v>
      </c>
      <c r="P21">
        <v>1927</v>
      </c>
    </row>
    <row r="22" spans="1:16" x14ac:dyDescent="0.3">
      <c r="A22">
        <v>21</v>
      </c>
      <c r="B22" s="1">
        <v>40564</v>
      </c>
      <c r="C22">
        <v>1</v>
      </c>
      <c r="D22">
        <v>0</v>
      </c>
      <c r="E22">
        <v>1</v>
      </c>
      <c r="F22">
        <v>0</v>
      </c>
      <c r="G22">
        <v>5</v>
      </c>
      <c r="H22">
        <v>1</v>
      </c>
      <c r="I22">
        <v>1</v>
      </c>
      <c r="J22">
        <v>0.17749999999999999</v>
      </c>
      <c r="K22">
        <v>0.157833</v>
      </c>
      <c r="L22">
        <v>0.45708300000000002</v>
      </c>
      <c r="M22">
        <v>0.353242</v>
      </c>
      <c r="N22">
        <v>75</v>
      </c>
      <c r="O22">
        <v>1468</v>
      </c>
      <c r="P22">
        <v>1543</v>
      </c>
    </row>
    <row r="23" spans="1:16" x14ac:dyDescent="0.3">
      <c r="A23">
        <v>22</v>
      </c>
      <c r="B23" s="1">
        <v>40565</v>
      </c>
      <c r="C23">
        <v>1</v>
      </c>
      <c r="D23">
        <v>0</v>
      </c>
      <c r="E23">
        <v>1</v>
      </c>
      <c r="F23">
        <v>0</v>
      </c>
      <c r="G23">
        <v>6</v>
      </c>
      <c r="H23">
        <v>0</v>
      </c>
      <c r="I23">
        <v>1</v>
      </c>
      <c r="J23">
        <v>5.91304E-2</v>
      </c>
      <c r="K23">
        <v>7.9069600000000004E-2</v>
      </c>
      <c r="L23">
        <v>0.4</v>
      </c>
      <c r="M23">
        <v>0.17197000000000001</v>
      </c>
      <c r="N23">
        <v>93</v>
      </c>
      <c r="O23">
        <v>888</v>
      </c>
      <c r="P23">
        <v>981</v>
      </c>
    </row>
    <row r="24" spans="1:16" x14ac:dyDescent="0.3">
      <c r="A24">
        <v>23</v>
      </c>
      <c r="B24" s="1">
        <v>40566</v>
      </c>
      <c r="C24">
        <v>1</v>
      </c>
      <c r="D24">
        <v>0</v>
      </c>
      <c r="E24">
        <v>1</v>
      </c>
      <c r="F24">
        <v>0</v>
      </c>
      <c r="G24">
        <v>0</v>
      </c>
      <c r="H24">
        <v>0</v>
      </c>
      <c r="I24">
        <v>1</v>
      </c>
      <c r="J24">
        <v>9.6521700000000002E-2</v>
      </c>
      <c r="K24">
        <v>9.8839099999999999E-2</v>
      </c>
      <c r="L24">
        <v>0.43652200000000002</v>
      </c>
      <c r="M24">
        <v>0.24660000000000001</v>
      </c>
      <c r="N24">
        <v>150</v>
      </c>
      <c r="O24">
        <v>836</v>
      </c>
      <c r="P24">
        <v>986</v>
      </c>
    </row>
    <row r="25" spans="1:16" x14ac:dyDescent="0.3">
      <c r="A25">
        <v>24</v>
      </c>
      <c r="B25" s="1">
        <v>40567</v>
      </c>
      <c r="C25">
        <v>1</v>
      </c>
      <c r="D25">
        <v>0</v>
      </c>
      <c r="E25">
        <v>1</v>
      </c>
      <c r="F25">
        <v>0</v>
      </c>
      <c r="G25">
        <v>1</v>
      </c>
      <c r="H25">
        <v>1</v>
      </c>
      <c r="I25">
        <v>1</v>
      </c>
      <c r="J25">
        <v>9.73913E-2</v>
      </c>
      <c r="K25">
        <v>0.11792999999999999</v>
      </c>
      <c r="L25">
        <v>0.49173899999999998</v>
      </c>
      <c r="M25">
        <v>0.15833</v>
      </c>
      <c r="N25">
        <v>86</v>
      </c>
      <c r="O25">
        <v>1330</v>
      </c>
      <c r="P25">
        <v>1416</v>
      </c>
    </row>
    <row r="26" spans="1:16" x14ac:dyDescent="0.3">
      <c r="A26">
        <v>25</v>
      </c>
      <c r="B26" s="1">
        <v>40568</v>
      </c>
      <c r="C26">
        <v>1</v>
      </c>
      <c r="D26">
        <v>0</v>
      </c>
      <c r="E26">
        <v>1</v>
      </c>
      <c r="F26">
        <v>0</v>
      </c>
      <c r="G26">
        <v>2</v>
      </c>
      <c r="H26">
        <v>1</v>
      </c>
      <c r="I26">
        <v>2</v>
      </c>
      <c r="J26">
        <v>0.22347800000000001</v>
      </c>
      <c r="K26">
        <v>0.23452600000000001</v>
      </c>
      <c r="L26">
        <v>0.61695699999999998</v>
      </c>
      <c r="M26">
        <v>0.12979599999999999</v>
      </c>
      <c r="N26">
        <v>186</v>
      </c>
      <c r="O26">
        <v>1799</v>
      </c>
      <c r="P26">
        <v>1985</v>
      </c>
    </row>
    <row r="27" spans="1:16" x14ac:dyDescent="0.3">
      <c r="A27">
        <v>26</v>
      </c>
      <c r="B27" s="1">
        <v>40569</v>
      </c>
      <c r="C27">
        <v>1</v>
      </c>
      <c r="D27">
        <v>0</v>
      </c>
      <c r="E27">
        <v>1</v>
      </c>
      <c r="F27">
        <v>0</v>
      </c>
      <c r="G27">
        <v>3</v>
      </c>
      <c r="H27">
        <v>1</v>
      </c>
      <c r="I27">
        <v>3</v>
      </c>
      <c r="J27">
        <v>0.2175</v>
      </c>
      <c r="K27">
        <v>0.2036</v>
      </c>
      <c r="L27">
        <v>0.86250000000000004</v>
      </c>
      <c r="M27">
        <v>0.29385</v>
      </c>
      <c r="N27">
        <v>34</v>
      </c>
      <c r="O27">
        <v>472</v>
      </c>
      <c r="P27">
        <v>506</v>
      </c>
    </row>
    <row r="28" spans="1:16" x14ac:dyDescent="0.3">
      <c r="A28">
        <v>27</v>
      </c>
      <c r="B28" s="1">
        <v>40570</v>
      </c>
      <c r="C28">
        <v>1</v>
      </c>
      <c r="D28">
        <v>0</v>
      </c>
      <c r="E28">
        <v>1</v>
      </c>
      <c r="F28">
        <v>0</v>
      </c>
      <c r="G28">
        <v>4</v>
      </c>
      <c r="H28">
        <v>1</v>
      </c>
      <c r="I28">
        <v>1</v>
      </c>
      <c r="J28">
        <v>0.19500000000000001</v>
      </c>
      <c r="K28">
        <v>0.21970000000000001</v>
      </c>
      <c r="L28">
        <v>0.6875</v>
      </c>
      <c r="M28">
        <v>0.11383699999999999</v>
      </c>
      <c r="N28">
        <v>15</v>
      </c>
      <c r="O28">
        <v>416</v>
      </c>
      <c r="P28">
        <v>431</v>
      </c>
    </row>
    <row r="29" spans="1:16" x14ac:dyDescent="0.3">
      <c r="A29">
        <v>28</v>
      </c>
      <c r="B29" s="1">
        <v>40571</v>
      </c>
      <c r="C29">
        <v>1</v>
      </c>
      <c r="D29">
        <v>0</v>
      </c>
      <c r="E29">
        <v>1</v>
      </c>
      <c r="F29">
        <v>0</v>
      </c>
      <c r="G29">
        <v>5</v>
      </c>
      <c r="H29">
        <v>1</v>
      </c>
      <c r="I29">
        <v>2</v>
      </c>
      <c r="J29">
        <v>0.20347799999999999</v>
      </c>
      <c r="K29">
        <v>0.22331699999999999</v>
      </c>
      <c r="L29">
        <v>0.79304300000000005</v>
      </c>
      <c r="M29">
        <v>0.12330000000000001</v>
      </c>
      <c r="N29">
        <v>38</v>
      </c>
      <c r="O29">
        <v>1129</v>
      </c>
      <c r="P29">
        <v>1167</v>
      </c>
    </row>
    <row r="30" spans="1:16" x14ac:dyDescent="0.3">
      <c r="A30">
        <v>29</v>
      </c>
      <c r="B30" s="1">
        <v>40572</v>
      </c>
      <c r="C30">
        <v>1</v>
      </c>
      <c r="D30">
        <v>0</v>
      </c>
      <c r="E30">
        <v>1</v>
      </c>
      <c r="F30">
        <v>0</v>
      </c>
      <c r="G30">
        <v>6</v>
      </c>
      <c r="H30">
        <v>0</v>
      </c>
      <c r="I30">
        <v>1</v>
      </c>
      <c r="J30">
        <v>0.196522</v>
      </c>
      <c r="K30">
        <v>0.21212600000000001</v>
      </c>
      <c r="L30">
        <v>0.65173899999999996</v>
      </c>
      <c r="M30">
        <v>0.14536499999999999</v>
      </c>
      <c r="N30">
        <v>123</v>
      </c>
      <c r="O30">
        <v>975</v>
      </c>
      <c r="P30">
        <v>1098</v>
      </c>
    </row>
    <row r="31" spans="1:16" x14ac:dyDescent="0.3">
      <c r="A31">
        <v>30</v>
      </c>
      <c r="B31" s="1">
        <v>40573</v>
      </c>
      <c r="C31">
        <v>1</v>
      </c>
      <c r="D31">
        <v>0</v>
      </c>
      <c r="E31">
        <v>1</v>
      </c>
      <c r="F31">
        <v>0</v>
      </c>
      <c r="G31">
        <v>0</v>
      </c>
      <c r="H31">
        <v>0</v>
      </c>
      <c r="I31">
        <v>1</v>
      </c>
      <c r="J31">
        <v>0.21652199999999999</v>
      </c>
      <c r="K31">
        <v>0.25032199999999999</v>
      </c>
      <c r="L31">
        <v>0.72217399999999998</v>
      </c>
      <c r="M31">
        <v>7.3982599999999996E-2</v>
      </c>
      <c r="N31">
        <v>140</v>
      </c>
      <c r="O31">
        <v>956</v>
      </c>
      <c r="P31">
        <v>1096</v>
      </c>
    </row>
    <row r="32" spans="1:16" x14ac:dyDescent="0.3">
      <c r="A32">
        <v>31</v>
      </c>
      <c r="B32" s="1">
        <v>40574</v>
      </c>
      <c r="C32">
        <v>1</v>
      </c>
      <c r="D32">
        <v>0</v>
      </c>
      <c r="E32">
        <v>1</v>
      </c>
      <c r="F32">
        <v>0</v>
      </c>
      <c r="G32">
        <v>1</v>
      </c>
      <c r="H32">
        <v>1</v>
      </c>
      <c r="I32">
        <v>2</v>
      </c>
      <c r="J32">
        <v>0.18083299999999999</v>
      </c>
      <c r="K32">
        <v>0.18625</v>
      </c>
      <c r="L32">
        <v>0.60375000000000001</v>
      </c>
      <c r="M32">
        <v>0.187192</v>
      </c>
      <c r="N32">
        <v>42</v>
      </c>
      <c r="O32">
        <v>1459</v>
      </c>
      <c r="P32">
        <v>1501</v>
      </c>
    </row>
    <row r="33" spans="1:16" x14ac:dyDescent="0.3">
      <c r="A33">
        <v>32</v>
      </c>
      <c r="B33" s="1">
        <v>40575</v>
      </c>
      <c r="C33">
        <v>1</v>
      </c>
      <c r="D33">
        <v>0</v>
      </c>
      <c r="E33">
        <v>2</v>
      </c>
      <c r="F33">
        <v>0</v>
      </c>
      <c r="G33">
        <v>2</v>
      </c>
      <c r="H33">
        <v>1</v>
      </c>
      <c r="I33">
        <v>2</v>
      </c>
      <c r="J33">
        <v>0.19217400000000001</v>
      </c>
      <c r="K33">
        <v>0.23452999999999999</v>
      </c>
      <c r="L33">
        <v>0.829565</v>
      </c>
      <c r="M33">
        <v>5.3213000000000003E-2</v>
      </c>
      <c r="N33">
        <v>47</v>
      </c>
      <c r="O33">
        <v>1313</v>
      </c>
      <c r="P33">
        <v>1360</v>
      </c>
    </row>
    <row r="34" spans="1:16" x14ac:dyDescent="0.3">
      <c r="A34">
        <v>33</v>
      </c>
      <c r="B34" s="1">
        <v>40576</v>
      </c>
      <c r="C34">
        <v>1</v>
      </c>
      <c r="D34">
        <v>0</v>
      </c>
      <c r="E34">
        <v>2</v>
      </c>
      <c r="F34">
        <v>0</v>
      </c>
      <c r="G34">
        <v>3</v>
      </c>
      <c r="H34">
        <v>1</v>
      </c>
      <c r="I34">
        <v>2</v>
      </c>
      <c r="J34">
        <v>0.26</v>
      </c>
      <c r="K34">
        <v>0.254417</v>
      </c>
      <c r="L34">
        <v>0.77541700000000002</v>
      </c>
      <c r="M34">
        <v>0.26430799999999999</v>
      </c>
      <c r="N34">
        <v>72</v>
      </c>
      <c r="O34">
        <v>1454</v>
      </c>
      <c r="P34">
        <v>1526</v>
      </c>
    </row>
    <row r="35" spans="1:16" x14ac:dyDescent="0.3">
      <c r="A35">
        <v>34</v>
      </c>
      <c r="B35" s="1">
        <v>40577</v>
      </c>
      <c r="C35">
        <v>1</v>
      </c>
      <c r="D35">
        <v>0</v>
      </c>
      <c r="E35">
        <v>2</v>
      </c>
      <c r="F35">
        <v>0</v>
      </c>
      <c r="G35">
        <v>4</v>
      </c>
      <c r="H35">
        <v>1</v>
      </c>
      <c r="I35">
        <v>1</v>
      </c>
      <c r="J35">
        <v>0.18695700000000001</v>
      </c>
      <c r="K35">
        <v>0.17787800000000001</v>
      </c>
      <c r="L35">
        <v>0.43782599999999999</v>
      </c>
      <c r="M35">
        <v>0.277752</v>
      </c>
      <c r="N35">
        <v>61</v>
      </c>
      <c r="O35">
        <v>1489</v>
      </c>
      <c r="P35">
        <v>1550</v>
      </c>
    </row>
    <row r="36" spans="1:16" x14ac:dyDescent="0.3">
      <c r="A36">
        <v>35</v>
      </c>
      <c r="B36" s="1">
        <v>40578</v>
      </c>
      <c r="C36">
        <v>1</v>
      </c>
      <c r="D36">
        <v>0</v>
      </c>
      <c r="E36">
        <v>2</v>
      </c>
      <c r="F36">
        <v>0</v>
      </c>
      <c r="G36">
        <v>5</v>
      </c>
      <c r="H36">
        <v>1</v>
      </c>
      <c r="I36">
        <v>2</v>
      </c>
      <c r="J36">
        <v>0.21130399999999999</v>
      </c>
      <c r="K36">
        <v>0.22858700000000001</v>
      </c>
      <c r="L36">
        <v>0.58521699999999999</v>
      </c>
      <c r="M36">
        <v>0.12783900000000001</v>
      </c>
      <c r="N36">
        <v>88</v>
      </c>
      <c r="O36">
        <v>1620</v>
      </c>
      <c r="P36">
        <v>1708</v>
      </c>
    </row>
    <row r="37" spans="1:16" x14ac:dyDescent="0.3">
      <c r="A37">
        <v>36</v>
      </c>
      <c r="B37" s="1">
        <v>40579</v>
      </c>
      <c r="C37">
        <v>1</v>
      </c>
      <c r="D37">
        <v>0</v>
      </c>
      <c r="E37">
        <v>2</v>
      </c>
      <c r="F37">
        <v>0</v>
      </c>
      <c r="G37">
        <v>6</v>
      </c>
      <c r="H37">
        <v>0</v>
      </c>
      <c r="I37">
        <v>2</v>
      </c>
      <c r="J37">
        <v>0.23333300000000001</v>
      </c>
      <c r="K37">
        <v>0.243058</v>
      </c>
      <c r="L37">
        <v>0.92916699999999997</v>
      </c>
      <c r="M37">
        <v>0.161079</v>
      </c>
      <c r="N37">
        <v>100</v>
      </c>
      <c r="O37">
        <v>905</v>
      </c>
      <c r="P37">
        <v>1005</v>
      </c>
    </row>
    <row r="38" spans="1:16" x14ac:dyDescent="0.3">
      <c r="A38">
        <v>37</v>
      </c>
      <c r="B38" s="1">
        <v>40580</v>
      </c>
      <c r="C38">
        <v>1</v>
      </c>
      <c r="D38">
        <v>0</v>
      </c>
      <c r="E38">
        <v>2</v>
      </c>
      <c r="F38">
        <v>0</v>
      </c>
      <c r="G38">
        <v>0</v>
      </c>
      <c r="H38">
        <v>0</v>
      </c>
      <c r="I38">
        <v>1</v>
      </c>
      <c r="J38">
        <v>0.285833</v>
      </c>
      <c r="K38">
        <v>0.29167100000000001</v>
      </c>
      <c r="L38">
        <v>0.56833299999999998</v>
      </c>
      <c r="M38">
        <v>0.14180000000000001</v>
      </c>
      <c r="N38">
        <v>354</v>
      </c>
      <c r="O38">
        <v>1269</v>
      </c>
      <c r="P38">
        <v>1623</v>
      </c>
    </row>
    <row r="39" spans="1:16" x14ac:dyDescent="0.3">
      <c r="A39">
        <v>38</v>
      </c>
      <c r="B39" s="1">
        <v>40581</v>
      </c>
      <c r="C39">
        <v>1</v>
      </c>
      <c r="D39">
        <v>0</v>
      </c>
      <c r="E39">
        <v>2</v>
      </c>
      <c r="F39">
        <v>0</v>
      </c>
      <c r="G39">
        <v>1</v>
      </c>
      <c r="H39">
        <v>1</v>
      </c>
      <c r="I39">
        <v>1</v>
      </c>
      <c r="J39">
        <v>0.27166699999999999</v>
      </c>
      <c r="K39">
        <v>0.30365799999999998</v>
      </c>
      <c r="L39">
        <v>0.73833300000000002</v>
      </c>
      <c r="M39">
        <v>4.5408299999999999E-2</v>
      </c>
      <c r="N39">
        <v>120</v>
      </c>
      <c r="O39">
        <v>1592</v>
      </c>
      <c r="P39">
        <v>1712</v>
      </c>
    </row>
    <row r="40" spans="1:16" x14ac:dyDescent="0.3">
      <c r="A40">
        <v>39</v>
      </c>
      <c r="B40" s="1">
        <v>40582</v>
      </c>
      <c r="C40">
        <v>1</v>
      </c>
      <c r="D40">
        <v>0</v>
      </c>
      <c r="E40">
        <v>2</v>
      </c>
      <c r="F40">
        <v>0</v>
      </c>
      <c r="G40">
        <v>2</v>
      </c>
      <c r="H40">
        <v>1</v>
      </c>
      <c r="I40">
        <v>1</v>
      </c>
      <c r="J40">
        <v>0.220833</v>
      </c>
      <c r="K40">
        <v>0.19824600000000001</v>
      </c>
      <c r="L40">
        <v>0.53791699999999998</v>
      </c>
      <c r="M40">
        <v>0.36194999999999999</v>
      </c>
      <c r="N40">
        <v>64</v>
      </c>
      <c r="O40">
        <v>1466</v>
      </c>
      <c r="P40">
        <v>1530</v>
      </c>
    </row>
    <row r="41" spans="1:16" x14ac:dyDescent="0.3">
      <c r="A41">
        <v>40</v>
      </c>
      <c r="B41" s="1">
        <v>40583</v>
      </c>
      <c r="C41">
        <v>1</v>
      </c>
      <c r="D41">
        <v>0</v>
      </c>
      <c r="E41">
        <v>2</v>
      </c>
      <c r="F41">
        <v>0</v>
      </c>
      <c r="G41">
        <v>3</v>
      </c>
      <c r="H41">
        <v>1</v>
      </c>
      <c r="I41">
        <v>2</v>
      </c>
      <c r="J41">
        <v>0.13478299999999999</v>
      </c>
      <c r="K41">
        <v>0.14428299999999999</v>
      </c>
      <c r="L41">
        <v>0.49478299999999997</v>
      </c>
      <c r="M41">
        <v>0.18883900000000001</v>
      </c>
      <c r="N41">
        <v>53</v>
      </c>
      <c r="O41">
        <v>1552</v>
      </c>
      <c r="P41">
        <v>1605</v>
      </c>
    </row>
    <row r="42" spans="1:16" x14ac:dyDescent="0.3">
      <c r="A42">
        <v>41</v>
      </c>
      <c r="B42" s="1">
        <v>40584</v>
      </c>
      <c r="C42">
        <v>1</v>
      </c>
      <c r="D42">
        <v>0</v>
      </c>
      <c r="E42">
        <v>2</v>
      </c>
      <c r="F42">
        <v>0</v>
      </c>
      <c r="G42">
        <v>4</v>
      </c>
      <c r="H42">
        <v>1</v>
      </c>
      <c r="I42">
        <v>1</v>
      </c>
      <c r="J42">
        <v>0.144348</v>
      </c>
      <c r="K42">
        <v>0.14954799999999999</v>
      </c>
      <c r="L42">
        <v>0.43739099999999997</v>
      </c>
      <c r="M42">
        <v>0.22193499999999999</v>
      </c>
      <c r="N42">
        <v>47</v>
      </c>
      <c r="O42">
        <v>1491</v>
      </c>
      <c r="P42">
        <v>1538</v>
      </c>
    </row>
    <row r="43" spans="1:16" x14ac:dyDescent="0.3">
      <c r="A43">
        <v>42</v>
      </c>
      <c r="B43" s="1">
        <v>40585</v>
      </c>
      <c r="C43">
        <v>1</v>
      </c>
      <c r="D43">
        <v>0</v>
      </c>
      <c r="E43">
        <v>2</v>
      </c>
      <c r="F43">
        <v>0</v>
      </c>
      <c r="G43">
        <v>5</v>
      </c>
      <c r="H43">
        <v>1</v>
      </c>
      <c r="I43">
        <v>1</v>
      </c>
      <c r="J43">
        <v>0.18909100000000001</v>
      </c>
      <c r="K43">
        <v>0.213509</v>
      </c>
      <c r="L43">
        <v>0.50636400000000004</v>
      </c>
      <c r="M43">
        <v>0.10854999999999999</v>
      </c>
      <c r="N43">
        <v>149</v>
      </c>
      <c r="O43">
        <v>1597</v>
      </c>
      <c r="P43">
        <v>1746</v>
      </c>
    </row>
    <row r="44" spans="1:16" x14ac:dyDescent="0.3">
      <c r="A44">
        <v>43</v>
      </c>
      <c r="B44" s="1">
        <v>40586</v>
      </c>
      <c r="C44">
        <v>1</v>
      </c>
      <c r="D44">
        <v>0</v>
      </c>
      <c r="E44">
        <v>2</v>
      </c>
      <c r="F44">
        <v>0</v>
      </c>
      <c r="G44">
        <v>6</v>
      </c>
      <c r="H44">
        <v>0</v>
      </c>
      <c r="I44">
        <v>1</v>
      </c>
      <c r="J44">
        <v>0.2225</v>
      </c>
      <c r="K44">
        <v>0.23295399999999999</v>
      </c>
      <c r="L44">
        <v>0.54416699999999996</v>
      </c>
      <c r="M44">
        <v>0.20336699999999999</v>
      </c>
      <c r="N44">
        <v>288</v>
      </c>
      <c r="O44">
        <v>1184</v>
      </c>
      <c r="P44">
        <v>1472</v>
      </c>
    </row>
    <row r="45" spans="1:16" x14ac:dyDescent="0.3">
      <c r="A45">
        <v>44</v>
      </c>
      <c r="B45" s="1">
        <v>40587</v>
      </c>
      <c r="C45">
        <v>1</v>
      </c>
      <c r="D45">
        <v>0</v>
      </c>
      <c r="E45">
        <v>2</v>
      </c>
      <c r="F45">
        <v>0</v>
      </c>
      <c r="G45">
        <v>0</v>
      </c>
      <c r="H45">
        <v>0</v>
      </c>
      <c r="I45">
        <v>1</v>
      </c>
      <c r="J45">
        <v>0.31652200000000003</v>
      </c>
      <c r="K45">
        <v>0.32411299999999998</v>
      </c>
      <c r="L45">
        <v>0.45739099999999999</v>
      </c>
      <c r="M45">
        <v>0.26088299999999998</v>
      </c>
      <c r="N45">
        <v>397</v>
      </c>
      <c r="O45">
        <v>1192</v>
      </c>
      <c r="P45">
        <v>1589</v>
      </c>
    </row>
    <row r="46" spans="1:16" x14ac:dyDescent="0.3">
      <c r="A46">
        <v>45</v>
      </c>
      <c r="B46" s="1">
        <v>40588</v>
      </c>
      <c r="C46">
        <v>1</v>
      </c>
      <c r="D46">
        <v>0</v>
      </c>
      <c r="E46">
        <v>2</v>
      </c>
      <c r="F46">
        <v>0</v>
      </c>
      <c r="G46">
        <v>1</v>
      </c>
      <c r="H46">
        <v>1</v>
      </c>
      <c r="I46">
        <v>1</v>
      </c>
      <c r="J46">
        <v>0.41499999999999998</v>
      </c>
      <c r="K46">
        <v>0.39834999999999998</v>
      </c>
      <c r="L46">
        <v>0.37583299999999997</v>
      </c>
      <c r="M46">
        <v>0.417908</v>
      </c>
      <c r="N46">
        <v>208</v>
      </c>
      <c r="O46">
        <v>1705</v>
      </c>
      <c r="P46">
        <v>1913</v>
      </c>
    </row>
    <row r="47" spans="1:16" x14ac:dyDescent="0.3">
      <c r="A47">
        <v>46</v>
      </c>
      <c r="B47" s="1">
        <v>40589</v>
      </c>
      <c r="C47">
        <v>1</v>
      </c>
      <c r="D47">
        <v>0</v>
      </c>
      <c r="E47">
        <v>2</v>
      </c>
      <c r="F47">
        <v>0</v>
      </c>
      <c r="G47">
        <v>2</v>
      </c>
      <c r="H47">
        <v>1</v>
      </c>
      <c r="I47">
        <v>1</v>
      </c>
      <c r="J47">
        <v>0.26608700000000002</v>
      </c>
      <c r="K47">
        <v>0.254274</v>
      </c>
      <c r="L47">
        <v>0.31434800000000002</v>
      </c>
      <c r="M47">
        <v>0.29137400000000002</v>
      </c>
      <c r="N47">
        <v>140</v>
      </c>
      <c r="O47">
        <v>1675</v>
      </c>
      <c r="P47">
        <v>1815</v>
      </c>
    </row>
    <row r="48" spans="1:16" x14ac:dyDescent="0.3">
      <c r="A48">
        <v>47</v>
      </c>
      <c r="B48" s="1">
        <v>40590</v>
      </c>
      <c r="C48">
        <v>1</v>
      </c>
      <c r="D48">
        <v>0</v>
      </c>
      <c r="E48">
        <v>2</v>
      </c>
      <c r="F48">
        <v>0</v>
      </c>
      <c r="G48">
        <v>3</v>
      </c>
      <c r="H48">
        <v>1</v>
      </c>
      <c r="I48">
        <v>1</v>
      </c>
      <c r="J48">
        <v>0.31826100000000002</v>
      </c>
      <c r="K48">
        <v>0.31619999999999998</v>
      </c>
      <c r="L48">
        <v>0.42347800000000002</v>
      </c>
      <c r="M48">
        <v>0.25179099999999999</v>
      </c>
      <c r="N48">
        <v>218</v>
      </c>
      <c r="O48">
        <v>1897</v>
      </c>
      <c r="P48">
        <v>2115</v>
      </c>
    </row>
    <row r="49" spans="1:16" x14ac:dyDescent="0.3">
      <c r="A49">
        <v>48</v>
      </c>
      <c r="B49" s="1">
        <v>40591</v>
      </c>
      <c r="C49">
        <v>1</v>
      </c>
      <c r="D49">
        <v>0</v>
      </c>
      <c r="E49">
        <v>2</v>
      </c>
      <c r="F49">
        <v>0</v>
      </c>
      <c r="G49">
        <v>4</v>
      </c>
      <c r="H49">
        <v>1</v>
      </c>
      <c r="I49">
        <v>1</v>
      </c>
      <c r="J49">
        <v>0.43583300000000003</v>
      </c>
      <c r="K49">
        <v>0.42865799999999998</v>
      </c>
      <c r="L49">
        <v>0.505</v>
      </c>
      <c r="M49">
        <v>0.230104</v>
      </c>
      <c r="N49">
        <v>259</v>
      </c>
      <c r="O49">
        <v>2216</v>
      </c>
      <c r="P49">
        <v>2475</v>
      </c>
    </row>
    <row r="50" spans="1:16" x14ac:dyDescent="0.3">
      <c r="A50">
        <v>49</v>
      </c>
      <c r="B50" s="1">
        <v>40592</v>
      </c>
      <c r="C50">
        <v>1</v>
      </c>
      <c r="D50">
        <v>0</v>
      </c>
      <c r="E50">
        <v>2</v>
      </c>
      <c r="F50">
        <v>0</v>
      </c>
      <c r="G50">
        <v>5</v>
      </c>
      <c r="H50">
        <v>1</v>
      </c>
      <c r="I50">
        <v>1</v>
      </c>
      <c r="J50">
        <v>0.52166699999999999</v>
      </c>
      <c r="K50">
        <v>0.51198299999999997</v>
      </c>
      <c r="L50">
        <v>0.51666699999999999</v>
      </c>
      <c r="M50">
        <v>0.26492500000000002</v>
      </c>
      <c r="N50">
        <v>579</v>
      </c>
      <c r="O50">
        <v>2348</v>
      </c>
      <c r="P50">
        <v>2927</v>
      </c>
    </row>
    <row r="51" spans="1:16" x14ac:dyDescent="0.3">
      <c r="A51">
        <v>50</v>
      </c>
      <c r="B51" s="1">
        <v>40593</v>
      </c>
      <c r="C51">
        <v>1</v>
      </c>
      <c r="D51">
        <v>0</v>
      </c>
      <c r="E51">
        <v>2</v>
      </c>
      <c r="F51">
        <v>0</v>
      </c>
      <c r="G51">
        <v>6</v>
      </c>
      <c r="H51">
        <v>0</v>
      </c>
      <c r="I51">
        <v>1</v>
      </c>
      <c r="J51">
        <v>0.39916699999999999</v>
      </c>
      <c r="K51">
        <v>0.39140399999999997</v>
      </c>
      <c r="L51">
        <v>0.187917</v>
      </c>
      <c r="M51">
        <v>0.507463</v>
      </c>
      <c r="N51">
        <v>532</v>
      </c>
      <c r="O51">
        <v>1103</v>
      </c>
      <c r="P51">
        <v>1635</v>
      </c>
    </row>
    <row r="52" spans="1:16" x14ac:dyDescent="0.3">
      <c r="A52">
        <v>51</v>
      </c>
      <c r="B52" s="1">
        <v>40594</v>
      </c>
      <c r="C52">
        <v>1</v>
      </c>
      <c r="D52">
        <v>0</v>
      </c>
      <c r="E52">
        <v>2</v>
      </c>
      <c r="F52">
        <v>0</v>
      </c>
      <c r="G52">
        <v>0</v>
      </c>
      <c r="H52">
        <v>0</v>
      </c>
      <c r="I52">
        <v>1</v>
      </c>
      <c r="J52">
        <v>0.285217</v>
      </c>
      <c r="K52">
        <v>0.27733000000000002</v>
      </c>
      <c r="L52">
        <v>0.40782600000000002</v>
      </c>
      <c r="M52">
        <v>0.22323499999999999</v>
      </c>
      <c r="N52">
        <v>639</v>
      </c>
      <c r="O52">
        <v>1173</v>
      </c>
      <c r="P52">
        <v>1812</v>
      </c>
    </row>
    <row r="53" spans="1:16" x14ac:dyDescent="0.3">
      <c r="A53">
        <v>52</v>
      </c>
      <c r="B53" s="1">
        <v>40595</v>
      </c>
      <c r="C53">
        <v>1</v>
      </c>
      <c r="D53">
        <v>0</v>
      </c>
      <c r="E53">
        <v>2</v>
      </c>
      <c r="F53">
        <v>1</v>
      </c>
      <c r="G53">
        <v>1</v>
      </c>
      <c r="H53">
        <v>0</v>
      </c>
      <c r="I53">
        <v>2</v>
      </c>
      <c r="J53">
        <v>0.30333300000000002</v>
      </c>
      <c r="K53">
        <v>0.28407500000000002</v>
      </c>
      <c r="L53">
        <v>0.60499999999999998</v>
      </c>
      <c r="M53">
        <v>0.30784600000000001</v>
      </c>
      <c r="N53">
        <v>195</v>
      </c>
      <c r="O53">
        <v>912</v>
      </c>
      <c r="P53">
        <v>1107</v>
      </c>
    </row>
    <row r="54" spans="1:16" x14ac:dyDescent="0.3">
      <c r="A54">
        <v>53</v>
      </c>
      <c r="B54" s="1">
        <v>40596</v>
      </c>
      <c r="C54">
        <v>1</v>
      </c>
      <c r="D54">
        <v>0</v>
      </c>
      <c r="E54">
        <v>2</v>
      </c>
      <c r="F54">
        <v>0</v>
      </c>
      <c r="G54">
        <v>2</v>
      </c>
      <c r="H54">
        <v>1</v>
      </c>
      <c r="I54">
        <v>1</v>
      </c>
      <c r="J54">
        <v>0.182222</v>
      </c>
      <c r="K54">
        <v>0.186033</v>
      </c>
      <c r="L54">
        <v>0.57777800000000001</v>
      </c>
      <c r="M54">
        <v>0.195683</v>
      </c>
      <c r="N54">
        <v>74</v>
      </c>
      <c r="O54">
        <v>1376</v>
      </c>
      <c r="P54">
        <v>1450</v>
      </c>
    </row>
    <row r="55" spans="1:16" x14ac:dyDescent="0.3">
      <c r="A55">
        <v>54</v>
      </c>
      <c r="B55" s="1">
        <v>40597</v>
      </c>
      <c r="C55">
        <v>1</v>
      </c>
      <c r="D55">
        <v>0</v>
      </c>
      <c r="E55">
        <v>2</v>
      </c>
      <c r="F55">
        <v>0</v>
      </c>
      <c r="G55">
        <v>3</v>
      </c>
      <c r="H55">
        <v>1</v>
      </c>
      <c r="I55">
        <v>1</v>
      </c>
      <c r="J55">
        <v>0.22173899999999999</v>
      </c>
      <c r="K55">
        <v>0.24571699999999999</v>
      </c>
      <c r="L55">
        <v>0.423043</v>
      </c>
      <c r="M55">
        <v>9.4113000000000002E-2</v>
      </c>
      <c r="N55">
        <v>139</v>
      </c>
      <c r="O55">
        <v>1778</v>
      </c>
      <c r="P55">
        <v>1917</v>
      </c>
    </row>
    <row r="56" spans="1:16" x14ac:dyDescent="0.3">
      <c r="A56">
        <v>55</v>
      </c>
      <c r="B56" s="1">
        <v>40598</v>
      </c>
      <c r="C56">
        <v>1</v>
      </c>
      <c r="D56">
        <v>0</v>
      </c>
      <c r="E56">
        <v>2</v>
      </c>
      <c r="F56">
        <v>0</v>
      </c>
      <c r="G56">
        <v>4</v>
      </c>
      <c r="H56">
        <v>1</v>
      </c>
      <c r="I56">
        <v>2</v>
      </c>
      <c r="J56">
        <v>0.29565200000000003</v>
      </c>
      <c r="K56">
        <v>0.28919099999999998</v>
      </c>
      <c r="L56">
        <v>0.69739099999999998</v>
      </c>
      <c r="M56">
        <v>0.250496</v>
      </c>
      <c r="N56">
        <v>100</v>
      </c>
      <c r="O56">
        <v>1707</v>
      </c>
      <c r="P56">
        <v>1807</v>
      </c>
    </row>
    <row r="57" spans="1:16" x14ac:dyDescent="0.3">
      <c r="A57">
        <v>56</v>
      </c>
      <c r="B57" s="1">
        <v>40599</v>
      </c>
      <c r="C57">
        <v>1</v>
      </c>
      <c r="D57">
        <v>0</v>
      </c>
      <c r="E57">
        <v>2</v>
      </c>
      <c r="F57">
        <v>0</v>
      </c>
      <c r="G57">
        <v>5</v>
      </c>
      <c r="H57">
        <v>1</v>
      </c>
      <c r="I57">
        <v>2</v>
      </c>
      <c r="J57">
        <v>0.36434800000000001</v>
      </c>
      <c r="K57">
        <v>0.35046100000000002</v>
      </c>
      <c r="L57">
        <v>0.71217399999999997</v>
      </c>
      <c r="M57">
        <v>0.34653899999999999</v>
      </c>
      <c r="N57">
        <v>120</v>
      </c>
      <c r="O57">
        <v>1341</v>
      </c>
      <c r="P57">
        <v>1461</v>
      </c>
    </row>
    <row r="58" spans="1:16" x14ac:dyDescent="0.3">
      <c r="A58">
        <v>57</v>
      </c>
      <c r="B58" s="1">
        <v>40600</v>
      </c>
      <c r="C58">
        <v>1</v>
      </c>
      <c r="D58">
        <v>0</v>
      </c>
      <c r="E58">
        <v>2</v>
      </c>
      <c r="F58">
        <v>0</v>
      </c>
      <c r="G58">
        <v>6</v>
      </c>
      <c r="H58">
        <v>0</v>
      </c>
      <c r="I58">
        <v>1</v>
      </c>
      <c r="J58">
        <v>0.28249999999999997</v>
      </c>
      <c r="K58">
        <v>0.282192</v>
      </c>
      <c r="L58">
        <v>0.53791699999999998</v>
      </c>
      <c r="M58">
        <v>0.18657099999999999</v>
      </c>
      <c r="N58">
        <v>424</v>
      </c>
      <c r="O58">
        <v>1545</v>
      </c>
      <c r="P58">
        <v>1969</v>
      </c>
    </row>
    <row r="59" spans="1:16" x14ac:dyDescent="0.3">
      <c r="A59">
        <v>58</v>
      </c>
      <c r="B59" s="1">
        <v>40601</v>
      </c>
      <c r="C59">
        <v>1</v>
      </c>
      <c r="D59">
        <v>0</v>
      </c>
      <c r="E59">
        <v>2</v>
      </c>
      <c r="F59">
        <v>0</v>
      </c>
      <c r="G59">
        <v>0</v>
      </c>
      <c r="H59">
        <v>0</v>
      </c>
      <c r="I59">
        <v>1</v>
      </c>
      <c r="J59">
        <v>0.34347800000000001</v>
      </c>
      <c r="K59">
        <v>0.351109</v>
      </c>
      <c r="L59">
        <v>0.68</v>
      </c>
      <c r="M59">
        <v>0.125248</v>
      </c>
      <c r="N59">
        <v>694</v>
      </c>
      <c r="O59">
        <v>1708</v>
      </c>
      <c r="P59">
        <v>2402</v>
      </c>
    </row>
    <row r="60" spans="1:16" x14ac:dyDescent="0.3">
      <c r="A60">
        <v>59</v>
      </c>
      <c r="B60" s="1">
        <v>40602</v>
      </c>
      <c r="C60">
        <v>1</v>
      </c>
      <c r="D60">
        <v>0</v>
      </c>
      <c r="E60">
        <v>2</v>
      </c>
      <c r="F60">
        <v>0</v>
      </c>
      <c r="G60">
        <v>1</v>
      </c>
      <c r="H60">
        <v>1</v>
      </c>
      <c r="I60">
        <v>2</v>
      </c>
      <c r="J60">
        <v>0.407273</v>
      </c>
      <c r="K60">
        <v>0.40011799999999997</v>
      </c>
      <c r="L60">
        <v>0.87636400000000003</v>
      </c>
      <c r="M60">
        <v>0.289686</v>
      </c>
      <c r="N60">
        <v>81</v>
      </c>
      <c r="O60">
        <v>1365</v>
      </c>
      <c r="P60">
        <v>1446</v>
      </c>
    </row>
    <row r="61" spans="1:16" x14ac:dyDescent="0.3">
      <c r="A61">
        <v>60</v>
      </c>
      <c r="B61" s="1">
        <v>40603</v>
      </c>
      <c r="C61">
        <v>1</v>
      </c>
      <c r="D61">
        <v>0</v>
      </c>
      <c r="E61">
        <v>3</v>
      </c>
      <c r="F61">
        <v>0</v>
      </c>
      <c r="G61">
        <v>2</v>
      </c>
      <c r="H61">
        <v>1</v>
      </c>
      <c r="I61">
        <v>1</v>
      </c>
      <c r="J61">
        <v>0.26666699999999999</v>
      </c>
      <c r="K61">
        <v>0.26387899999999997</v>
      </c>
      <c r="L61">
        <v>0.53500000000000003</v>
      </c>
      <c r="M61">
        <v>0.21642500000000001</v>
      </c>
      <c r="N61">
        <v>137</v>
      </c>
      <c r="O61">
        <v>1714</v>
      </c>
      <c r="P61">
        <v>1851</v>
      </c>
    </row>
    <row r="62" spans="1:16" x14ac:dyDescent="0.3">
      <c r="A62">
        <v>61</v>
      </c>
      <c r="B62" s="1">
        <v>40604</v>
      </c>
      <c r="C62">
        <v>1</v>
      </c>
      <c r="D62">
        <v>0</v>
      </c>
      <c r="E62">
        <v>3</v>
      </c>
      <c r="F62">
        <v>0</v>
      </c>
      <c r="G62">
        <v>3</v>
      </c>
      <c r="H62">
        <v>1</v>
      </c>
      <c r="I62">
        <v>1</v>
      </c>
      <c r="J62">
        <v>0.33500000000000002</v>
      </c>
      <c r="K62">
        <v>0.32007099999999999</v>
      </c>
      <c r="L62">
        <v>0.44958300000000001</v>
      </c>
      <c r="M62">
        <v>0.30783300000000002</v>
      </c>
      <c r="N62">
        <v>231</v>
      </c>
      <c r="O62">
        <v>1903</v>
      </c>
      <c r="P62">
        <v>2134</v>
      </c>
    </row>
    <row r="63" spans="1:16" x14ac:dyDescent="0.3">
      <c r="A63">
        <v>62</v>
      </c>
      <c r="B63" s="1">
        <v>40605</v>
      </c>
      <c r="C63">
        <v>1</v>
      </c>
      <c r="D63">
        <v>0</v>
      </c>
      <c r="E63">
        <v>3</v>
      </c>
      <c r="F63">
        <v>0</v>
      </c>
      <c r="G63">
        <v>4</v>
      </c>
      <c r="H63">
        <v>1</v>
      </c>
      <c r="I63">
        <v>1</v>
      </c>
      <c r="J63">
        <v>0.19833300000000001</v>
      </c>
      <c r="K63">
        <v>0.20013300000000001</v>
      </c>
      <c r="L63">
        <v>0.31833299999999998</v>
      </c>
      <c r="M63">
        <v>0.22575400000000001</v>
      </c>
      <c r="N63">
        <v>123</v>
      </c>
      <c r="O63">
        <v>1562</v>
      </c>
      <c r="P63">
        <v>1685</v>
      </c>
    </row>
    <row r="64" spans="1:16" x14ac:dyDescent="0.3">
      <c r="A64">
        <v>63</v>
      </c>
      <c r="B64" s="1">
        <v>40606</v>
      </c>
      <c r="C64">
        <v>1</v>
      </c>
      <c r="D64">
        <v>0</v>
      </c>
      <c r="E64">
        <v>3</v>
      </c>
      <c r="F64">
        <v>0</v>
      </c>
      <c r="G64">
        <v>5</v>
      </c>
      <c r="H64">
        <v>1</v>
      </c>
      <c r="I64">
        <v>2</v>
      </c>
      <c r="J64">
        <v>0.26166699999999998</v>
      </c>
      <c r="K64">
        <v>0.25567899999999999</v>
      </c>
      <c r="L64">
        <v>0.61041699999999999</v>
      </c>
      <c r="M64">
        <v>0.203346</v>
      </c>
      <c r="N64">
        <v>214</v>
      </c>
      <c r="O64">
        <v>1730</v>
      </c>
      <c r="P64">
        <v>1944</v>
      </c>
    </row>
    <row r="65" spans="1:16" x14ac:dyDescent="0.3">
      <c r="A65">
        <v>64</v>
      </c>
      <c r="B65" s="1">
        <v>40607</v>
      </c>
      <c r="C65">
        <v>1</v>
      </c>
      <c r="D65">
        <v>0</v>
      </c>
      <c r="E65">
        <v>3</v>
      </c>
      <c r="F65">
        <v>0</v>
      </c>
      <c r="G65">
        <v>6</v>
      </c>
      <c r="H65">
        <v>0</v>
      </c>
      <c r="I65">
        <v>2</v>
      </c>
      <c r="J65">
        <v>0.38416699999999998</v>
      </c>
      <c r="K65">
        <v>0.37877899999999998</v>
      </c>
      <c r="L65">
        <v>0.78916699999999995</v>
      </c>
      <c r="M65">
        <v>0.25187100000000001</v>
      </c>
      <c r="N65">
        <v>640</v>
      </c>
      <c r="O65">
        <v>1437</v>
      </c>
      <c r="P65">
        <v>2077</v>
      </c>
    </row>
    <row r="66" spans="1:16" x14ac:dyDescent="0.3">
      <c r="A66">
        <v>65</v>
      </c>
      <c r="B66" s="1">
        <v>40608</v>
      </c>
      <c r="C66">
        <v>1</v>
      </c>
      <c r="D66">
        <v>0</v>
      </c>
      <c r="E66">
        <v>3</v>
      </c>
      <c r="F66">
        <v>0</v>
      </c>
      <c r="G66">
        <v>0</v>
      </c>
      <c r="H66">
        <v>0</v>
      </c>
      <c r="I66">
        <v>2</v>
      </c>
      <c r="J66">
        <v>0.37652200000000002</v>
      </c>
      <c r="K66">
        <v>0.36625200000000002</v>
      </c>
      <c r="L66">
        <v>0.94826100000000002</v>
      </c>
      <c r="M66">
        <v>0.34328700000000001</v>
      </c>
      <c r="N66">
        <v>114</v>
      </c>
      <c r="O66">
        <v>491</v>
      </c>
      <c r="P66">
        <v>605</v>
      </c>
    </row>
    <row r="67" spans="1:16" x14ac:dyDescent="0.3">
      <c r="A67">
        <v>66</v>
      </c>
      <c r="B67" s="1">
        <v>40609</v>
      </c>
      <c r="C67">
        <v>1</v>
      </c>
      <c r="D67">
        <v>0</v>
      </c>
      <c r="E67">
        <v>3</v>
      </c>
      <c r="F67">
        <v>0</v>
      </c>
      <c r="G67">
        <v>1</v>
      </c>
      <c r="H67">
        <v>1</v>
      </c>
      <c r="I67">
        <v>1</v>
      </c>
      <c r="J67">
        <v>0.261739</v>
      </c>
      <c r="K67">
        <v>0.23846100000000001</v>
      </c>
      <c r="L67">
        <v>0.55130400000000002</v>
      </c>
      <c r="M67">
        <v>0.34135199999999999</v>
      </c>
      <c r="N67">
        <v>244</v>
      </c>
      <c r="O67">
        <v>1628</v>
      </c>
      <c r="P67">
        <v>1872</v>
      </c>
    </row>
    <row r="68" spans="1:16" x14ac:dyDescent="0.3">
      <c r="A68">
        <v>67</v>
      </c>
      <c r="B68" s="1">
        <v>40610</v>
      </c>
      <c r="C68">
        <v>1</v>
      </c>
      <c r="D68">
        <v>0</v>
      </c>
      <c r="E68">
        <v>3</v>
      </c>
      <c r="F68">
        <v>0</v>
      </c>
      <c r="G68">
        <v>2</v>
      </c>
      <c r="H68">
        <v>1</v>
      </c>
      <c r="I68">
        <v>1</v>
      </c>
      <c r="J68">
        <v>0.29249999999999998</v>
      </c>
      <c r="K68">
        <v>0.3024</v>
      </c>
      <c r="L68">
        <v>0.42083300000000001</v>
      </c>
      <c r="M68">
        <v>0.12064999999999999</v>
      </c>
      <c r="N68">
        <v>316</v>
      </c>
      <c r="O68">
        <v>1817</v>
      </c>
      <c r="P68">
        <v>2133</v>
      </c>
    </row>
    <row r="69" spans="1:16" x14ac:dyDescent="0.3">
      <c r="A69">
        <v>68</v>
      </c>
      <c r="B69" s="1">
        <v>40611</v>
      </c>
      <c r="C69">
        <v>1</v>
      </c>
      <c r="D69">
        <v>0</v>
      </c>
      <c r="E69">
        <v>3</v>
      </c>
      <c r="F69">
        <v>0</v>
      </c>
      <c r="G69">
        <v>3</v>
      </c>
      <c r="H69">
        <v>1</v>
      </c>
      <c r="I69">
        <v>2</v>
      </c>
      <c r="J69">
        <v>0.29583300000000001</v>
      </c>
      <c r="K69">
        <v>0.28660799999999997</v>
      </c>
      <c r="L69">
        <v>0.77541700000000002</v>
      </c>
      <c r="M69">
        <v>0.22015000000000001</v>
      </c>
      <c r="N69">
        <v>191</v>
      </c>
      <c r="O69">
        <v>1700</v>
      </c>
      <c r="P69">
        <v>1891</v>
      </c>
    </row>
    <row r="70" spans="1:16" x14ac:dyDescent="0.3">
      <c r="A70">
        <v>69</v>
      </c>
      <c r="B70" s="1">
        <v>40612</v>
      </c>
      <c r="C70">
        <v>1</v>
      </c>
      <c r="D70">
        <v>0</v>
      </c>
      <c r="E70">
        <v>3</v>
      </c>
      <c r="F70">
        <v>0</v>
      </c>
      <c r="G70">
        <v>4</v>
      </c>
      <c r="H70">
        <v>1</v>
      </c>
      <c r="I70">
        <v>3</v>
      </c>
      <c r="J70">
        <v>0.38909100000000002</v>
      </c>
      <c r="K70">
        <v>0.38566800000000001</v>
      </c>
      <c r="L70">
        <v>0</v>
      </c>
      <c r="M70">
        <v>0.26187700000000003</v>
      </c>
      <c r="N70">
        <v>46</v>
      </c>
      <c r="O70">
        <v>577</v>
      </c>
      <c r="P70">
        <v>623</v>
      </c>
    </row>
    <row r="71" spans="1:16" x14ac:dyDescent="0.3">
      <c r="A71">
        <v>70</v>
      </c>
      <c r="B71" s="1">
        <v>40613</v>
      </c>
      <c r="C71">
        <v>1</v>
      </c>
      <c r="D71">
        <v>0</v>
      </c>
      <c r="E71">
        <v>3</v>
      </c>
      <c r="F71">
        <v>0</v>
      </c>
      <c r="G71">
        <v>5</v>
      </c>
      <c r="H71">
        <v>1</v>
      </c>
      <c r="I71">
        <v>2</v>
      </c>
      <c r="J71">
        <v>0.31652200000000003</v>
      </c>
      <c r="K71">
        <v>0.30499999999999999</v>
      </c>
      <c r="L71">
        <v>0.64956499999999995</v>
      </c>
      <c r="M71">
        <v>0.23297000000000001</v>
      </c>
      <c r="N71">
        <v>247</v>
      </c>
      <c r="O71">
        <v>1730</v>
      </c>
      <c r="P71">
        <v>1977</v>
      </c>
    </row>
    <row r="72" spans="1:16" x14ac:dyDescent="0.3">
      <c r="A72">
        <v>71</v>
      </c>
      <c r="B72" s="1">
        <v>40614</v>
      </c>
      <c r="C72">
        <v>1</v>
      </c>
      <c r="D72">
        <v>0</v>
      </c>
      <c r="E72">
        <v>3</v>
      </c>
      <c r="F72">
        <v>0</v>
      </c>
      <c r="G72">
        <v>6</v>
      </c>
      <c r="H72">
        <v>0</v>
      </c>
      <c r="I72">
        <v>1</v>
      </c>
      <c r="J72">
        <v>0.32916699999999999</v>
      </c>
      <c r="K72">
        <v>0.32574999999999998</v>
      </c>
      <c r="L72">
        <v>0.59458299999999997</v>
      </c>
      <c r="M72">
        <v>0.220775</v>
      </c>
      <c r="N72">
        <v>724</v>
      </c>
      <c r="O72">
        <v>1408</v>
      </c>
      <c r="P72">
        <v>2132</v>
      </c>
    </row>
    <row r="73" spans="1:16" x14ac:dyDescent="0.3">
      <c r="A73">
        <v>72</v>
      </c>
      <c r="B73" s="1">
        <v>40615</v>
      </c>
      <c r="C73">
        <v>1</v>
      </c>
      <c r="D73">
        <v>0</v>
      </c>
      <c r="E73">
        <v>3</v>
      </c>
      <c r="F73">
        <v>0</v>
      </c>
      <c r="G73">
        <v>0</v>
      </c>
      <c r="H73">
        <v>0</v>
      </c>
      <c r="I73">
        <v>1</v>
      </c>
      <c r="J73">
        <v>0.38434800000000002</v>
      </c>
      <c r="K73">
        <v>0.38009100000000001</v>
      </c>
      <c r="L73">
        <v>0.52739100000000005</v>
      </c>
      <c r="M73">
        <v>0.27060400000000001</v>
      </c>
      <c r="N73">
        <v>982</v>
      </c>
      <c r="O73">
        <v>1435</v>
      </c>
      <c r="P73">
        <v>2417</v>
      </c>
    </row>
    <row r="74" spans="1:16" x14ac:dyDescent="0.3">
      <c r="A74">
        <v>73</v>
      </c>
      <c r="B74" s="1">
        <v>40616</v>
      </c>
      <c r="C74">
        <v>1</v>
      </c>
      <c r="D74">
        <v>0</v>
      </c>
      <c r="E74">
        <v>3</v>
      </c>
      <c r="F74">
        <v>0</v>
      </c>
      <c r="G74">
        <v>1</v>
      </c>
      <c r="H74">
        <v>1</v>
      </c>
      <c r="I74">
        <v>1</v>
      </c>
      <c r="J74">
        <v>0.32521699999999998</v>
      </c>
      <c r="K74">
        <v>0.33200000000000002</v>
      </c>
      <c r="L74">
        <v>0.49695699999999998</v>
      </c>
      <c r="M74">
        <v>0.13692599999999999</v>
      </c>
      <c r="N74">
        <v>359</v>
      </c>
      <c r="O74">
        <v>1687</v>
      </c>
      <c r="P74">
        <v>2046</v>
      </c>
    </row>
    <row r="75" spans="1:16" x14ac:dyDescent="0.3">
      <c r="A75">
        <v>74</v>
      </c>
      <c r="B75" s="1">
        <v>40617</v>
      </c>
      <c r="C75">
        <v>1</v>
      </c>
      <c r="D75">
        <v>0</v>
      </c>
      <c r="E75">
        <v>3</v>
      </c>
      <c r="F75">
        <v>0</v>
      </c>
      <c r="G75">
        <v>2</v>
      </c>
      <c r="H75">
        <v>1</v>
      </c>
      <c r="I75">
        <v>2</v>
      </c>
      <c r="J75">
        <v>0.31739099999999998</v>
      </c>
      <c r="K75">
        <v>0.31817800000000002</v>
      </c>
      <c r="L75">
        <v>0.65565200000000001</v>
      </c>
      <c r="M75">
        <v>0.184309</v>
      </c>
      <c r="N75">
        <v>289</v>
      </c>
      <c r="O75">
        <v>1767</v>
      </c>
      <c r="P75">
        <v>2056</v>
      </c>
    </row>
    <row r="76" spans="1:16" x14ac:dyDescent="0.3">
      <c r="A76">
        <v>75</v>
      </c>
      <c r="B76" s="1">
        <v>40618</v>
      </c>
      <c r="C76">
        <v>1</v>
      </c>
      <c r="D76">
        <v>0</v>
      </c>
      <c r="E76">
        <v>3</v>
      </c>
      <c r="F76">
        <v>0</v>
      </c>
      <c r="G76">
        <v>3</v>
      </c>
      <c r="H76">
        <v>1</v>
      </c>
      <c r="I76">
        <v>2</v>
      </c>
      <c r="J76">
        <v>0.36521700000000001</v>
      </c>
      <c r="K76">
        <v>0.36692999999999998</v>
      </c>
      <c r="L76">
        <v>0.77652200000000005</v>
      </c>
      <c r="M76">
        <v>0.20311699999999999</v>
      </c>
      <c r="N76">
        <v>321</v>
      </c>
      <c r="O76">
        <v>1871</v>
      </c>
      <c r="P76">
        <v>2192</v>
      </c>
    </row>
    <row r="77" spans="1:16" x14ac:dyDescent="0.3">
      <c r="A77">
        <v>76</v>
      </c>
      <c r="B77" s="1">
        <v>40619</v>
      </c>
      <c r="C77">
        <v>1</v>
      </c>
      <c r="D77">
        <v>0</v>
      </c>
      <c r="E77">
        <v>3</v>
      </c>
      <c r="F77">
        <v>0</v>
      </c>
      <c r="G77">
        <v>4</v>
      </c>
      <c r="H77">
        <v>1</v>
      </c>
      <c r="I77">
        <v>1</v>
      </c>
      <c r="J77">
        <v>0.41499999999999998</v>
      </c>
      <c r="K77">
        <v>0.410333</v>
      </c>
      <c r="L77">
        <v>0.60291700000000004</v>
      </c>
      <c r="M77">
        <v>0.20957899999999999</v>
      </c>
      <c r="N77">
        <v>424</v>
      </c>
      <c r="O77">
        <v>2320</v>
      </c>
      <c r="P77">
        <v>2744</v>
      </c>
    </row>
    <row r="78" spans="1:16" x14ac:dyDescent="0.3">
      <c r="A78">
        <v>77</v>
      </c>
      <c r="B78" s="1">
        <v>40620</v>
      </c>
      <c r="C78">
        <v>1</v>
      </c>
      <c r="D78">
        <v>0</v>
      </c>
      <c r="E78">
        <v>3</v>
      </c>
      <c r="F78">
        <v>0</v>
      </c>
      <c r="G78">
        <v>5</v>
      </c>
      <c r="H78">
        <v>1</v>
      </c>
      <c r="I78">
        <v>1</v>
      </c>
      <c r="J78">
        <v>0.54</v>
      </c>
      <c r="K78">
        <v>0.52700899999999995</v>
      </c>
      <c r="L78">
        <v>0.52521700000000004</v>
      </c>
      <c r="M78">
        <v>0.231017</v>
      </c>
      <c r="N78">
        <v>884</v>
      </c>
      <c r="O78">
        <v>2355</v>
      </c>
      <c r="P78">
        <v>3239</v>
      </c>
    </row>
    <row r="79" spans="1:16" x14ac:dyDescent="0.3">
      <c r="A79">
        <v>78</v>
      </c>
      <c r="B79" s="1">
        <v>40621</v>
      </c>
      <c r="C79">
        <v>1</v>
      </c>
      <c r="D79">
        <v>0</v>
      </c>
      <c r="E79">
        <v>3</v>
      </c>
      <c r="F79">
        <v>0</v>
      </c>
      <c r="G79">
        <v>6</v>
      </c>
      <c r="H79">
        <v>0</v>
      </c>
      <c r="I79">
        <v>1</v>
      </c>
      <c r="J79">
        <v>0.47249999999999998</v>
      </c>
      <c r="K79">
        <v>0.46652500000000002</v>
      </c>
      <c r="L79">
        <v>0.37916699999999998</v>
      </c>
      <c r="M79">
        <v>0.36816700000000002</v>
      </c>
      <c r="N79">
        <v>1424</v>
      </c>
      <c r="O79">
        <v>1693</v>
      </c>
      <c r="P79">
        <v>3117</v>
      </c>
    </row>
    <row r="80" spans="1:16" x14ac:dyDescent="0.3">
      <c r="A80">
        <v>79</v>
      </c>
      <c r="B80" s="1">
        <v>40622</v>
      </c>
      <c r="C80">
        <v>1</v>
      </c>
      <c r="D80">
        <v>0</v>
      </c>
      <c r="E80">
        <v>3</v>
      </c>
      <c r="F80">
        <v>0</v>
      </c>
      <c r="G80">
        <v>0</v>
      </c>
      <c r="H80">
        <v>0</v>
      </c>
      <c r="I80">
        <v>1</v>
      </c>
      <c r="J80">
        <v>0.33250000000000002</v>
      </c>
      <c r="K80">
        <v>0.32574999999999998</v>
      </c>
      <c r="L80">
        <v>0.47375</v>
      </c>
      <c r="M80">
        <v>0.20772099999999999</v>
      </c>
      <c r="N80">
        <v>1047</v>
      </c>
      <c r="O80">
        <v>1424</v>
      </c>
      <c r="P80">
        <v>2471</v>
      </c>
    </row>
    <row r="81" spans="1:16" x14ac:dyDescent="0.3">
      <c r="A81">
        <v>80</v>
      </c>
      <c r="B81" s="1">
        <v>40623</v>
      </c>
      <c r="C81">
        <v>2</v>
      </c>
      <c r="D81">
        <v>0</v>
      </c>
      <c r="E81">
        <v>3</v>
      </c>
      <c r="F81">
        <v>0</v>
      </c>
      <c r="G81">
        <v>1</v>
      </c>
      <c r="H81">
        <v>1</v>
      </c>
      <c r="I81">
        <v>2</v>
      </c>
      <c r="J81">
        <v>0.43043500000000001</v>
      </c>
      <c r="K81">
        <v>0.40973500000000002</v>
      </c>
      <c r="L81">
        <v>0.73739100000000002</v>
      </c>
      <c r="M81">
        <v>0.28878300000000001</v>
      </c>
      <c r="N81">
        <v>401</v>
      </c>
      <c r="O81">
        <v>1676</v>
      </c>
      <c r="P81">
        <v>2077</v>
      </c>
    </row>
    <row r="82" spans="1:16" x14ac:dyDescent="0.3">
      <c r="A82">
        <v>81</v>
      </c>
      <c r="B82" s="1">
        <v>40624</v>
      </c>
      <c r="C82">
        <v>2</v>
      </c>
      <c r="D82">
        <v>0</v>
      </c>
      <c r="E82">
        <v>3</v>
      </c>
      <c r="F82">
        <v>0</v>
      </c>
      <c r="G82">
        <v>2</v>
      </c>
      <c r="H82">
        <v>1</v>
      </c>
      <c r="I82">
        <v>1</v>
      </c>
      <c r="J82">
        <v>0.44166699999999998</v>
      </c>
      <c r="K82">
        <v>0.44064199999999998</v>
      </c>
      <c r="L82">
        <v>0.624583</v>
      </c>
      <c r="M82">
        <v>0.22575000000000001</v>
      </c>
      <c r="N82">
        <v>460</v>
      </c>
      <c r="O82">
        <v>2243</v>
      </c>
      <c r="P82">
        <v>2703</v>
      </c>
    </row>
    <row r="83" spans="1:16" x14ac:dyDescent="0.3">
      <c r="A83">
        <v>82</v>
      </c>
      <c r="B83" s="1">
        <v>40625</v>
      </c>
      <c r="C83">
        <v>2</v>
      </c>
      <c r="D83">
        <v>0</v>
      </c>
      <c r="E83">
        <v>3</v>
      </c>
      <c r="F83">
        <v>0</v>
      </c>
      <c r="G83">
        <v>3</v>
      </c>
      <c r="H83">
        <v>1</v>
      </c>
      <c r="I83">
        <v>2</v>
      </c>
      <c r="J83">
        <v>0.34695700000000002</v>
      </c>
      <c r="K83">
        <v>0.33793899999999999</v>
      </c>
      <c r="L83">
        <v>0.83956500000000001</v>
      </c>
      <c r="M83">
        <v>0.234261</v>
      </c>
      <c r="N83">
        <v>203</v>
      </c>
      <c r="O83">
        <v>1918</v>
      </c>
      <c r="P83">
        <v>2121</v>
      </c>
    </row>
    <row r="84" spans="1:16" x14ac:dyDescent="0.3">
      <c r="A84">
        <v>83</v>
      </c>
      <c r="B84" s="1">
        <v>40626</v>
      </c>
      <c r="C84">
        <v>2</v>
      </c>
      <c r="D84">
        <v>0</v>
      </c>
      <c r="E84">
        <v>3</v>
      </c>
      <c r="F84">
        <v>0</v>
      </c>
      <c r="G84">
        <v>4</v>
      </c>
      <c r="H84">
        <v>1</v>
      </c>
      <c r="I84">
        <v>2</v>
      </c>
      <c r="J84">
        <v>0.28499999999999998</v>
      </c>
      <c r="K84">
        <v>0.27083299999999999</v>
      </c>
      <c r="L84">
        <v>0.80583300000000002</v>
      </c>
      <c r="M84">
        <v>0.243787</v>
      </c>
      <c r="N84">
        <v>166</v>
      </c>
      <c r="O84">
        <v>1699</v>
      </c>
      <c r="P84">
        <v>1865</v>
      </c>
    </row>
    <row r="85" spans="1:16" x14ac:dyDescent="0.3">
      <c r="A85">
        <v>84</v>
      </c>
      <c r="B85" s="1">
        <v>40627</v>
      </c>
      <c r="C85">
        <v>2</v>
      </c>
      <c r="D85">
        <v>0</v>
      </c>
      <c r="E85">
        <v>3</v>
      </c>
      <c r="F85">
        <v>0</v>
      </c>
      <c r="G85">
        <v>5</v>
      </c>
      <c r="H85">
        <v>1</v>
      </c>
      <c r="I85">
        <v>1</v>
      </c>
      <c r="J85">
        <v>0.26416699999999999</v>
      </c>
      <c r="K85">
        <v>0.25631199999999998</v>
      </c>
      <c r="L85">
        <v>0.495</v>
      </c>
      <c r="M85">
        <v>0.23072500000000001</v>
      </c>
      <c r="N85">
        <v>300</v>
      </c>
      <c r="O85">
        <v>1910</v>
      </c>
      <c r="P85">
        <v>2210</v>
      </c>
    </row>
    <row r="86" spans="1:16" x14ac:dyDescent="0.3">
      <c r="A86">
        <v>85</v>
      </c>
      <c r="B86" s="1">
        <v>40628</v>
      </c>
      <c r="C86">
        <v>2</v>
      </c>
      <c r="D86">
        <v>0</v>
      </c>
      <c r="E86">
        <v>3</v>
      </c>
      <c r="F86">
        <v>0</v>
      </c>
      <c r="G86">
        <v>6</v>
      </c>
      <c r="H86">
        <v>0</v>
      </c>
      <c r="I86">
        <v>1</v>
      </c>
      <c r="J86">
        <v>0.26583299999999999</v>
      </c>
      <c r="K86">
        <v>0.25757099999999999</v>
      </c>
      <c r="L86">
        <v>0.39416699999999999</v>
      </c>
      <c r="M86">
        <v>0.20957100000000001</v>
      </c>
      <c r="N86">
        <v>981</v>
      </c>
      <c r="O86">
        <v>1515</v>
      </c>
      <c r="P86">
        <v>2496</v>
      </c>
    </row>
    <row r="87" spans="1:16" x14ac:dyDescent="0.3">
      <c r="A87">
        <v>86</v>
      </c>
      <c r="B87" s="1">
        <v>40629</v>
      </c>
      <c r="C87">
        <v>2</v>
      </c>
      <c r="D87">
        <v>0</v>
      </c>
      <c r="E87">
        <v>3</v>
      </c>
      <c r="F87">
        <v>0</v>
      </c>
      <c r="G87">
        <v>0</v>
      </c>
      <c r="H87">
        <v>0</v>
      </c>
      <c r="I87">
        <v>2</v>
      </c>
      <c r="J87">
        <v>0.25304300000000002</v>
      </c>
      <c r="K87">
        <v>0.25033899999999998</v>
      </c>
      <c r="L87">
        <v>0.49391299999999999</v>
      </c>
      <c r="M87">
        <v>0.18429999999999999</v>
      </c>
      <c r="N87">
        <v>472</v>
      </c>
      <c r="O87">
        <v>1221</v>
      </c>
      <c r="P87">
        <v>1693</v>
      </c>
    </row>
    <row r="88" spans="1:16" x14ac:dyDescent="0.3">
      <c r="A88">
        <v>87</v>
      </c>
      <c r="B88" s="1">
        <v>40630</v>
      </c>
      <c r="C88">
        <v>2</v>
      </c>
      <c r="D88">
        <v>0</v>
      </c>
      <c r="E88">
        <v>3</v>
      </c>
      <c r="F88">
        <v>0</v>
      </c>
      <c r="G88">
        <v>1</v>
      </c>
      <c r="H88">
        <v>1</v>
      </c>
      <c r="I88">
        <v>1</v>
      </c>
      <c r="J88">
        <v>0.26434800000000003</v>
      </c>
      <c r="K88">
        <v>0.25757400000000003</v>
      </c>
      <c r="L88">
        <v>0.302174</v>
      </c>
      <c r="M88">
        <v>0.212204</v>
      </c>
      <c r="N88">
        <v>222</v>
      </c>
      <c r="O88">
        <v>1806</v>
      </c>
      <c r="P88">
        <v>2028</v>
      </c>
    </row>
    <row r="89" spans="1:16" x14ac:dyDescent="0.3">
      <c r="A89">
        <v>88</v>
      </c>
      <c r="B89" s="1">
        <v>40631</v>
      </c>
      <c r="C89">
        <v>2</v>
      </c>
      <c r="D89">
        <v>0</v>
      </c>
      <c r="E89">
        <v>3</v>
      </c>
      <c r="F89">
        <v>0</v>
      </c>
      <c r="G89">
        <v>2</v>
      </c>
      <c r="H89">
        <v>1</v>
      </c>
      <c r="I89">
        <v>1</v>
      </c>
      <c r="J89">
        <v>0.30249999999999999</v>
      </c>
      <c r="K89">
        <v>0.292908</v>
      </c>
      <c r="L89">
        <v>0.31416699999999997</v>
      </c>
      <c r="M89">
        <v>0.226996</v>
      </c>
      <c r="N89">
        <v>317</v>
      </c>
      <c r="O89">
        <v>2108</v>
      </c>
      <c r="P89">
        <v>2425</v>
      </c>
    </row>
    <row r="90" spans="1:16" x14ac:dyDescent="0.3">
      <c r="A90">
        <v>89</v>
      </c>
      <c r="B90" s="1">
        <v>40632</v>
      </c>
      <c r="C90">
        <v>2</v>
      </c>
      <c r="D90">
        <v>0</v>
      </c>
      <c r="E90">
        <v>3</v>
      </c>
      <c r="F90">
        <v>0</v>
      </c>
      <c r="G90">
        <v>3</v>
      </c>
      <c r="H90">
        <v>1</v>
      </c>
      <c r="I90">
        <v>2</v>
      </c>
      <c r="J90">
        <v>0.3</v>
      </c>
      <c r="K90">
        <v>0.29735</v>
      </c>
      <c r="L90">
        <v>0.64666699999999999</v>
      </c>
      <c r="M90">
        <v>0.17288799999999999</v>
      </c>
      <c r="N90">
        <v>168</v>
      </c>
      <c r="O90">
        <v>1368</v>
      </c>
      <c r="P90">
        <v>1536</v>
      </c>
    </row>
    <row r="91" spans="1:16" x14ac:dyDescent="0.3">
      <c r="A91">
        <v>90</v>
      </c>
      <c r="B91" s="1">
        <v>40633</v>
      </c>
      <c r="C91">
        <v>2</v>
      </c>
      <c r="D91">
        <v>0</v>
      </c>
      <c r="E91">
        <v>3</v>
      </c>
      <c r="F91">
        <v>0</v>
      </c>
      <c r="G91">
        <v>4</v>
      </c>
      <c r="H91">
        <v>1</v>
      </c>
      <c r="I91">
        <v>3</v>
      </c>
      <c r="J91">
        <v>0.26833299999999999</v>
      </c>
      <c r="K91">
        <v>0.257575</v>
      </c>
      <c r="L91">
        <v>0.91833299999999995</v>
      </c>
      <c r="M91">
        <v>0.21764600000000001</v>
      </c>
      <c r="N91">
        <v>179</v>
      </c>
      <c r="O91">
        <v>1506</v>
      </c>
      <c r="P91">
        <v>1685</v>
      </c>
    </row>
    <row r="92" spans="1:16" x14ac:dyDescent="0.3">
      <c r="A92">
        <v>91</v>
      </c>
      <c r="B92" s="1">
        <v>40634</v>
      </c>
      <c r="C92">
        <v>2</v>
      </c>
      <c r="D92">
        <v>0</v>
      </c>
      <c r="E92">
        <v>4</v>
      </c>
      <c r="F92">
        <v>0</v>
      </c>
      <c r="G92">
        <v>5</v>
      </c>
      <c r="H92">
        <v>1</v>
      </c>
      <c r="I92">
        <v>2</v>
      </c>
      <c r="J92">
        <v>0.3</v>
      </c>
      <c r="K92">
        <v>0.28345399999999998</v>
      </c>
      <c r="L92">
        <v>0.68625000000000003</v>
      </c>
      <c r="M92">
        <v>0.25870799999999999</v>
      </c>
      <c r="N92">
        <v>307</v>
      </c>
      <c r="O92">
        <v>1920</v>
      </c>
      <c r="P92">
        <v>2227</v>
      </c>
    </row>
    <row r="93" spans="1:16" x14ac:dyDescent="0.3">
      <c r="A93">
        <v>92</v>
      </c>
      <c r="B93" s="1">
        <v>40635</v>
      </c>
      <c r="C93">
        <v>2</v>
      </c>
      <c r="D93">
        <v>0</v>
      </c>
      <c r="E93">
        <v>4</v>
      </c>
      <c r="F93">
        <v>0</v>
      </c>
      <c r="G93">
        <v>6</v>
      </c>
      <c r="H93">
        <v>0</v>
      </c>
      <c r="I93">
        <v>2</v>
      </c>
      <c r="J93">
        <v>0.315</v>
      </c>
      <c r="K93">
        <v>0.315637</v>
      </c>
      <c r="L93">
        <v>0.65375000000000005</v>
      </c>
      <c r="M93">
        <v>0.19714599999999999</v>
      </c>
      <c r="N93">
        <v>898</v>
      </c>
      <c r="O93">
        <v>1354</v>
      </c>
      <c r="P93">
        <v>2252</v>
      </c>
    </row>
    <row r="94" spans="1:16" x14ac:dyDescent="0.3">
      <c r="A94">
        <v>93</v>
      </c>
      <c r="B94" s="1">
        <v>40636</v>
      </c>
      <c r="C94">
        <v>2</v>
      </c>
      <c r="D94">
        <v>0</v>
      </c>
      <c r="E94">
        <v>4</v>
      </c>
      <c r="F94">
        <v>0</v>
      </c>
      <c r="G94">
        <v>0</v>
      </c>
      <c r="H94">
        <v>0</v>
      </c>
      <c r="I94">
        <v>1</v>
      </c>
      <c r="J94">
        <v>0.37833299999999997</v>
      </c>
      <c r="K94">
        <v>0.37876700000000002</v>
      </c>
      <c r="L94">
        <v>0.48</v>
      </c>
      <c r="M94">
        <v>0.18221300000000001</v>
      </c>
      <c r="N94">
        <v>1651</v>
      </c>
      <c r="O94">
        <v>1598</v>
      </c>
      <c r="P94">
        <v>3249</v>
      </c>
    </row>
    <row r="95" spans="1:16" x14ac:dyDescent="0.3">
      <c r="A95">
        <v>94</v>
      </c>
      <c r="B95" s="1">
        <v>40637</v>
      </c>
      <c r="C95">
        <v>2</v>
      </c>
      <c r="D95">
        <v>0</v>
      </c>
      <c r="E95">
        <v>4</v>
      </c>
      <c r="F95">
        <v>0</v>
      </c>
      <c r="G95">
        <v>1</v>
      </c>
      <c r="H95">
        <v>1</v>
      </c>
      <c r="I95">
        <v>1</v>
      </c>
      <c r="J95">
        <v>0.57333299999999998</v>
      </c>
      <c r="K95">
        <v>0.54292899999999999</v>
      </c>
      <c r="L95">
        <v>0.42625000000000002</v>
      </c>
      <c r="M95">
        <v>0.385571</v>
      </c>
      <c r="N95">
        <v>734</v>
      </c>
      <c r="O95">
        <v>2381</v>
      </c>
      <c r="P95">
        <v>3115</v>
      </c>
    </row>
    <row r="96" spans="1:16" x14ac:dyDescent="0.3">
      <c r="A96">
        <v>95</v>
      </c>
      <c r="B96" s="1">
        <v>40638</v>
      </c>
      <c r="C96">
        <v>2</v>
      </c>
      <c r="D96">
        <v>0</v>
      </c>
      <c r="E96">
        <v>4</v>
      </c>
      <c r="F96">
        <v>0</v>
      </c>
      <c r="G96">
        <v>2</v>
      </c>
      <c r="H96">
        <v>1</v>
      </c>
      <c r="I96">
        <v>2</v>
      </c>
      <c r="J96">
        <v>0.41416700000000001</v>
      </c>
      <c r="K96">
        <v>0.39834999999999998</v>
      </c>
      <c r="L96">
        <v>0.64208299999999996</v>
      </c>
      <c r="M96">
        <v>0.388067</v>
      </c>
      <c r="N96">
        <v>167</v>
      </c>
      <c r="O96">
        <v>1628</v>
      </c>
      <c r="P96">
        <v>1795</v>
      </c>
    </row>
    <row r="97" spans="1:16" x14ac:dyDescent="0.3">
      <c r="A97">
        <v>96</v>
      </c>
      <c r="B97" s="1">
        <v>40639</v>
      </c>
      <c r="C97">
        <v>2</v>
      </c>
      <c r="D97">
        <v>0</v>
      </c>
      <c r="E97">
        <v>4</v>
      </c>
      <c r="F97">
        <v>0</v>
      </c>
      <c r="G97">
        <v>3</v>
      </c>
      <c r="H97">
        <v>1</v>
      </c>
      <c r="I97">
        <v>1</v>
      </c>
      <c r="J97">
        <v>0.39083299999999999</v>
      </c>
      <c r="K97">
        <v>0.38760800000000001</v>
      </c>
      <c r="L97">
        <v>0.470833</v>
      </c>
      <c r="M97">
        <v>0.26306299999999999</v>
      </c>
      <c r="N97">
        <v>413</v>
      </c>
      <c r="O97">
        <v>2395</v>
      </c>
      <c r="P97">
        <v>2808</v>
      </c>
    </row>
    <row r="98" spans="1:16" x14ac:dyDescent="0.3">
      <c r="A98">
        <v>97</v>
      </c>
      <c r="B98" s="1">
        <v>40640</v>
      </c>
      <c r="C98">
        <v>2</v>
      </c>
      <c r="D98">
        <v>0</v>
      </c>
      <c r="E98">
        <v>4</v>
      </c>
      <c r="F98">
        <v>0</v>
      </c>
      <c r="G98">
        <v>4</v>
      </c>
      <c r="H98">
        <v>1</v>
      </c>
      <c r="I98">
        <v>1</v>
      </c>
      <c r="J98">
        <v>0.4375</v>
      </c>
      <c r="K98">
        <v>0.43369600000000003</v>
      </c>
      <c r="L98">
        <v>0.60291700000000004</v>
      </c>
      <c r="M98">
        <v>0.16231200000000001</v>
      </c>
      <c r="N98">
        <v>571</v>
      </c>
      <c r="O98">
        <v>2570</v>
      </c>
      <c r="P98">
        <v>3141</v>
      </c>
    </row>
    <row r="99" spans="1:16" x14ac:dyDescent="0.3">
      <c r="A99">
        <v>98</v>
      </c>
      <c r="B99" s="1">
        <v>40641</v>
      </c>
      <c r="C99">
        <v>2</v>
      </c>
      <c r="D99">
        <v>0</v>
      </c>
      <c r="E99">
        <v>4</v>
      </c>
      <c r="F99">
        <v>0</v>
      </c>
      <c r="G99">
        <v>5</v>
      </c>
      <c r="H99">
        <v>1</v>
      </c>
      <c r="I99">
        <v>2</v>
      </c>
      <c r="J99">
        <v>0.33583299999999999</v>
      </c>
      <c r="K99">
        <v>0.32447900000000002</v>
      </c>
      <c r="L99">
        <v>0.83625000000000005</v>
      </c>
      <c r="M99">
        <v>0.226992</v>
      </c>
      <c r="N99">
        <v>172</v>
      </c>
      <c r="O99">
        <v>1299</v>
      </c>
      <c r="P99">
        <v>1471</v>
      </c>
    </row>
    <row r="100" spans="1:16" x14ac:dyDescent="0.3">
      <c r="A100">
        <v>99</v>
      </c>
      <c r="B100" s="1">
        <v>40642</v>
      </c>
      <c r="C100">
        <v>2</v>
      </c>
      <c r="D100">
        <v>0</v>
      </c>
      <c r="E100">
        <v>4</v>
      </c>
      <c r="F100">
        <v>0</v>
      </c>
      <c r="G100">
        <v>6</v>
      </c>
      <c r="H100">
        <v>0</v>
      </c>
      <c r="I100">
        <v>2</v>
      </c>
      <c r="J100">
        <v>0.34250000000000003</v>
      </c>
      <c r="K100">
        <v>0.34152900000000003</v>
      </c>
      <c r="L100">
        <v>0.87749999999999995</v>
      </c>
      <c r="M100">
        <v>0.13308300000000001</v>
      </c>
      <c r="N100">
        <v>879</v>
      </c>
      <c r="O100">
        <v>1576</v>
      </c>
      <c r="P100">
        <v>2455</v>
      </c>
    </row>
    <row r="101" spans="1:16" x14ac:dyDescent="0.3">
      <c r="A101">
        <v>100</v>
      </c>
      <c r="B101" s="1">
        <v>40643</v>
      </c>
      <c r="C101">
        <v>2</v>
      </c>
      <c r="D101">
        <v>0</v>
      </c>
      <c r="E101">
        <v>4</v>
      </c>
      <c r="F101">
        <v>0</v>
      </c>
      <c r="G101">
        <v>0</v>
      </c>
      <c r="H101">
        <v>0</v>
      </c>
      <c r="I101">
        <v>2</v>
      </c>
      <c r="J101">
        <v>0.42666700000000002</v>
      </c>
      <c r="K101">
        <v>0.42673699999999998</v>
      </c>
      <c r="L101">
        <v>0.85750000000000004</v>
      </c>
      <c r="M101">
        <v>0.14676700000000001</v>
      </c>
      <c r="N101">
        <v>1188</v>
      </c>
      <c r="O101">
        <v>1707</v>
      </c>
      <c r="P101">
        <v>2895</v>
      </c>
    </row>
    <row r="102" spans="1:16" x14ac:dyDescent="0.3">
      <c r="A102">
        <v>101</v>
      </c>
      <c r="B102" s="1">
        <v>40644</v>
      </c>
      <c r="C102">
        <v>2</v>
      </c>
      <c r="D102">
        <v>0</v>
      </c>
      <c r="E102">
        <v>4</v>
      </c>
      <c r="F102">
        <v>0</v>
      </c>
      <c r="G102">
        <v>1</v>
      </c>
      <c r="H102">
        <v>1</v>
      </c>
      <c r="I102">
        <v>2</v>
      </c>
      <c r="J102">
        <v>0.59565199999999996</v>
      </c>
      <c r="K102">
        <v>0.56521699999999997</v>
      </c>
      <c r="L102">
        <v>0.71695600000000004</v>
      </c>
      <c r="M102">
        <v>0.32447399999999998</v>
      </c>
      <c r="N102">
        <v>855</v>
      </c>
      <c r="O102">
        <v>2493</v>
      </c>
      <c r="P102">
        <v>3348</v>
      </c>
    </row>
    <row r="103" spans="1:16" x14ac:dyDescent="0.3">
      <c r="A103">
        <v>102</v>
      </c>
      <c r="B103" s="1">
        <v>40645</v>
      </c>
      <c r="C103">
        <v>2</v>
      </c>
      <c r="D103">
        <v>0</v>
      </c>
      <c r="E103">
        <v>4</v>
      </c>
      <c r="F103">
        <v>0</v>
      </c>
      <c r="G103">
        <v>2</v>
      </c>
      <c r="H103">
        <v>1</v>
      </c>
      <c r="I103">
        <v>2</v>
      </c>
      <c r="J103">
        <v>0.50249999999999995</v>
      </c>
      <c r="K103">
        <v>0.49305399999999999</v>
      </c>
      <c r="L103">
        <v>0.73916700000000002</v>
      </c>
      <c r="M103">
        <v>0.27487899999999998</v>
      </c>
      <c r="N103">
        <v>257</v>
      </c>
      <c r="O103">
        <v>1777</v>
      </c>
      <c r="P103">
        <v>2034</v>
      </c>
    </row>
    <row r="104" spans="1:16" x14ac:dyDescent="0.3">
      <c r="A104">
        <v>103</v>
      </c>
      <c r="B104" s="1">
        <v>40646</v>
      </c>
      <c r="C104">
        <v>2</v>
      </c>
      <c r="D104">
        <v>0</v>
      </c>
      <c r="E104">
        <v>4</v>
      </c>
      <c r="F104">
        <v>0</v>
      </c>
      <c r="G104">
        <v>3</v>
      </c>
      <c r="H104">
        <v>1</v>
      </c>
      <c r="I104">
        <v>2</v>
      </c>
      <c r="J104">
        <v>0.41249999999999998</v>
      </c>
      <c r="K104">
        <v>0.41728300000000002</v>
      </c>
      <c r="L104">
        <v>0.81916699999999998</v>
      </c>
      <c r="M104">
        <v>0.25061699999999998</v>
      </c>
      <c r="N104">
        <v>209</v>
      </c>
      <c r="O104">
        <v>1953</v>
      </c>
      <c r="P104">
        <v>2162</v>
      </c>
    </row>
    <row r="105" spans="1:16" x14ac:dyDescent="0.3">
      <c r="A105">
        <v>104</v>
      </c>
      <c r="B105" s="1">
        <v>40647</v>
      </c>
      <c r="C105">
        <v>2</v>
      </c>
      <c r="D105">
        <v>0</v>
      </c>
      <c r="E105">
        <v>4</v>
      </c>
      <c r="F105">
        <v>0</v>
      </c>
      <c r="G105">
        <v>4</v>
      </c>
      <c r="H105">
        <v>1</v>
      </c>
      <c r="I105">
        <v>1</v>
      </c>
      <c r="J105">
        <v>0.46750000000000003</v>
      </c>
      <c r="K105">
        <v>0.46274199999999999</v>
      </c>
      <c r="L105">
        <v>0.54041700000000004</v>
      </c>
      <c r="M105">
        <v>0.11070000000000001</v>
      </c>
      <c r="N105">
        <v>529</v>
      </c>
      <c r="O105">
        <v>2738</v>
      </c>
      <c r="P105">
        <v>3267</v>
      </c>
    </row>
    <row r="106" spans="1:16" x14ac:dyDescent="0.3">
      <c r="A106">
        <v>105</v>
      </c>
      <c r="B106" s="1">
        <v>40648</v>
      </c>
      <c r="C106">
        <v>2</v>
      </c>
      <c r="D106">
        <v>0</v>
      </c>
      <c r="E106">
        <v>4</v>
      </c>
      <c r="F106">
        <v>1</v>
      </c>
      <c r="G106">
        <v>5</v>
      </c>
      <c r="H106">
        <v>0</v>
      </c>
      <c r="I106">
        <v>1</v>
      </c>
      <c r="J106">
        <v>0.44666699999999998</v>
      </c>
      <c r="K106">
        <v>0.441913</v>
      </c>
      <c r="L106">
        <v>0.67125000000000001</v>
      </c>
      <c r="M106">
        <v>0.22637499999999999</v>
      </c>
      <c r="N106">
        <v>642</v>
      </c>
      <c r="O106">
        <v>2484</v>
      </c>
      <c r="P106">
        <v>3126</v>
      </c>
    </row>
    <row r="107" spans="1:16" x14ac:dyDescent="0.3">
      <c r="A107">
        <v>106</v>
      </c>
      <c r="B107" s="1">
        <v>40649</v>
      </c>
      <c r="C107">
        <v>2</v>
      </c>
      <c r="D107">
        <v>0</v>
      </c>
      <c r="E107">
        <v>4</v>
      </c>
      <c r="F107">
        <v>0</v>
      </c>
      <c r="G107">
        <v>6</v>
      </c>
      <c r="H107">
        <v>0</v>
      </c>
      <c r="I107">
        <v>3</v>
      </c>
      <c r="J107">
        <v>0.43083300000000002</v>
      </c>
      <c r="K107">
        <v>0.42549199999999998</v>
      </c>
      <c r="L107">
        <v>0.88833300000000004</v>
      </c>
      <c r="M107">
        <v>0.340808</v>
      </c>
      <c r="N107">
        <v>121</v>
      </c>
      <c r="O107">
        <v>674</v>
      </c>
      <c r="P107">
        <v>795</v>
      </c>
    </row>
    <row r="108" spans="1:16" x14ac:dyDescent="0.3">
      <c r="A108">
        <v>107</v>
      </c>
      <c r="B108" s="1">
        <v>40650</v>
      </c>
      <c r="C108">
        <v>2</v>
      </c>
      <c r="D108">
        <v>0</v>
      </c>
      <c r="E108">
        <v>4</v>
      </c>
      <c r="F108">
        <v>0</v>
      </c>
      <c r="G108">
        <v>0</v>
      </c>
      <c r="H108">
        <v>0</v>
      </c>
      <c r="I108">
        <v>1</v>
      </c>
      <c r="J108">
        <v>0.45666699999999999</v>
      </c>
      <c r="K108">
        <v>0.44569599999999998</v>
      </c>
      <c r="L108">
        <v>0.47958299999999998</v>
      </c>
      <c r="M108">
        <v>0.30349599999999999</v>
      </c>
      <c r="N108">
        <v>1558</v>
      </c>
      <c r="O108">
        <v>2186</v>
      </c>
      <c r="P108">
        <v>3744</v>
      </c>
    </row>
    <row r="109" spans="1:16" x14ac:dyDescent="0.3">
      <c r="A109">
        <v>108</v>
      </c>
      <c r="B109" s="1">
        <v>40651</v>
      </c>
      <c r="C109">
        <v>2</v>
      </c>
      <c r="D109">
        <v>0</v>
      </c>
      <c r="E109">
        <v>4</v>
      </c>
      <c r="F109">
        <v>0</v>
      </c>
      <c r="G109">
        <v>1</v>
      </c>
      <c r="H109">
        <v>1</v>
      </c>
      <c r="I109">
        <v>1</v>
      </c>
      <c r="J109">
        <v>0.51249999999999996</v>
      </c>
      <c r="K109">
        <v>0.50314599999999998</v>
      </c>
      <c r="L109">
        <v>0.54249999999999998</v>
      </c>
      <c r="M109">
        <v>0.16356699999999999</v>
      </c>
      <c r="N109">
        <v>669</v>
      </c>
      <c r="O109">
        <v>2760</v>
      </c>
      <c r="P109">
        <v>3429</v>
      </c>
    </row>
    <row r="110" spans="1:16" x14ac:dyDescent="0.3">
      <c r="A110">
        <v>109</v>
      </c>
      <c r="B110" s="1">
        <v>40652</v>
      </c>
      <c r="C110">
        <v>2</v>
      </c>
      <c r="D110">
        <v>0</v>
      </c>
      <c r="E110">
        <v>4</v>
      </c>
      <c r="F110">
        <v>0</v>
      </c>
      <c r="G110">
        <v>2</v>
      </c>
      <c r="H110">
        <v>1</v>
      </c>
      <c r="I110">
        <v>2</v>
      </c>
      <c r="J110">
        <v>0.50583299999999998</v>
      </c>
      <c r="K110">
        <v>0.48925800000000003</v>
      </c>
      <c r="L110">
        <v>0.66583300000000001</v>
      </c>
      <c r="M110">
        <v>0.157971</v>
      </c>
      <c r="N110">
        <v>409</v>
      </c>
      <c r="O110">
        <v>2795</v>
      </c>
      <c r="P110">
        <v>3204</v>
      </c>
    </row>
    <row r="111" spans="1:16" x14ac:dyDescent="0.3">
      <c r="A111">
        <v>110</v>
      </c>
      <c r="B111" s="1">
        <v>40653</v>
      </c>
      <c r="C111">
        <v>2</v>
      </c>
      <c r="D111">
        <v>0</v>
      </c>
      <c r="E111">
        <v>4</v>
      </c>
      <c r="F111">
        <v>0</v>
      </c>
      <c r="G111">
        <v>3</v>
      </c>
      <c r="H111">
        <v>1</v>
      </c>
      <c r="I111">
        <v>1</v>
      </c>
      <c r="J111">
        <v>0.59499999999999997</v>
      </c>
      <c r="K111">
        <v>0.564392</v>
      </c>
      <c r="L111">
        <v>0.61416700000000002</v>
      </c>
      <c r="M111">
        <v>0.241925</v>
      </c>
      <c r="N111">
        <v>613</v>
      </c>
      <c r="O111">
        <v>3331</v>
      </c>
      <c r="P111">
        <v>3944</v>
      </c>
    </row>
    <row r="112" spans="1:16" x14ac:dyDescent="0.3">
      <c r="A112">
        <v>111</v>
      </c>
      <c r="B112" s="1">
        <v>40654</v>
      </c>
      <c r="C112">
        <v>2</v>
      </c>
      <c r="D112">
        <v>0</v>
      </c>
      <c r="E112">
        <v>4</v>
      </c>
      <c r="F112">
        <v>0</v>
      </c>
      <c r="G112">
        <v>4</v>
      </c>
      <c r="H112">
        <v>1</v>
      </c>
      <c r="I112">
        <v>1</v>
      </c>
      <c r="J112">
        <v>0.45916699999999999</v>
      </c>
      <c r="K112">
        <v>0.45389200000000002</v>
      </c>
      <c r="L112">
        <v>0.40708299999999997</v>
      </c>
      <c r="M112">
        <v>0.32525799999999999</v>
      </c>
      <c r="N112">
        <v>745</v>
      </c>
      <c r="O112">
        <v>3444</v>
      </c>
      <c r="P112">
        <v>4189</v>
      </c>
    </row>
    <row r="113" spans="1:16" x14ac:dyDescent="0.3">
      <c r="A113">
        <v>112</v>
      </c>
      <c r="B113" s="1">
        <v>40655</v>
      </c>
      <c r="C113">
        <v>2</v>
      </c>
      <c r="D113">
        <v>0</v>
      </c>
      <c r="E113">
        <v>4</v>
      </c>
      <c r="F113">
        <v>0</v>
      </c>
      <c r="G113">
        <v>5</v>
      </c>
      <c r="H113">
        <v>1</v>
      </c>
      <c r="I113">
        <v>2</v>
      </c>
      <c r="J113">
        <v>0.33666699999999999</v>
      </c>
      <c r="K113">
        <v>0.32195400000000002</v>
      </c>
      <c r="L113">
        <v>0.72958299999999998</v>
      </c>
      <c r="M113">
        <v>0.21952099999999999</v>
      </c>
      <c r="N113">
        <v>177</v>
      </c>
      <c r="O113">
        <v>1506</v>
      </c>
      <c r="P113">
        <v>1683</v>
      </c>
    </row>
    <row r="114" spans="1:16" x14ac:dyDescent="0.3">
      <c r="A114">
        <v>113</v>
      </c>
      <c r="B114" s="1">
        <v>40656</v>
      </c>
      <c r="C114">
        <v>2</v>
      </c>
      <c r="D114">
        <v>0</v>
      </c>
      <c r="E114">
        <v>4</v>
      </c>
      <c r="F114">
        <v>0</v>
      </c>
      <c r="G114">
        <v>6</v>
      </c>
      <c r="H114">
        <v>0</v>
      </c>
      <c r="I114">
        <v>2</v>
      </c>
      <c r="J114">
        <v>0.46</v>
      </c>
      <c r="K114">
        <v>0.45012099999999999</v>
      </c>
      <c r="L114">
        <v>0.88791699999999996</v>
      </c>
      <c r="M114">
        <v>0.23072500000000001</v>
      </c>
      <c r="N114">
        <v>1462</v>
      </c>
      <c r="O114">
        <v>2574</v>
      </c>
      <c r="P114">
        <v>4036</v>
      </c>
    </row>
    <row r="115" spans="1:16" x14ac:dyDescent="0.3">
      <c r="A115">
        <v>114</v>
      </c>
      <c r="B115" s="1">
        <v>40657</v>
      </c>
      <c r="C115">
        <v>2</v>
      </c>
      <c r="D115">
        <v>0</v>
      </c>
      <c r="E115">
        <v>4</v>
      </c>
      <c r="F115">
        <v>0</v>
      </c>
      <c r="G115">
        <v>0</v>
      </c>
      <c r="H115">
        <v>0</v>
      </c>
      <c r="I115">
        <v>2</v>
      </c>
      <c r="J115">
        <v>0.58166700000000005</v>
      </c>
      <c r="K115">
        <v>0.551763</v>
      </c>
      <c r="L115">
        <v>0.81083300000000003</v>
      </c>
      <c r="M115">
        <v>0.19217500000000001</v>
      </c>
      <c r="N115">
        <v>1710</v>
      </c>
      <c r="O115">
        <v>2481</v>
      </c>
      <c r="P115">
        <v>4191</v>
      </c>
    </row>
    <row r="116" spans="1:16" x14ac:dyDescent="0.3">
      <c r="A116">
        <v>115</v>
      </c>
      <c r="B116" s="1">
        <v>40658</v>
      </c>
      <c r="C116">
        <v>2</v>
      </c>
      <c r="D116">
        <v>0</v>
      </c>
      <c r="E116">
        <v>4</v>
      </c>
      <c r="F116">
        <v>0</v>
      </c>
      <c r="G116">
        <v>1</v>
      </c>
      <c r="H116">
        <v>1</v>
      </c>
      <c r="I116">
        <v>1</v>
      </c>
      <c r="J116">
        <v>0.60666699999999996</v>
      </c>
      <c r="K116">
        <v>0.57450000000000001</v>
      </c>
      <c r="L116">
        <v>0.776667</v>
      </c>
      <c r="M116">
        <v>0.185333</v>
      </c>
      <c r="N116">
        <v>773</v>
      </c>
      <c r="O116">
        <v>3300</v>
      </c>
      <c r="P116">
        <v>4073</v>
      </c>
    </row>
    <row r="117" spans="1:16" x14ac:dyDescent="0.3">
      <c r="A117">
        <v>116</v>
      </c>
      <c r="B117" s="1">
        <v>40659</v>
      </c>
      <c r="C117">
        <v>2</v>
      </c>
      <c r="D117">
        <v>0</v>
      </c>
      <c r="E117">
        <v>4</v>
      </c>
      <c r="F117">
        <v>0</v>
      </c>
      <c r="G117">
        <v>2</v>
      </c>
      <c r="H117">
        <v>1</v>
      </c>
      <c r="I117">
        <v>1</v>
      </c>
      <c r="J117">
        <v>0.63166699999999998</v>
      </c>
      <c r="K117">
        <v>0.59408300000000003</v>
      </c>
      <c r="L117">
        <v>0.72916700000000001</v>
      </c>
      <c r="M117">
        <v>0.32650000000000001</v>
      </c>
      <c r="N117">
        <v>678</v>
      </c>
      <c r="O117">
        <v>3722</v>
      </c>
      <c r="P117">
        <v>4400</v>
      </c>
    </row>
    <row r="118" spans="1:16" x14ac:dyDescent="0.3">
      <c r="A118">
        <v>117</v>
      </c>
      <c r="B118" s="1">
        <v>40660</v>
      </c>
      <c r="C118">
        <v>2</v>
      </c>
      <c r="D118">
        <v>0</v>
      </c>
      <c r="E118">
        <v>4</v>
      </c>
      <c r="F118">
        <v>0</v>
      </c>
      <c r="G118">
        <v>3</v>
      </c>
      <c r="H118">
        <v>1</v>
      </c>
      <c r="I118">
        <v>2</v>
      </c>
      <c r="J118">
        <v>0.62</v>
      </c>
      <c r="K118">
        <v>0.57514200000000004</v>
      </c>
      <c r="L118">
        <v>0.83541699999999997</v>
      </c>
      <c r="M118">
        <v>0.31219999999999998</v>
      </c>
      <c r="N118">
        <v>547</v>
      </c>
      <c r="O118">
        <v>3325</v>
      </c>
      <c r="P118">
        <v>3872</v>
      </c>
    </row>
    <row r="119" spans="1:16" x14ac:dyDescent="0.3">
      <c r="A119">
        <v>118</v>
      </c>
      <c r="B119" s="1">
        <v>40661</v>
      </c>
      <c r="C119">
        <v>2</v>
      </c>
      <c r="D119">
        <v>0</v>
      </c>
      <c r="E119">
        <v>4</v>
      </c>
      <c r="F119">
        <v>0</v>
      </c>
      <c r="G119">
        <v>4</v>
      </c>
      <c r="H119">
        <v>1</v>
      </c>
      <c r="I119">
        <v>2</v>
      </c>
      <c r="J119">
        <v>0.61750000000000005</v>
      </c>
      <c r="K119">
        <v>0.57892900000000003</v>
      </c>
      <c r="L119">
        <v>0.70083300000000004</v>
      </c>
      <c r="M119">
        <v>0.32090800000000003</v>
      </c>
      <c r="N119">
        <v>569</v>
      </c>
      <c r="O119">
        <v>3489</v>
      </c>
      <c r="P119">
        <v>4058</v>
      </c>
    </row>
    <row r="120" spans="1:16" x14ac:dyDescent="0.3">
      <c r="A120">
        <v>119</v>
      </c>
      <c r="B120" s="1">
        <v>40662</v>
      </c>
      <c r="C120">
        <v>2</v>
      </c>
      <c r="D120">
        <v>0</v>
      </c>
      <c r="E120">
        <v>4</v>
      </c>
      <c r="F120">
        <v>0</v>
      </c>
      <c r="G120">
        <v>5</v>
      </c>
      <c r="H120">
        <v>1</v>
      </c>
      <c r="I120">
        <v>1</v>
      </c>
      <c r="J120">
        <v>0.51</v>
      </c>
      <c r="K120">
        <v>0.49746299999999999</v>
      </c>
      <c r="L120">
        <v>0.45708300000000002</v>
      </c>
      <c r="M120">
        <v>0.240063</v>
      </c>
      <c r="N120">
        <v>878</v>
      </c>
      <c r="O120">
        <v>3717</v>
      </c>
      <c r="P120">
        <v>4595</v>
      </c>
    </row>
    <row r="121" spans="1:16" x14ac:dyDescent="0.3">
      <c r="A121">
        <v>120</v>
      </c>
      <c r="B121" s="1">
        <v>40663</v>
      </c>
      <c r="C121">
        <v>2</v>
      </c>
      <c r="D121">
        <v>0</v>
      </c>
      <c r="E121">
        <v>4</v>
      </c>
      <c r="F121">
        <v>0</v>
      </c>
      <c r="G121">
        <v>6</v>
      </c>
      <c r="H121">
        <v>0</v>
      </c>
      <c r="I121">
        <v>1</v>
      </c>
      <c r="J121">
        <v>0.47249999999999998</v>
      </c>
      <c r="K121">
        <v>0.46402100000000002</v>
      </c>
      <c r="L121">
        <v>0.50333300000000003</v>
      </c>
      <c r="M121">
        <v>0.23507500000000001</v>
      </c>
      <c r="N121">
        <v>1965</v>
      </c>
      <c r="O121">
        <v>3347</v>
      </c>
      <c r="P121">
        <v>5312</v>
      </c>
    </row>
    <row r="122" spans="1:16" x14ac:dyDescent="0.3">
      <c r="A122">
        <v>121</v>
      </c>
      <c r="B122" s="1">
        <v>40664</v>
      </c>
      <c r="C122">
        <v>2</v>
      </c>
      <c r="D122">
        <v>0</v>
      </c>
      <c r="E122">
        <v>5</v>
      </c>
      <c r="F122">
        <v>0</v>
      </c>
      <c r="G122">
        <v>0</v>
      </c>
      <c r="H122">
        <v>0</v>
      </c>
      <c r="I122">
        <v>2</v>
      </c>
      <c r="J122">
        <v>0.45166699999999999</v>
      </c>
      <c r="K122">
        <v>0.44820399999999999</v>
      </c>
      <c r="L122">
        <v>0.76208299999999995</v>
      </c>
      <c r="M122">
        <v>0.106354</v>
      </c>
      <c r="N122">
        <v>1138</v>
      </c>
      <c r="O122">
        <v>2213</v>
      </c>
      <c r="P122">
        <v>3351</v>
      </c>
    </row>
    <row r="123" spans="1:16" x14ac:dyDescent="0.3">
      <c r="A123">
        <v>122</v>
      </c>
      <c r="B123" s="1">
        <v>40665</v>
      </c>
      <c r="C123">
        <v>2</v>
      </c>
      <c r="D123">
        <v>0</v>
      </c>
      <c r="E123">
        <v>5</v>
      </c>
      <c r="F123">
        <v>0</v>
      </c>
      <c r="G123">
        <v>1</v>
      </c>
      <c r="H123">
        <v>1</v>
      </c>
      <c r="I123">
        <v>2</v>
      </c>
      <c r="J123">
        <v>0.54916699999999996</v>
      </c>
      <c r="K123">
        <v>0.532833</v>
      </c>
      <c r="L123">
        <v>0.73</v>
      </c>
      <c r="M123">
        <v>0.18345400000000001</v>
      </c>
      <c r="N123">
        <v>847</v>
      </c>
      <c r="O123">
        <v>3554</v>
      </c>
      <c r="P123">
        <v>4401</v>
      </c>
    </row>
    <row r="124" spans="1:16" x14ac:dyDescent="0.3">
      <c r="A124">
        <v>123</v>
      </c>
      <c r="B124" s="1">
        <v>40666</v>
      </c>
      <c r="C124">
        <v>2</v>
      </c>
      <c r="D124">
        <v>0</v>
      </c>
      <c r="E124">
        <v>5</v>
      </c>
      <c r="F124">
        <v>0</v>
      </c>
      <c r="G124">
        <v>2</v>
      </c>
      <c r="H124">
        <v>1</v>
      </c>
      <c r="I124">
        <v>2</v>
      </c>
      <c r="J124">
        <v>0.61666699999999997</v>
      </c>
      <c r="K124">
        <v>0.58207900000000001</v>
      </c>
      <c r="L124">
        <v>0.69708300000000001</v>
      </c>
      <c r="M124">
        <v>0.342667</v>
      </c>
      <c r="N124">
        <v>603</v>
      </c>
      <c r="O124">
        <v>3848</v>
      </c>
      <c r="P124">
        <v>4451</v>
      </c>
    </row>
    <row r="125" spans="1:16" x14ac:dyDescent="0.3">
      <c r="A125">
        <v>124</v>
      </c>
      <c r="B125" s="1">
        <v>40667</v>
      </c>
      <c r="C125">
        <v>2</v>
      </c>
      <c r="D125">
        <v>0</v>
      </c>
      <c r="E125">
        <v>5</v>
      </c>
      <c r="F125">
        <v>0</v>
      </c>
      <c r="G125">
        <v>3</v>
      </c>
      <c r="H125">
        <v>1</v>
      </c>
      <c r="I125">
        <v>2</v>
      </c>
      <c r="J125">
        <v>0.41416700000000001</v>
      </c>
      <c r="K125">
        <v>0.40465000000000001</v>
      </c>
      <c r="L125">
        <v>0.73708300000000004</v>
      </c>
      <c r="M125">
        <v>0.32899600000000001</v>
      </c>
      <c r="N125">
        <v>255</v>
      </c>
      <c r="O125">
        <v>2378</v>
      </c>
      <c r="P125">
        <v>2633</v>
      </c>
    </row>
    <row r="126" spans="1:16" x14ac:dyDescent="0.3">
      <c r="A126">
        <v>125</v>
      </c>
      <c r="B126" s="1">
        <v>40668</v>
      </c>
      <c r="C126">
        <v>2</v>
      </c>
      <c r="D126">
        <v>0</v>
      </c>
      <c r="E126">
        <v>5</v>
      </c>
      <c r="F126">
        <v>0</v>
      </c>
      <c r="G126">
        <v>4</v>
      </c>
      <c r="H126">
        <v>1</v>
      </c>
      <c r="I126">
        <v>1</v>
      </c>
      <c r="J126">
        <v>0.45916699999999999</v>
      </c>
      <c r="K126">
        <v>0.441917</v>
      </c>
      <c r="L126">
        <v>0.44416699999999998</v>
      </c>
      <c r="M126">
        <v>0.29539199999999999</v>
      </c>
      <c r="N126">
        <v>614</v>
      </c>
      <c r="O126">
        <v>3819</v>
      </c>
      <c r="P126">
        <v>4433</v>
      </c>
    </row>
    <row r="127" spans="1:16" x14ac:dyDescent="0.3">
      <c r="A127">
        <v>126</v>
      </c>
      <c r="B127" s="1">
        <v>40669</v>
      </c>
      <c r="C127">
        <v>2</v>
      </c>
      <c r="D127">
        <v>0</v>
      </c>
      <c r="E127">
        <v>5</v>
      </c>
      <c r="F127">
        <v>0</v>
      </c>
      <c r="G127">
        <v>5</v>
      </c>
      <c r="H127">
        <v>1</v>
      </c>
      <c r="I127">
        <v>1</v>
      </c>
      <c r="J127">
        <v>0.47916700000000001</v>
      </c>
      <c r="K127">
        <v>0.47411700000000001</v>
      </c>
      <c r="L127">
        <v>0.59</v>
      </c>
      <c r="M127">
        <v>0.228246</v>
      </c>
      <c r="N127">
        <v>894</v>
      </c>
      <c r="O127">
        <v>3714</v>
      </c>
      <c r="P127">
        <v>4608</v>
      </c>
    </row>
    <row r="128" spans="1:16" x14ac:dyDescent="0.3">
      <c r="A128">
        <v>127</v>
      </c>
      <c r="B128" s="1">
        <v>40670</v>
      </c>
      <c r="C128">
        <v>2</v>
      </c>
      <c r="D128">
        <v>0</v>
      </c>
      <c r="E128">
        <v>5</v>
      </c>
      <c r="F128">
        <v>0</v>
      </c>
      <c r="G128">
        <v>6</v>
      </c>
      <c r="H128">
        <v>0</v>
      </c>
      <c r="I128">
        <v>1</v>
      </c>
      <c r="J128">
        <v>0.52</v>
      </c>
      <c r="K128">
        <v>0.51262099999999999</v>
      </c>
      <c r="L128">
        <v>0.54125000000000001</v>
      </c>
      <c r="M128">
        <v>0.16045000000000001</v>
      </c>
      <c r="N128">
        <v>1612</v>
      </c>
      <c r="O128">
        <v>3102</v>
      </c>
      <c r="P128">
        <v>4714</v>
      </c>
    </row>
    <row r="129" spans="1:16" x14ac:dyDescent="0.3">
      <c r="A129">
        <v>128</v>
      </c>
      <c r="B129" s="1">
        <v>40671</v>
      </c>
      <c r="C129">
        <v>2</v>
      </c>
      <c r="D129">
        <v>0</v>
      </c>
      <c r="E129">
        <v>5</v>
      </c>
      <c r="F129">
        <v>0</v>
      </c>
      <c r="G129">
        <v>0</v>
      </c>
      <c r="H129">
        <v>0</v>
      </c>
      <c r="I129">
        <v>1</v>
      </c>
      <c r="J129">
        <v>0.52833300000000005</v>
      </c>
      <c r="K129">
        <v>0.51893299999999998</v>
      </c>
      <c r="L129">
        <v>0.63166699999999998</v>
      </c>
      <c r="M129">
        <v>7.4637499999999996E-2</v>
      </c>
      <c r="N129">
        <v>1401</v>
      </c>
      <c r="O129">
        <v>2932</v>
      </c>
      <c r="P129">
        <v>4333</v>
      </c>
    </row>
    <row r="130" spans="1:16" x14ac:dyDescent="0.3">
      <c r="A130">
        <v>129</v>
      </c>
      <c r="B130" s="1">
        <v>40672</v>
      </c>
      <c r="C130">
        <v>2</v>
      </c>
      <c r="D130">
        <v>0</v>
      </c>
      <c r="E130">
        <v>5</v>
      </c>
      <c r="F130">
        <v>0</v>
      </c>
      <c r="G130">
        <v>1</v>
      </c>
      <c r="H130">
        <v>1</v>
      </c>
      <c r="I130">
        <v>1</v>
      </c>
      <c r="J130">
        <v>0.53249999999999997</v>
      </c>
      <c r="K130">
        <v>0.52524599999999999</v>
      </c>
      <c r="L130">
        <v>0.58875</v>
      </c>
      <c r="M130">
        <v>0.17599999999999999</v>
      </c>
      <c r="N130">
        <v>664</v>
      </c>
      <c r="O130">
        <v>3698</v>
      </c>
      <c r="P130">
        <v>4362</v>
      </c>
    </row>
    <row r="131" spans="1:16" x14ac:dyDescent="0.3">
      <c r="A131">
        <v>130</v>
      </c>
      <c r="B131" s="1">
        <v>40673</v>
      </c>
      <c r="C131">
        <v>2</v>
      </c>
      <c r="D131">
        <v>0</v>
      </c>
      <c r="E131">
        <v>5</v>
      </c>
      <c r="F131">
        <v>0</v>
      </c>
      <c r="G131">
        <v>2</v>
      </c>
      <c r="H131">
        <v>1</v>
      </c>
      <c r="I131">
        <v>1</v>
      </c>
      <c r="J131">
        <v>0.53249999999999997</v>
      </c>
      <c r="K131">
        <v>0.52272099999999999</v>
      </c>
      <c r="L131">
        <v>0.48916700000000002</v>
      </c>
      <c r="M131">
        <v>0.115671</v>
      </c>
      <c r="N131">
        <v>694</v>
      </c>
      <c r="O131">
        <v>4109</v>
      </c>
      <c r="P131">
        <v>4803</v>
      </c>
    </row>
    <row r="132" spans="1:16" x14ac:dyDescent="0.3">
      <c r="A132">
        <v>131</v>
      </c>
      <c r="B132" s="1">
        <v>40674</v>
      </c>
      <c r="C132">
        <v>2</v>
      </c>
      <c r="D132">
        <v>0</v>
      </c>
      <c r="E132">
        <v>5</v>
      </c>
      <c r="F132">
        <v>0</v>
      </c>
      <c r="G132">
        <v>3</v>
      </c>
      <c r="H132">
        <v>1</v>
      </c>
      <c r="I132">
        <v>1</v>
      </c>
      <c r="J132">
        <v>0.54249999999999998</v>
      </c>
      <c r="K132">
        <v>0.52839999999999998</v>
      </c>
      <c r="L132">
        <v>0.63291699999999995</v>
      </c>
      <c r="M132">
        <v>0.120642</v>
      </c>
      <c r="N132">
        <v>550</v>
      </c>
      <c r="O132">
        <v>3632</v>
      </c>
      <c r="P132">
        <v>4182</v>
      </c>
    </row>
    <row r="133" spans="1:16" x14ac:dyDescent="0.3">
      <c r="A133">
        <v>132</v>
      </c>
      <c r="B133" s="1">
        <v>40675</v>
      </c>
      <c r="C133">
        <v>2</v>
      </c>
      <c r="D133">
        <v>0</v>
      </c>
      <c r="E133">
        <v>5</v>
      </c>
      <c r="F133">
        <v>0</v>
      </c>
      <c r="G133">
        <v>4</v>
      </c>
      <c r="H133">
        <v>1</v>
      </c>
      <c r="I133">
        <v>1</v>
      </c>
      <c r="J133">
        <v>0.53500000000000003</v>
      </c>
      <c r="K133">
        <v>0.52336300000000002</v>
      </c>
      <c r="L133">
        <v>0.74750000000000005</v>
      </c>
      <c r="M133">
        <v>0.189667</v>
      </c>
      <c r="N133">
        <v>695</v>
      </c>
      <c r="O133">
        <v>4169</v>
      </c>
      <c r="P133">
        <v>4864</v>
      </c>
    </row>
    <row r="134" spans="1:16" x14ac:dyDescent="0.3">
      <c r="A134">
        <v>133</v>
      </c>
      <c r="B134" s="1">
        <v>40676</v>
      </c>
      <c r="C134">
        <v>2</v>
      </c>
      <c r="D134">
        <v>0</v>
      </c>
      <c r="E134">
        <v>5</v>
      </c>
      <c r="F134">
        <v>0</v>
      </c>
      <c r="G134">
        <v>5</v>
      </c>
      <c r="H134">
        <v>1</v>
      </c>
      <c r="I134">
        <v>2</v>
      </c>
      <c r="J134">
        <v>0.51249999999999996</v>
      </c>
      <c r="K134">
        <v>0.49430000000000002</v>
      </c>
      <c r="L134">
        <v>0.86333300000000002</v>
      </c>
      <c r="M134">
        <v>0.179725</v>
      </c>
      <c r="N134">
        <v>692</v>
      </c>
      <c r="O134">
        <v>3413</v>
      </c>
      <c r="P134">
        <v>4105</v>
      </c>
    </row>
    <row r="135" spans="1:16" x14ac:dyDescent="0.3">
      <c r="A135">
        <v>134</v>
      </c>
      <c r="B135" s="1">
        <v>40677</v>
      </c>
      <c r="C135">
        <v>2</v>
      </c>
      <c r="D135">
        <v>0</v>
      </c>
      <c r="E135">
        <v>5</v>
      </c>
      <c r="F135">
        <v>0</v>
      </c>
      <c r="G135">
        <v>6</v>
      </c>
      <c r="H135">
        <v>0</v>
      </c>
      <c r="I135">
        <v>2</v>
      </c>
      <c r="J135">
        <v>0.52083299999999999</v>
      </c>
      <c r="K135">
        <v>0.50062899999999999</v>
      </c>
      <c r="L135">
        <v>0.92249999999999999</v>
      </c>
      <c r="M135">
        <v>0.13494999999999999</v>
      </c>
      <c r="N135">
        <v>902</v>
      </c>
      <c r="O135">
        <v>2507</v>
      </c>
      <c r="P135">
        <v>3409</v>
      </c>
    </row>
    <row r="136" spans="1:16" x14ac:dyDescent="0.3">
      <c r="A136">
        <v>135</v>
      </c>
      <c r="B136" s="1">
        <v>40678</v>
      </c>
      <c r="C136">
        <v>2</v>
      </c>
      <c r="D136">
        <v>0</v>
      </c>
      <c r="E136">
        <v>5</v>
      </c>
      <c r="F136">
        <v>0</v>
      </c>
      <c r="G136">
        <v>0</v>
      </c>
      <c r="H136">
        <v>0</v>
      </c>
      <c r="I136">
        <v>2</v>
      </c>
      <c r="J136">
        <v>0.5625</v>
      </c>
      <c r="K136">
        <v>0.53600000000000003</v>
      </c>
      <c r="L136">
        <v>0.86708300000000005</v>
      </c>
      <c r="M136">
        <v>0.152979</v>
      </c>
      <c r="N136">
        <v>1582</v>
      </c>
      <c r="O136">
        <v>2971</v>
      </c>
      <c r="P136">
        <v>4553</v>
      </c>
    </row>
    <row r="137" spans="1:16" x14ac:dyDescent="0.3">
      <c r="A137">
        <v>136</v>
      </c>
      <c r="B137" s="1">
        <v>40679</v>
      </c>
      <c r="C137">
        <v>2</v>
      </c>
      <c r="D137">
        <v>0</v>
      </c>
      <c r="E137">
        <v>5</v>
      </c>
      <c r="F137">
        <v>0</v>
      </c>
      <c r="G137">
        <v>1</v>
      </c>
      <c r="H137">
        <v>1</v>
      </c>
      <c r="I137">
        <v>1</v>
      </c>
      <c r="J137">
        <v>0.57750000000000001</v>
      </c>
      <c r="K137">
        <v>0.550512</v>
      </c>
      <c r="L137">
        <v>0.78791699999999998</v>
      </c>
      <c r="M137">
        <v>0.12687100000000001</v>
      </c>
      <c r="N137">
        <v>773</v>
      </c>
      <c r="O137">
        <v>3185</v>
      </c>
      <c r="P137">
        <v>3958</v>
      </c>
    </row>
    <row r="138" spans="1:16" x14ac:dyDescent="0.3">
      <c r="A138">
        <v>137</v>
      </c>
      <c r="B138" s="1">
        <v>40680</v>
      </c>
      <c r="C138">
        <v>2</v>
      </c>
      <c r="D138">
        <v>0</v>
      </c>
      <c r="E138">
        <v>5</v>
      </c>
      <c r="F138">
        <v>0</v>
      </c>
      <c r="G138">
        <v>2</v>
      </c>
      <c r="H138">
        <v>1</v>
      </c>
      <c r="I138">
        <v>2</v>
      </c>
      <c r="J138">
        <v>0.56166700000000003</v>
      </c>
      <c r="K138">
        <v>0.53852900000000004</v>
      </c>
      <c r="L138">
        <v>0.83791700000000002</v>
      </c>
      <c r="M138">
        <v>0.27735399999999999</v>
      </c>
      <c r="N138">
        <v>678</v>
      </c>
      <c r="O138">
        <v>3445</v>
      </c>
      <c r="P138">
        <v>4123</v>
      </c>
    </row>
    <row r="139" spans="1:16" x14ac:dyDescent="0.3">
      <c r="A139">
        <v>138</v>
      </c>
      <c r="B139" s="1">
        <v>40681</v>
      </c>
      <c r="C139">
        <v>2</v>
      </c>
      <c r="D139">
        <v>0</v>
      </c>
      <c r="E139">
        <v>5</v>
      </c>
      <c r="F139">
        <v>0</v>
      </c>
      <c r="G139">
        <v>3</v>
      </c>
      <c r="H139">
        <v>1</v>
      </c>
      <c r="I139">
        <v>2</v>
      </c>
      <c r="J139">
        <v>0.55000000000000004</v>
      </c>
      <c r="K139">
        <v>0.52715800000000002</v>
      </c>
      <c r="L139">
        <v>0.87</v>
      </c>
      <c r="M139">
        <v>0.201492</v>
      </c>
      <c r="N139">
        <v>536</v>
      </c>
      <c r="O139">
        <v>3319</v>
      </c>
      <c r="P139">
        <v>3855</v>
      </c>
    </row>
    <row r="140" spans="1:16" x14ac:dyDescent="0.3">
      <c r="A140">
        <v>139</v>
      </c>
      <c r="B140" s="1">
        <v>40682</v>
      </c>
      <c r="C140">
        <v>2</v>
      </c>
      <c r="D140">
        <v>0</v>
      </c>
      <c r="E140">
        <v>5</v>
      </c>
      <c r="F140">
        <v>0</v>
      </c>
      <c r="G140">
        <v>4</v>
      </c>
      <c r="H140">
        <v>1</v>
      </c>
      <c r="I140">
        <v>2</v>
      </c>
      <c r="J140">
        <v>0.530833</v>
      </c>
      <c r="K140">
        <v>0.51074200000000003</v>
      </c>
      <c r="L140">
        <v>0.82958299999999996</v>
      </c>
      <c r="M140">
        <v>0.108213</v>
      </c>
      <c r="N140">
        <v>735</v>
      </c>
      <c r="O140">
        <v>3840</v>
      </c>
      <c r="P140">
        <v>4575</v>
      </c>
    </row>
    <row r="141" spans="1:16" x14ac:dyDescent="0.3">
      <c r="A141">
        <v>140</v>
      </c>
      <c r="B141" s="1">
        <v>40683</v>
      </c>
      <c r="C141">
        <v>2</v>
      </c>
      <c r="D141">
        <v>0</v>
      </c>
      <c r="E141">
        <v>5</v>
      </c>
      <c r="F141">
        <v>0</v>
      </c>
      <c r="G141">
        <v>5</v>
      </c>
      <c r="H141">
        <v>1</v>
      </c>
      <c r="I141">
        <v>1</v>
      </c>
      <c r="J141">
        <v>0.53666700000000001</v>
      </c>
      <c r="K141">
        <v>0.52904200000000001</v>
      </c>
      <c r="L141">
        <v>0.71958299999999997</v>
      </c>
      <c r="M141">
        <v>0.12501300000000001</v>
      </c>
      <c r="N141">
        <v>909</v>
      </c>
      <c r="O141">
        <v>4008</v>
      </c>
      <c r="P141">
        <v>4917</v>
      </c>
    </row>
    <row r="142" spans="1:16" x14ac:dyDescent="0.3">
      <c r="A142">
        <v>141</v>
      </c>
      <c r="B142" s="1">
        <v>40684</v>
      </c>
      <c r="C142">
        <v>2</v>
      </c>
      <c r="D142">
        <v>0</v>
      </c>
      <c r="E142">
        <v>5</v>
      </c>
      <c r="F142">
        <v>0</v>
      </c>
      <c r="G142">
        <v>6</v>
      </c>
      <c r="H142">
        <v>0</v>
      </c>
      <c r="I142">
        <v>1</v>
      </c>
      <c r="J142">
        <v>0.60250000000000004</v>
      </c>
      <c r="K142">
        <v>0.57197500000000001</v>
      </c>
      <c r="L142">
        <v>0.62666699999999997</v>
      </c>
      <c r="M142">
        <v>0.12064999999999999</v>
      </c>
      <c r="N142">
        <v>2258</v>
      </c>
      <c r="O142">
        <v>3547</v>
      </c>
      <c r="P142">
        <v>5805</v>
      </c>
    </row>
    <row r="143" spans="1:16" x14ac:dyDescent="0.3">
      <c r="A143">
        <v>142</v>
      </c>
      <c r="B143" s="1">
        <v>40685</v>
      </c>
      <c r="C143">
        <v>2</v>
      </c>
      <c r="D143">
        <v>0</v>
      </c>
      <c r="E143">
        <v>5</v>
      </c>
      <c r="F143">
        <v>0</v>
      </c>
      <c r="G143">
        <v>0</v>
      </c>
      <c r="H143">
        <v>0</v>
      </c>
      <c r="I143">
        <v>1</v>
      </c>
      <c r="J143">
        <v>0.60416700000000001</v>
      </c>
      <c r="K143">
        <v>0.57450000000000001</v>
      </c>
      <c r="L143">
        <v>0.749583</v>
      </c>
      <c r="M143">
        <v>0.148008</v>
      </c>
      <c r="N143">
        <v>1576</v>
      </c>
      <c r="O143">
        <v>3084</v>
      </c>
      <c r="P143">
        <v>4660</v>
      </c>
    </row>
    <row r="144" spans="1:16" x14ac:dyDescent="0.3">
      <c r="A144">
        <v>143</v>
      </c>
      <c r="B144" s="1">
        <v>40686</v>
      </c>
      <c r="C144">
        <v>2</v>
      </c>
      <c r="D144">
        <v>0</v>
      </c>
      <c r="E144">
        <v>5</v>
      </c>
      <c r="F144">
        <v>0</v>
      </c>
      <c r="G144">
        <v>1</v>
      </c>
      <c r="H144">
        <v>1</v>
      </c>
      <c r="I144">
        <v>2</v>
      </c>
      <c r="J144">
        <v>0.63166699999999998</v>
      </c>
      <c r="K144">
        <v>0.59029600000000004</v>
      </c>
      <c r="L144">
        <v>0.81</v>
      </c>
      <c r="M144">
        <v>0.23384199999999999</v>
      </c>
      <c r="N144">
        <v>836</v>
      </c>
      <c r="O144">
        <v>3438</v>
      </c>
      <c r="P144">
        <v>4274</v>
      </c>
    </row>
    <row r="145" spans="1:16" x14ac:dyDescent="0.3">
      <c r="A145">
        <v>144</v>
      </c>
      <c r="B145" s="1">
        <v>40687</v>
      </c>
      <c r="C145">
        <v>2</v>
      </c>
      <c r="D145">
        <v>0</v>
      </c>
      <c r="E145">
        <v>5</v>
      </c>
      <c r="F145">
        <v>0</v>
      </c>
      <c r="G145">
        <v>2</v>
      </c>
      <c r="H145">
        <v>1</v>
      </c>
      <c r="I145">
        <v>2</v>
      </c>
      <c r="J145">
        <v>0.66</v>
      </c>
      <c r="K145">
        <v>0.60481300000000005</v>
      </c>
      <c r="L145">
        <v>0.74083299999999996</v>
      </c>
      <c r="M145">
        <v>0.207092</v>
      </c>
      <c r="N145">
        <v>659</v>
      </c>
      <c r="O145">
        <v>3833</v>
      </c>
      <c r="P145">
        <v>4492</v>
      </c>
    </row>
    <row r="146" spans="1:16" x14ac:dyDescent="0.3">
      <c r="A146">
        <v>145</v>
      </c>
      <c r="B146" s="1">
        <v>40688</v>
      </c>
      <c r="C146">
        <v>2</v>
      </c>
      <c r="D146">
        <v>0</v>
      </c>
      <c r="E146">
        <v>5</v>
      </c>
      <c r="F146">
        <v>0</v>
      </c>
      <c r="G146">
        <v>3</v>
      </c>
      <c r="H146">
        <v>1</v>
      </c>
      <c r="I146">
        <v>1</v>
      </c>
      <c r="J146">
        <v>0.660833</v>
      </c>
      <c r="K146">
        <v>0.61554200000000003</v>
      </c>
      <c r="L146">
        <v>0.69625000000000004</v>
      </c>
      <c r="M146">
        <v>0.15423300000000001</v>
      </c>
      <c r="N146">
        <v>740</v>
      </c>
      <c r="O146">
        <v>4238</v>
      </c>
      <c r="P146">
        <v>4978</v>
      </c>
    </row>
    <row r="147" spans="1:16" x14ac:dyDescent="0.3">
      <c r="A147">
        <v>146</v>
      </c>
      <c r="B147" s="1">
        <v>40689</v>
      </c>
      <c r="C147">
        <v>2</v>
      </c>
      <c r="D147">
        <v>0</v>
      </c>
      <c r="E147">
        <v>5</v>
      </c>
      <c r="F147">
        <v>0</v>
      </c>
      <c r="G147">
        <v>4</v>
      </c>
      <c r="H147">
        <v>1</v>
      </c>
      <c r="I147">
        <v>1</v>
      </c>
      <c r="J147">
        <v>0.70833299999999999</v>
      </c>
      <c r="K147">
        <v>0.65468800000000005</v>
      </c>
      <c r="L147">
        <v>0.67749999999999999</v>
      </c>
      <c r="M147">
        <v>0.19964199999999999</v>
      </c>
      <c r="N147">
        <v>758</v>
      </c>
      <c r="O147">
        <v>3919</v>
      </c>
      <c r="P147">
        <v>4677</v>
      </c>
    </row>
    <row r="148" spans="1:16" x14ac:dyDescent="0.3">
      <c r="A148">
        <v>147</v>
      </c>
      <c r="B148" s="1">
        <v>40690</v>
      </c>
      <c r="C148">
        <v>2</v>
      </c>
      <c r="D148">
        <v>0</v>
      </c>
      <c r="E148">
        <v>5</v>
      </c>
      <c r="F148">
        <v>0</v>
      </c>
      <c r="G148">
        <v>5</v>
      </c>
      <c r="H148">
        <v>1</v>
      </c>
      <c r="I148">
        <v>1</v>
      </c>
      <c r="J148">
        <v>0.68166700000000002</v>
      </c>
      <c r="K148">
        <v>0.63700800000000002</v>
      </c>
      <c r="L148">
        <v>0.65375000000000005</v>
      </c>
      <c r="M148">
        <v>0.240679</v>
      </c>
      <c r="N148">
        <v>871</v>
      </c>
      <c r="O148">
        <v>3808</v>
      </c>
      <c r="P148">
        <v>4679</v>
      </c>
    </row>
    <row r="149" spans="1:16" x14ac:dyDescent="0.3">
      <c r="A149">
        <v>148</v>
      </c>
      <c r="B149" s="1">
        <v>40691</v>
      </c>
      <c r="C149">
        <v>2</v>
      </c>
      <c r="D149">
        <v>0</v>
      </c>
      <c r="E149">
        <v>5</v>
      </c>
      <c r="F149">
        <v>0</v>
      </c>
      <c r="G149">
        <v>6</v>
      </c>
      <c r="H149">
        <v>0</v>
      </c>
      <c r="I149">
        <v>1</v>
      </c>
      <c r="J149">
        <v>0.655833</v>
      </c>
      <c r="K149">
        <v>0.61237900000000001</v>
      </c>
      <c r="L149">
        <v>0.72958299999999998</v>
      </c>
      <c r="M149">
        <v>0.23009199999999999</v>
      </c>
      <c r="N149">
        <v>2001</v>
      </c>
      <c r="O149">
        <v>2757</v>
      </c>
      <c r="P149">
        <v>4758</v>
      </c>
    </row>
    <row r="150" spans="1:16" x14ac:dyDescent="0.3">
      <c r="A150">
        <v>149</v>
      </c>
      <c r="B150" s="1">
        <v>40692</v>
      </c>
      <c r="C150">
        <v>2</v>
      </c>
      <c r="D150">
        <v>0</v>
      </c>
      <c r="E150">
        <v>5</v>
      </c>
      <c r="F150">
        <v>0</v>
      </c>
      <c r="G150">
        <v>0</v>
      </c>
      <c r="H150">
        <v>0</v>
      </c>
      <c r="I150">
        <v>1</v>
      </c>
      <c r="J150">
        <v>0.66749999999999998</v>
      </c>
      <c r="K150">
        <v>0.61555000000000004</v>
      </c>
      <c r="L150">
        <v>0.81874999999999998</v>
      </c>
      <c r="M150">
        <v>0.21393799999999999</v>
      </c>
      <c r="N150">
        <v>2355</v>
      </c>
      <c r="O150">
        <v>2433</v>
      </c>
      <c r="P150">
        <v>4788</v>
      </c>
    </row>
    <row r="151" spans="1:16" x14ac:dyDescent="0.3">
      <c r="A151">
        <v>150</v>
      </c>
      <c r="B151" s="1">
        <v>40693</v>
      </c>
      <c r="C151">
        <v>2</v>
      </c>
      <c r="D151">
        <v>0</v>
      </c>
      <c r="E151">
        <v>5</v>
      </c>
      <c r="F151">
        <v>1</v>
      </c>
      <c r="G151">
        <v>1</v>
      </c>
      <c r="H151">
        <v>0</v>
      </c>
      <c r="I151">
        <v>1</v>
      </c>
      <c r="J151">
        <v>0.73333300000000001</v>
      </c>
      <c r="K151">
        <v>0.67109200000000002</v>
      </c>
      <c r="L151">
        <v>0.68500000000000005</v>
      </c>
      <c r="M151">
        <v>0.13122500000000001</v>
      </c>
      <c r="N151">
        <v>1549</v>
      </c>
      <c r="O151">
        <v>2549</v>
      </c>
      <c r="P151">
        <v>4098</v>
      </c>
    </row>
    <row r="152" spans="1:16" x14ac:dyDescent="0.3">
      <c r="A152">
        <v>151</v>
      </c>
      <c r="B152" s="1">
        <v>40694</v>
      </c>
      <c r="C152">
        <v>2</v>
      </c>
      <c r="D152">
        <v>0</v>
      </c>
      <c r="E152">
        <v>5</v>
      </c>
      <c r="F152">
        <v>0</v>
      </c>
      <c r="G152">
        <v>2</v>
      </c>
      <c r="H152">
        <v>1</v>
      </c>
      <c r="I152">
        <v>1</v>
      </c>
      <c r="J152">
        <v>0.77500000000000002</v>
      </c>
      <c r="K152">
        <v>0.725383</v>
      </c>
      <c r="L152">
        <v>0.63666699999999998</v>
      </c>
      <c r="M152">
        <v>0.111329</v>
      </c>
      <c r="N152">
        <v>673</v>
      </c>
      <c r="O152">
        <v>3309</v>
      </c>
      <c r="P152">
        <v>3982</v>
      </c>
    </row>
    <row r="153" spans="1:16" x14ac:dyDescent="0.3">
      <c r="A153">
        <v>152</v>
      </c>
      <c r="B153" s="1">
        <v>40695</v>
      </c>
      <c r="C153">
        <v>2</v>
      </c>
      <c r="D153">
        <v>0</v>
      </c>
      <c r="E153">
        <v>6</v>
      </c>
      <c r="F153">
        <v>0</v>
      </c>
      <c r="G153">
        <v>3</v>
      </c>
      <c r="H153">
        <v>1</v>
      </c>
      <c r="I153">
        <v>2</v>
      </c>
      <c r="J153">
        <v>0.76416700000000004</v>
      </c>
      <c r="K153">
        <v>0.72096700000000002</v>
      </c>
      <c r="L153">
        <v>0.67708299999999999</v>
      </c>
      <c r="M153">
        <v>0.207092</v>
      </c>
      <c r="N153">
        <v>513</v>
      </c>
      <c r="O153">
        <v>3461</v>
      </c>
      <c r="P153">
        <v>3974</v>
      </c>
    </row>
    <row r="154" spans="1:16" x14ac:dyDescent="0.3">
      <c r="A154">
        <v>153</v>
      </c>
      <c r="B154" s="1">
        <v>40696</v>
      </c>
      <c r="C154">
        <v>2</v>
      </c>
      <c r="D154">
        <v>0</v>
      </c>
      <c r="E154">
        <v>6</v>
      </c>
      <c r="F154">
        <v>0</v>
      </c>
      <c r="G154">
        <v>4</v>
      </c>
      <c r="H154">
        <v>1</v>
      </c>
      <c r="I154">
        <v>1</v>
      </c>
      <c r="J154">
        <v>0.71499999999999997</v>
      </c>
      <c r="K154">
        <v>0.64394200000000001</v>
      </c>
      <c r="L154">
        <v>0.30499999999999999</v>
      </c>
      <c r="M154">
        <v>0.29228700000000002</v>
      </c>
      <c r="N154">
        <v>736</v>
      </c>
      <c r="O154">
        <v>4232</v>
      </c>
      <c r="P154">
        <v>4968</v>
      </c>
    </row>
    <row r="155" spans="1:16" x14ac:dyDescent="0.3">
      <c r="A155">
        <v>154</v>
      </c>
      <c r="B155" s="1">
        <v>40697</v>
      </c>
      <c r="C155">
        <v>2</v>
      </c>
      <c r="D155">
        <v>0</v>
      </c>
      <c r="E155">
        <v>6</v>
      </c>
      <c r="F155">
        <v>0</v>
      </c>
      <c r="G155">
        <v>5</v>
      </c>
      <c r="H155">
        <v>1</v>
      </c>
      <c r="I155">
        <v>1</v>
      </c>
      <c r="J155">
        <v>0.62</v>
      </c>
      <c r="K155">
        <v>0.58713300000000002</v>
      </c>
      <c r="L155">
        <v>0.35416700000000001</v>
      </c>
      <c r="M155">
        <v>0.25312099999999998</v>
      </c>
      <c r="N155">
        <v>898</v>
      </c>
      <c r="O155">
        <v>4414</v>
      </c>
      <c r="P155">
        <v>5312</v>
      </c>
    </row>
    <row r="156" spans="1:16" x14ac:dyDescent="0.3">
      <c r="A156">
        <v>155</v>
      </c>
      <c r="B156" s="1">
        <v>40698</v>
      </c>
      <c r="C156">
        <v>2</v>
      </c>
      <c r="D156">
        <v>0</v>
      </c>
      <c r="E156">
        <v>6</v>
      </c>
      <c r="F156">
        <v>0</v>
      </c>
      <c r="G156">
        <v>6</v>
      </c>
      <c r="H156">
        <v>0</v>
      </c>
      <c r="I156">
        <v>1</v>
      </c>
      <c r="J156">
        <v>0.63500000000000001</v>
      </c>
      <c r="K156">
        <v>0.594696</v>
      </c>
      <c r="L156">
        <v>0.45624999999999999</v>
      </c>
      <c r="M156">
        <v>0.123142</v>
      </c>
      <c r="N156">
        <v>1869</v>
      </c>
      <c r="O156">
        <v>3473</v>
      </c>
      <c r="P156">
        <v>5342</v>
      </c>
    </row>
    <row r="157" spans="1:16" x14ac:dyDescent="0.3">
      <c r="A157">
        <v>156</v>
      </c>
      <c r="B157" s="1">
        <v>40699</v>
      </c>
      <c r="C157">
        <v>2</v>
      </c>
      <c r="D157">
        <v>0</v>
      </c>
      <c r="E157">
        <v>6</v>
      </c>
      <c r="F157">
        <v>0</v>
      </c>
      <c r="G157">
        <v>0</v>
      </c>
      <c r="H157">
        <v>0</v>
      </c>
      <c r="I157">
        <v>2</v>
      </c>
      <c r="J157">
        <v>0.64833300000000005</v>
      </c>
      <c r="K157">
        <v>0.61680400000000002</v>
      </c>
      <c r="L157">
        <v>0.65249999999999997</v>
      </c>
      <c r="M157">
        <v>0.13869200000000001</v>
      </c>
      <c r="N157">
        <v>1685</v>
      </c>
      <c r="O157">
        <v>3221</v>
      </c>
      <c r="P157">
        <v>4906</v>
      </c>
    </row>
    <row r="158" spans="1:16" x14ac:dyDescent="0.3">
      <c r="A158">
        <v>157</v>
      </c>
      <c r="B158" s="1">
        <v>40700</v>
      </c>
      <c r="C158">
        <v>2</v>
      </c>
      <c r="D158">
        <v>0</v>
      </c>
      <c r="E158">
        <v>6</v>
      </c>
      <c r="F158">
        <v>0</v>
      </c>
      <c r="G158">
        <v>1</v>
      </c>
      <c r="H158">
        <v>1</v>
      </c>
      <c r="I158">
        <v>1</v>
      </c>
      <c r="J158">
        <v>0.67833299999999996</v>
      </c>
      <c r="K158">
        <v>0.62185800000000002</v>
      </c>
      <c r="L158">
        <v>0.6</v>
      </c>
      <c r="M158">
        <v>0.121896</v>
      </c>
      <c r="N158">
        <v>673</v>
      </c>
      <c r="O158">
        <v>3875</v>
      </c>
      <c r="P158">
        <v>4548</v>
      </c>
    </row>
    <row r="159" spans="1:16" x14ac:dyDescent="0.3">
      <c r="A159">
        <v>158</v>
      </c>
      <c r="B159" s="1">
        <v>40701</v>
      </c>
      <c r="C159">
        <v>2</v>
      </c>
      <c r="D159">
        <v>0</v>
      </c>
      <c r="E159">
        <v>6</v>
      </c>
      <c r="F159">
        <v>0</v>
      </c>
      <c r="G159">
        <v>2</v>
      </c>
      <c r="H159">
        <v>1</v>
      </c>
      <c r="I159">
        <v>1</v>
      </c>
      <c r="J159">
        <v>0.70750000000000002</v>
      </c>
      <c r="K159">
        <v>0.65595000000000003</v>
      </c>
      <c r="L159">
        <v>0.59791700000000003</v>
      </c>
      <c r="M159">
        <v>0.187808</v>
      </c>
      <c r="N159">
        <v>763</v>
      </c>
      <c r="O159">
        <v>4070</v>
      </c>
      <c r="P159">
        <v>4833</v>
      </c>
    </row>
    <row r="160" spans="1:16" x14ac:dyDescent="0.3">
      <c r="A160">
        <v>159</v>
      </c>
      <c r="B160" s="1">
        <v>40702</v>
      </c>
      <c r="C160">
        <v>2</v>
      </c>
      <c r="D160">
        <v>0</v>
      </c>
      <c r="E160">
        <v>6</v>
      </c>
      <c r="F160">
        <v>0</v>
      </c>
      <c r="G160">
        <v>3</v>
      </c>
      <c r="H160">
        <v>1</v>
      </c>
      <c r="I160">
        <v>1</v>
      </c>
      <c r="J160">
        <v>0.77583299999999999</v>
      </c>
      <c r="K160">
        <v>0.72727900000000001</v>
      </c>
      <c r="L160">
        <v>0.62208300000000005</v>
      </c>
      <c r="M160">
        <v>0.13681699999999999</v>
      </c>
      <c r="N160">
        <v>676</v>
      </c>
      <c r="O160">
        <v>3725</v>
      </c>
      <c r="P160">
        <v>4401</v>
      </c>
    </row>
    <row r="161" spans="1:16" x14ac:dyDescent="0.3">
      <c r="A161">
        <v>160</v>
      </c>
      <c r="B161" s="1">
        <v>40703</v>
      </c>
      <c r="C161">
        <v>2</v>
      </c>
      <c r="D161">
        <v>0</v>
      </c>
      <c r="E161">
        <v>6</v>
      </c>
      <c r="F161">
        <v>0</v>
      </c>
      <c r="G161">
        <v>4</v>
      </c>
      <c r="H161">
        <v>1</v>
      </c>
      <c r="I161">
        <v>2</v>
      </c>
      <c r="J161">
        <v>0.80833299999999997</v>
      </c>
      <c r="K161">
        <v>0.757579</v>
      </c>
      <c r="L161">
        <v>0.56833299999999998</v>
      </c>
      <c r="M161">
        <v>0.14988299999999999</v>
      </c>
      <c r="N161">
        <v>563</v>
      </c>
      <c r="O161">
        <v>3352</v>
      </c>
      <c r="P161">
        <v>3915</v>
      </c>
    </row>
    <row r="162" spans="1:16" x14ac:dyDescent="0.3">
      <c r="A162">
        <v>161</v>
      </c>
      <c r="B162" s="1">
        <v>40704</v>
      </c>
      <c r="C162">
        <v>2</v>
      </c>
      <c r="D162">
        <v>0</v>
      </c>
      <c r="E162">
        <v>6</v>
      </c>
      <c r="F162">
        <v>0</v>
      </c>
      <c r="G162">
        <v>5</v>
      </c>
      <c r="H162">
        <v>1</v>
      </c>
      <c r="I162">
        <v>1</v>
      </c>
      <c r="J162">
        <v>0.755</v>
      </c>
      <c r="K162">
        <v>0.70329200000000003</v>
      </c>
      <c r="L162">
        <v>0.60499999999999998</v>
      </c>
      <c r="M162">
        <v>0.14055400000000001</v>
      </c>
      <c r="N162">
        <v>815</v>
      </c>
      <c r="O162">
        <v>3771</v>
      </c>
      <c r="P162">
        <v>4586</v>
      </c>
    </row>
    <row r="163" spans="1:16" x14ac:dyDescent="0.3">
      <c r="A163">
        <v>162</v>
      </c>
      <c r="B163" s="1">
        <v>40705</v>
      </c>
      <c r="C163">
        <v>2</v>
      </c>
      <c r="D163">
        <v>0</v>
      </c>
      <c r="E163">
        <v>6</v>
      </c>
      <c r="F163">
        <v>0</v>
      </c>
      <c r="G163">
        <v>6</v>
      </c>
      <c r="H163">
        <v>0</v>
      </c>
      <c r="I163">
        <v>1</v>
      </c>
      <c r="J163">
        <v>0.72499999999999998</v>
      </c>
      <c r="K163">
        <v>0.67803800000000003</v>
      </c>
      <c r="L163">
        <v>0.65458300000000003</v>
      </c>
      <c r="M163">
        <v>0.15484999999999999</v>
      </c>
      <c r="N163">
        <v>1729</v>
      </c>
      <c r="O163">
        <v>3237</v>
      </c>
      <c r="P163">
        <v>4966</v>
      </c>
    </row>
    <row r="164" spans="1:16" x14ac:dyDescent="0.3">
      <c r="A164">
        <v>163</v>
      </c>
      <c r="B164" s="1">
        <v>40706</v>
      </c>
      <c r="C164">
        <v>2</v>
      </c>
      <c r="D164">
        <v>0</v>
      </c>
      <c r="E164">
        <v>6</v>
      </c>
      <c r="F164">
        <v>0</v>
      </c>
      <c r="G164">
        <v>0</v>
      </c>
      <c r="H164">
        <v>0</v>
      </c>
      <c r="I164">
        <v>1</v>
      </c>
      <c r="J164">
        <v>0.6925</v>
      </c>
      <c r="K164">
        <v>0.64332500000000004</v>
      </c>
      <c r="L164">
        <v>0.74791700000000005</v>
      </c>
      <c r="M164">
        <v>0.16356699999999999</v>
      </c>
      <c r="N164">
        <v>1467</v>
      </c>
      <c r="O164">
        <v>2993</v>
      </c>
      <c r="P164">
        <v>4460</v>
      </c>
    </row>
    <row r="165" spans="1:16" x14ac:dyDescent="0.3">
      <c r="A165">
        <v>164</v>
      </c>
      <c r="B165" s="1">
        <v>40707</v>
      </c>
      <c r="C165">
        <v>2</v>
      </c>
      <c r="D165">
        <v>0</v>
      </c>
      <c r="E165">
        <v>6</v>
      </c>
      <c r="F165">
        <v>0</v>
      </c>
      <c r="G165">
        <v>1</v>
      </c>
      <c r="H165">
        <v>1</v>
      </c>
      <c r="I165">
        <v>1</v>
      </c>
      <c r="J165">
        <v>0.63500000000000001</v>
      </c>
      <c r="K165">
        <v>0.60165400000000002</v>
      </c>
      <c r="L165">
        <v>0.49458299999999999</v>
      </c>
      <c r="M165">
        <v>0.30535000000000001</v>
      </c>
      <c r="N165">
        <v>863</v>
      </c>
      <c r="O165">
        <v>4157</v>
      </c>
      <c r="P165">
        <v>5020</v>
      </c>
    </row>
    <row r="166" spans="1:16" x14ac:dyDescent="0.3">
      <c r="A166">
        <v>165</v>
      </c>
      <c r="B166" s="1">
        <v>40708</v>
      </c>
      <c r="C166">
        <v>2</v>
      </c>
      <c r="D166">
        <v>0</v>
      </c>
      <c r="E166">
        <v>6</v>
      </c>
      <c r="F166">
        <v>0</v>
      </c>
      <c r="G166">
        <v>2</v>
      </c>
      <c r="H166">
        <v>1</v>
      </c>
      <c r="I166">
        <v>1</v>
      </c>
      <c r="J166">
        <v>0.60416700000000001</v>
      </c>
      <c r="K166">
        <v>0.59154600000000002</v>
      </c>
      <c r="L166">
        <v>0.50708299999999995</v>
      </c>
      <c r="M166">
        <v>0.26928299999999999</v>
      </c>
      <c r="N166">
        <v>727</v>
      </c>
      <c r="O166">
        <v>4164</v>
      </c>
      <c r="P166">
        <v>4891</v>
      </c>
    </row>
    <row r="167" spans="1:16" x14ac:dyDescent="0.3">
      <c r="A167">
        <v>166</v>
      </c>
      <c r="B167" s="1">
        <v>40709</v>
      </c>
      <c r="C167">
        <v>2</v>
      </c>
      <c r="D167">
        <v>0</v>
      </c>
      <c r="E167">
        <v>6</v>
      </c>
      <c r="F167">
        <v>0</v>
      </c>
      <c r="G167">
        <v>3</v>
      </c>
      <c r="H167">
        <v>1</v>
      </c>
      <c r="I167">
        <v>1</v>
      </c>
      <c r="J167">
        <v>0.62666699999999997</v>
      </c>
      <c r="K167">
        <v>0.587754</v>
      </c>
      <c r="L167">
        <v>0.471667</v>
      </c>
      <c r="M167">
        <v>0.16791200000000001</v>
      </c>
      <c r="N167">
        <v>769</v>
      </c>
      <c r="O167">
        <v>4411</v>
      </c>
      <c r="P167">
        <v>5180</v>
      </c>
    </row>
    <row r="168" spans="1:16" x14ac:dyDescent="0.3">
      <c r="A168">
        <v>167</v>
      </c>
      <c r="B168" s="1">
        <v>40710</v>
      </c>
      <c r="C168">
        <v>2</v>
      </c>
      <c r="D168">
        <v>0</v>
      </c>
      <c r="E168">
        <v>6</v>
      </c>
      <c r="F168">
        <v>0</v>
      </c>
      <c r="G168">
        <v>4</v>
      </c>
      <c r="H168">
        <v>1</v>
      </c>
      <c r="I168">
        <v>2</v>
      </c>
      <c r="J168">
        <v>0.62833300000000003</v>
      </c>
      <c r="K168">
        <v>0.59534600000000004</v>
      </c>
      <c r="L168">
        <v>0.68833299999999997</v>
      </c>
      <c r="M168">
        <v>0.20647099999999999</v>
      </c>
      <c r="N168">
        <v>545</v>
      </c>
      <c r="O168">
        <v>3222</v>
      </c>
      <c r="P168">
        <v>3767</v>
      </c>
    </row>
    <row r="169" spans="1:16" x14ac:dyDescent="0.3">
      <c r="A169">
        <v>168</v>
      </c>
      <c r="B169" s="1">
        <v>40711</v>
      </c>
      <c r="C169">
        <v>2</v>
      </c>
      <c r="D169">
        <v>0</v>
      </c>
      <c r="E169">
        <v>6</v>
      </c>
      <c r="F169">
        <v>0</v>
      </c>
      <c r="G169">
        <v>5</v>
      </c>
      <c r="H169">
        <v>1</v>
      </c>
      <c r="I169">
        <v>1</v>
      </c>
      <c r="J169">
        <v>0.64916700000000005</v>
      </c>
      <c r="K169">
        <v>0.600383</v>
      </c>
      <c r="L169">
        <v>0.73583299999999996</v>
      </c>
      <c r="M169">
        <v>0.14302899999999999</v>
      </c>
      <c r="N169">
        <v>863</v>
      </c>
      <c r="O169">
        <v>3981</v>
      </c>
      <c r="P169">
        <v>4844</v>
      </c>
    </row>
    <row r="170" spans="1:16" x14ac:dyDescent="0.3">
      <c r="A170">
        <v>169</v>
      </c>
      <c r="B170" s="1">
        <v>40712</v>
      </c>
      <c r="C170">
        <v>2</v>
      </c>
      <c r="D170">
        <v>0</v>
      </c>
      <c r="E170">
        <v>6</v>
      </c>
      <c r="F170">
        <v>0</v>
      </c>
      <c r="G170">
        <v>6</v>
      </c>
      <c r="H170">
        <v>0</v>
      </c>
      <c r="I170">
        <v>1</v>
      </c>
      <c r="J170">
        <v>0.69666700000000004</v>
      </c>
      <c r="K170">
        <v>0.64395400000000003</v>
      </c>
      <c r="L170">
        <v>0.67041700000000004</v>
      </c>
      <c r="M170">
        <v>0.119408</v>
      </c>
      <c r="N170">
        <v>1807</v>
      </c>
      <c r="O170">
        <v>3312</v>
      </c>
      <c r="P170">
        <v>5119</v>
      </c>
    </row>
    <row r="171" spans="1:16" x14ac:dyDescent="0.3">
      <c r="A171">
        <v>170</v>
      </c>
      <c r="B171" s="1">
        <v>40713</v>
      </c>
      <c r="C171">
        <v>2</v>
      </c>
      <c r="D171">
        <v>0</v>
      </c>
      <c r="E171">
        <v>6</v>
      </c>
      <c r="F171">
        <v>0</v>
      </c>
      <c r="G171">
        <v>0</v>
      </c>
      <c r="H171">
        <v>0</v>
      </c>
      <c r="I171">
        <v>2</v>
      </c>
      <c r="J171">
        <v>0.69916699999999998</v>
      </c>
      <c r="K171">
        <v>0.64584600000000003</v>
      </c>
      <c r="L171">
        <v>0.66666700000000001</v>
      </c>
      <c r="M171">
        <v>0.10199999999999999</v>
      </c>
      <c r="N171">
        <v>1639</v>
      </c>
      <c r="O171">
        <v>3105</v>
      </c>
      <c r="P171">
        <v>4744</v>
      </c>
    </row>
    <row r="172" spans="1:16" x14ac:dyDescent="0.3">
      <c r="A172">
        <v>171</v>
      </c>
      <c r="B172" s="1">
        <v>40714</v>
      </c>
      <c r="C172">
        <v>2</v>
      </c>
      <c r="D172">
        <v>0</v>
      </c>
      <c r="E172">
        <v>6</v>
      </c>
      <c r="F172">
        <v>0</v>
      </c>
      <c r="G172">
        <v>1</v>
      </c>
      <c r="H172">
        <v>1</v>
      </c>
      <c r="I172">
        <v>2</v>
      </c>
      <c r="J172">
        <v>0.63500000000000001</v>
      </c>
      <c r="K172">
        <v>0.59534600000000004</v>
      </c>
      <c r="L172">
        <v>0.74624999999999997</v>
      </c>
      <c r="M172">
        <v>0.155475</v>
      </c>
      <c r="N172">
        <v>699</v>
      </c>
      <c r="O172">
        <v>3311</v>
      </c>
      <c r="P172">
        <v>4010</v>
      </c>
    </row>
    <row r="173" spans="1:16" x14ac:dyDescent="0.3">
      <c r="A173">
        <v>172</v>
      </c>
      <c r="B173" s="1">
        <v>40715</v>
      </c>
      <c r="C173">
        <v>3</v>
      </c>
      <c r="D173">
        <v>0</v>
      </c>
      <c r="E173">
        <v>6</v>
      </c>
      <c r="F173">
        <v>0</v>
      </c>
      <c r="G173">
        <v>2</v>
      </c>
      <c r="H173">
        <v>1</v>
      </c>
      <c r="I173">
        <v>2</v>
      </c>
      <c r="J173">
        <v>0.68083300000000002</v>
      </c>
      <c r="K173">
        <v>0.63764600000000005</v>
      </c>
      <c r="L173">
        <v>0.77041700000000002</v>
      </c>
      <c r="M173">
        <v>0.17102500000000001</v>
      </c>
      <c r="N173">
        <v>774</v>
      </c>
      <c r="O173">
        <v>4061</v>
      </c>
      <c r="P173">
        <v>4835</v>
      </c>
    </row>
    <row r="174" spans="1:16" x14ac:dyDescent="0.3">
      <c r="A174">
        <v>173</v>
      </c>
      <c r="B174" s="1">
        <v>40716</v>
      </c>
      <c r="C174">
        <v>3</v>
      </c>
      <c r="D174">
        <v>0</v>
      </c>
      <c r="E174">
        <v>6</v>
      </c>
      <c r="F174">
        <v>0</v>
      </c>
      <c r="G174">
        <v>3</v>
      </c>
      <c r="H174">
        <v>1</v>
      </c>
      <c r="I174">
        <v>1</v>
      </c>
      <c r="J174">
        <v>0.73333300000000001</v>
      </c>
      <c r="K174">
        <v>0.69382900000000003</v>
      </c>
      <c r="L174">
        <v>0.70750000000000002</v>
      </c>
      <c r="M174">
        <v>0.172262</v>
      </c>
      <c r="N174">
        <v>661</v>
      </c>
      <c r="O174">
        <v>3846</v>
      </c>
      <c r="P174">
        <v>4507</v>
      </c>
    </row>
    <row r="175" spans="1:16" x14ac:dyDescent="0.3">
      <c r="A175">
        <v>174</v>
      </c>
      <c r="B175" s="1">
        <v>40717</v>
      </c>
      <c r="C175">
        <v>3</v>
      </c>
      <c r="D175">
        <v>0</v>
      </c>
      <c r="E175">
        <v>6</v>
      </c>
      <c r="F175">
        <v>0</v>
      </c>
      <c r="G175">
        <v>4</v>
      </c>
      <c r="H175">
        <v>1</v>
      </c>
      <c r="I175">
        <v>2</v>
      </c>
      <c r="J175">
        <v>0.72833300000000001</v>
      </c>
      <c r="K175">
        <v>0.69383300000000003</v>
      </c>
      <c r="L175">
        <v>0.70333299999999999</v>
      </c>
      <c r="M175">
        <v>0.23880399999999999</v>
      </c>
      <c r="N175">
        <v>746</v>
      </c>
      <c r="O175">
        <v>4044</v>
      </c>
      <c r="P175">
        <v>4790</v>
      </c>
    </row>
    <row r="176" spans="1:16" x14ac:dyDescent="0.3">
      <c r="A176">
        <v>175</v>
      </c>
      <c r="B176" s="1">
        <v>40718</v>
      </c>
      <c r="C176">
        <v>3</v>
      </c>
      <c r="D176">
        <v>0</v>
      </c>
      <c r="E176">
        <v>6</v>
      </c>
      <c r="F176">
        <v>0</v>
      </c>
      <c r="G176">
        <v>5</v>
      </c>
      <c r="H176">
        <v>1</v>
      </c>
      <c r="I176">
        <v>1</v>
      </c>
      <c r="J176">
        <v>0.72416700000000001</v>
      </c>
      <c r="K176">
        <v>0.65658300000000003</v>
      </c>
      <c r="L176">
        <v>0.57333299999999998</v>
      </c>
      <c r="M176">
        <v>0.222025</v>
      </c>
      <c r="N176">
        <v>969</v>
      </c>
      <c r="O176">
        <v>4022</v>
      </c>
      <c r="P176">
        <v>4991</v>
      </c>
    </row>
    <row r="177" spans="1:16" x14ac:dyDescent="0.3">
      <c r="A177">
        <v>176</v>
      </c>
      <c r="B177" s="1">
        <v>40719</v>
      </c>
      <c r="C177">
        <v>3</v>
      </c>
      <c r="D177">
        <v>0</v>
      </c>
      <c r="E177">
        <v>6</v>
      </c>
      <c r="F177">
        <v>0</v>
      </c>
      <c r="G177">
        <v>6</v>
      </c>
      <c r="H177">
        <v>0</v>
      </c>
      <c r="I177">
        <v>1</v>
      </c>
      <c r="J177">
        <v>0.69499999999999995</v>
      </c>
      <c r="K177">
        <v>0.64331300000000002</v>
      </c>
      <c r="L177">
        <v>0.48333300000000001</v>
      </c>
      <c r="M177">
        <v>0.20957100000000001</v>
      </c>
      <c r="N177">
        <v>1782</v>
      </c>
      <c r="O177">
        <v>3420</v>
      </c>
      <c r="P177">
        <v>5202</v>
      </c>
    </row>
    <row r="178" spans="1:16" x14ac:dyDescent="0.3">
      <c r="A178">
        <v>177</v>
      </c>
      <c r="B178" s="1">
        <v>40720</v>
      </c>
      <c r="C178">
        <v>3</v>
      </c>
      <c r="D178">
        <v>0</v>
      </c>
      <c r="E178">
        <v>6</v>
      </c>
      <c r="F178">
        <v>0</v>
      </c>
      <c r="G178">
        <v>0</v>
      </c>
      <c r="H178">
        <v>0</v>
      </c>
      <c r="I178">
        <v>1</v>
      </c>
      <c r="J178">
        <v>0.68</v>
      </c>
      <c r="K178">
        <v>0.637629</v>
      </c>
      <c r="L178">
        <v>0.51333300000000004</v>
      </c>
      <c r="M178">
        <v>9.4533300000000001E-2</v>
      </c>
      <c r="N178">
        <v>1920</v>
      </c>
      <c r="O178">
        <v>3385</v>
      </c>
      <c r="P178">
        <v>5305</v>
      </c>
    </row>
    <row r="179" spans="1:16" x14ac:dyDescent="0.3">
      <c r="A179">
        <v>178</v>
      </c>
      <c r="B179" s="1">
        <v>40721</v>
      </c>
      <c r="C179">
        <v>3</v>
      </c>
      <c r="D179">
        <v>0</v>
      </c>
      <c r="E179">
        <v>6</v>
      </c>
      <c r="F179">
        <v>0</v>
      </c>
      <c r="G179">
        <v>1</v>
      </c>
      <c r="H179">
        <v>1</v>
      </c>
      <c r="I179">
        <v>2</v>
      </c>
      <c r="J179">
        <v>0.6825</v>
      </c>
      <c r="K179">
        <v>0.63700400000000001</v>
      </c>
      <c r="L179">
        <v>0.65833299999999995</v>
      </c>
      <c r="M179">
        <v>0.107588</v>
      </c>
      <c r="N179">
        <v>854</v>
      </c>
      <c r="O179">
        <v>3854</v>
      </c>
      <c r="P179">
        <v>4708</v>
      </c>
    </row>
    <row r="180" spans="1:16" x14ac:dyDescent="0.3">
      <c r="A180">
        <v>179</v>
      </c>
      <c r="B180" s="1">
        <v>40722</v>
      </c>
      <c r="C180">
        <v>3</v>
      </c>
      <c r="D180">
        <v>0</v>
      </c>
      <c r="E180">
        <v>6</v>
      </c>
      <c r="F180">
        <v>0</v>
      </c>
      <c r="G180">
        <v>2</v>
      </c>
      <c r="H180">
        <v>1</v>
      </c>
      <c r="I180">
        <v>1</v>
      </c>
      <c r="J180">
        <v>0.74416700000000002</v>
      </c>
      <c r="K180">
        <v>0.69255800000000001</v>
      </c>
      <c r="L180">
        <v>0.63416700000000004</v>
      </c>
      <c r="M180">
        <v>0.14428299999999999</v>
      </c>
      <c r="N180">
        <v>732</v>
      </c>
      <c r="O180">
        <v>3916</v>
      </c>
      <c r="P180">
        <v>4648</v>
      </c>
    </row>
    <row r="181" spans="1:16" x14ac:dyDescent="0.3">
      <c r="A181">
        <v>180</v>
      </c>
      <c r="B181" s="1">
        <v>40723</v>
      </c>
      <c r="C181">
        <v>3</v>
      </c>
      <c r="D181">
        <v>0</v>
      </c>
      <c r="E181">
        <v>6</v>
      </c>
      <c r="F181">
        <v>0</v>
      </c>
      <c r="G181">
        <v>3</v>
      </c>
      <c r="H181">
        <v>1</v>
      </c>
      <c r="I181">
        <v>1</v>
      </c>
      <c r="J181">
        <v>0.72833300000000001</v>
      </c>
      <c r="K181">
        <v>0.65468800000000005</v>
      </c>
      <c r="L181">
        <v>0.497917</v>
      </c>
      <c r="M181">
        <v>0.26182100000000003</v>
      </c>
      <c r="N181">
        <v>848</v>
      </c>
      <c r="O181">
        <v>4377</v>
      </c>
      <c r="P181">
        <v>5225</v>
      </c>
    </row>
    <row r="182" spans="1:16" x14ac:dyDescent="0.3">
      <c r="A182">
        <v>181</v>
      </c>
      <c r="B182" s="1">
        <v>40724</v>
      </c>
      <c r="C182">
        <v>3</v>
      </c>
      <c r="D182">
        <v>0</v>
      </c>
      <c r="E182">
        <v>6</v>
      </c>
      <c r="F182">
        <v>0</v>
      </c>
      <c r="G182">
        <v>4</v>
      </c>
      <c r="H182">
        <v>1</v>
      </c>
      <c r="I182">
        <v>1</v>
      </c>
      <c r="J182">
        <v>0.69666700000000004</v>
      </c>
      <c r="K182">
        <v>0.63700800000000002</v>
      </c>
      <c r="L182">
        <v>0.43416700000000003</v>
      </c>
      <c r="M182">
        <v>0.185312</v>
      </c>
      <c r="N182">
        <v>1027</v>
      </c>
      <c r="O182">
        <v>4488</v>
      </c>
      <c r="P182">
        <v>5515</v>
      </c>
    </row>
    <row r="183" spans="1:16" x14ac:dyDescent="0.3">
      <c r="A183">
        <v>182</v>
      </c>
      <c r="B183" s="1">
        <v>40725</v>
      </c>
      <c r="C183">
        <v>3</v>
      </c>
      <c r="D183">
        <v>0</v>
      </c>
      <c r="E183">
        <v>7</v>
      </c>
      <c r="F183">
        <v>0</v>
      </c>
      <c r="G183">
        <v>5</v>
      </c>
      <c r="H183">
        <v>1</v>
      </c>
      <c r="I183">
        <v>1</v>
      </c>
      <c r="J183">
        <v>0.72250000000000003</v>
      </c>
      <c r="K183">
        <v>0.65216200000000002</v>
      </c>
      <c r="L183">
        <v>0.39624999999999999</v>
      </c>
      <c r="M183">
        <v>0.102608</v>
      </c>
      <c r="N183">
        <v>1246</v>
      </c>
      <c r="O183">
        <v>4116</v>
      </c>
      <c r="P183">
        <v>5362</v>
      </c>
    </row>
    <row r="184" spans="1:16" x14ac:dyDescent="0.3">
      <c r="A184">
        <v>183</v>
      </c>
      <c r="B184" s="1">
        <v>40726</v>
      </c>
      <c r="C184">
        <v>3</v>
      </c>
      <c r="D184">
        <v>0</v>
      </c>
      <c r="E184">
        <v>7</v>
      </c>
      <c r="F184">
        <v>0</v>
      </c>
      <c r="G184">
        <v>6</v>
      </c>
      <c r="H184">
        <v>0</v>
      </c>
      <c r="I184">
        <v>1</v>
      </c>
      <c r="J184">
        <v>0.73833300000000002</v>
      </c>
      <c r="K184">
        <v>0.66730800000000001</v>
      </c>
      <c r="L184">
        <v>0.44458300000000001</v>
      </c>
      <c r="M184">
        <v>0.115062</v>
      </c>
      <c r="N184">
        <v>2204</v>
      </c>
      <c r="O184">
        <v>2915</v>
      </c>
      <c r="P184">
        <v>5119</v>
      </c>
    </row>
    <row r="185" spans="1:16" x14ac:dyDescent="0.3">
      <c r="A185">
        <v>184</v>
      </c>
      <c r="B185" s="1">
        <v>40727</v>
      </c>
      <c r="C185">
        <v>3</v>
      </c>
      <c r="D185">
        <v>0</v>
      </c>
      <c r="E185">
        <v>7</v>
      </c>
      <c r="F185">
        <v>0</v>
      </c>
      <c r="G185">
        <v>0</v>
      </c>
      <c r="H185">
        <v>0</v>
      </c>
      <c r="I185">
        <v>2</v>
      </c>
      <c r="J185">
        <v>0.71666700000000005</v>
      </c>
      <c r="K185">
        <v>0.66857500000000003</v>
      </c>
      <c r="L185">
        <v>0.6825</v>
      </c>
      <c r="M185">
        <v>0.22885800000000001</v>
      </c>
      <c r="N185">
        <v>2282</v>
      </c>
      <c r="O185">
        <v>2367</v>
      </c>
      <c r="P185">
        <v>4649</v>
      </c>
    </row>
    <row r="186" spans="1:16" x14ac:dyDescent="0.3">
      <c r="A186">
        <v>185</v>
      </c>
      <c r="B186" s="1">
        <v>40728</v>
      </c>
      <c r="C186">
        <v>3</v>
      </c>
      <c r="D186">
        <v>0</v>
      </c>
      <c r="E186">
        <v>7</v>
      </c>
      <c r="F186">
        <v>1</v>
      </c>
      <c r="G186">
        <v>1</v>
      </c>
      <c r="H186">
        <v>0</v>
      </c>
      <c r="I186">
        <v>2</v>
      </c>
      <c r="J186">
        <v>0.72666699999999995</v>
      </c>
      <c r="K186">
        <v>0.66541700000000004</v>
      </c>
      <c r="L186">
        <v>0.63791699999999996</v>
      </c>
      <c r="M186">
        <v>8.1479200000000002E-2</v>
      </c>
      <c r="N186">
        <v>3065</v>
      </c>
      <c r="O186">
        <v>2978</v>
      </c>
      <c r="P186">
        <v>6043</v>
      </c>
    </row>
    <row r="187" spans="1:16" x14ac:dyDescent="0.3">
      <c r="A187">
        <v>186</v>
      </c>
      <c r="B187" s="1">
        <v>40729</v>
      </c>
      <c r="C187">
        <v>3</v>
      </c>
      <c r="D187">
        <v>0</v>
      </c>
      <c r="E187">
        <v>7</v>
      </c>
      <c r="F187">
        <v>0</v>
      </c>
      <c r="G187">
        <v>2</v>
      </c>
      <c r="H187">
        <v>1</v>
      </c>
      <c r="I187">
        <v>1</v>
      </c>
      <c r="J187">
        <v>0.74666699999999997</v>
      </c>
      <c r="K187">
        <v>0.69633800000000001</v>
      </c>
      <c r="L187">
        <v>0.59041699999999997</v>
      </c>
      <c r="M187">
        <v>0.12625800000000001</v>
      </c>
      <c r="N187">
        <v>1031</v>
      </c>
      <c r="O187">
        <v>3634</v>
      </c>
      <c r="P187">
        <v>4665</v>
      </c>
    </row>
    <row r="188" spans="1:16" x14ac:dyDescent="0.3">
      <c r="A188">
        <v>187</v>
      </c>
      <c r="B188" s="1">
        <v>40730</v>
      </c>
      <c r="C188">
        <v>3</v>
      </c>
      <c r="D188">
        <v>0</v>
      </c>
      <c r="E188">
        <v>7</v>
      </c>
      <c r="F188">
        <v>0</v>
      </c>
      <c r="G188">
        <v>3</v>
      </c>
      <c r="H188">
        <v>1</v>
      </c>
      <c r="I188">
        <v>1</v>
      </c>
      <c r="J188">
        <v>0.72</v>
      </c>
      <c r="K188">
        <v>0.68563300000000005</v>
      </c>
      <c r="L188">
        <v>0.74333300000000002</v>
      </c>
      <c r="M188">
        <v>0.14988299999999999</v>
      </c>
      <c r="N188">
        <v>784</v>
      </c>
      <c r="O188">
        <v>3845</v>
      </c>
      <c r="P188">
        <v>4629</v>
      </c>
    </row>
    <row r="189" spans="1:16" x14ac:dyDescent="0.3">
      <c r="A189">
        <v>188</v>
      </c>
      <c r="B189" s="1">
        <v>40731</v>
      </c>
      <c r="C189">
        <v>3</v>
      </c>
      <c r="D189">
        <v>0</v>
      </c>
      <c r="E189">
        <v>7</v>
      </c>
      <c r="F189">
        <v>0</v>
      </c>
      <c r="G189">
        <v>4</v>
      </c>
      <c r="H189">
        <v>1</v>
      </c>
      <c r="I189">
        <v>1</v>
      </c>
      <c r="J189">
        <v>0.75</v>
      </c>
      <c r="K189">
        <v>0.68687100000000001</v>
      </c>
      <c r="L189">
        <v>0.65125</v>
      </c>
      <c r="M189">
        <v>0.15920000000000001</v>
      </c>
      <c r="N189">
        <v>754</v>
      </c>
      <c r="O189">
        <v>3838</v>
      </c>
      <c r="P189">
        <v>4592</v>
      </c>
    </row>
    <row r="190" spans="1:16" x14ac:dyDescent="0.3">
      <c r="A190">
        <v>189</v>
      </c>
      <c r="B190" s="1">
        <v>40732</v>
      </c>
      <c r="C190">
        <v>3</v>
      </c>
      <c r="D190">
        <v>0</v>
      </c>
      <c r="E190">
        <v>7</v>
      </c>
      <c r="F190">
        <v>0</v>
      </c>
      <c r="G190">
        <v>5</v>
      </c>
      <c r="H190">
        <v>1</v>
      </c>
      <c r="I190">
        <v>2</v>
      </c>
      <c r="J190">
        <v>0.70916699999999999</v>
      </c>
      <c r="K190">
        <v>0.67048300000000005</v>
      </c>
      <c r="L190">
        <v>0.75791699999999995</v>
      </c>
      <c r="M190">
        <v>0.225129</v>
      </c>
      <c r="N190">
        <v>692</v>
      </c>
      <c r="O190">
        <v>3348</v>
      </c>
      <c r="P190">
        <v>4040</v>
      </c>
    </row>
    <row r="191" spans="1:16" x14ac:dyDescent="0.3">
      <c r="A191">
        <v>190</v>
      </c>
      <c r="B191" s="1">
        <v>40733</v>
      </c>
      <c r="C191">
        <v>3</v>
      </c>
      <c r="D191">
        <v>0</v>
      </c>
      <c r="E191">
        <v>7</v>
      </c>
      <c r="F191">
        <v>0</v>
      </c>
      <c r="G191">
        <v>6</v>
      </c>
      <c r="H191">
        <v>0</v>
      </c>
      <c r="I191">
        <v>1</v>
      </c>
      <c r="J191">
        <v>0.73333300000000001</v>
      </c>
      <c r="K191">
        <v>0.66415800000000003</v>
      </c>
      <c r="L191">
        <v>0.60916700000000001</v>
      </c>
      <c r="M191">
        <v>0.16791200000000001</v>
      </c>
      <c r="N191">
        <v>1988</v>
      </c>
      <c r="O191">
        <v>3348</v>
      </c>
      <c r="P191">
        <v>5336</v>
      </c>
    </row>
    <row r="192" spans="1:16" x14ac:dyDescent="0.3">
      <c r="A192">
        <v>191</v>
      </c>
      <c r="B192" s="1">
        <v>40734</v>
      </c>
      <c r="C192">
        <v>3</v>
      </c>
      <c r="D192">
        <v>0</v>
      </c>
      <c r="E192">
        <v>7</v>
      </c>
      <c r="F192">
        <v>0</v>
      </c>
      <c r="G192">
        <v>0</v>
      </c>
      <c r="H192">
        <v>0</v>
      </c>
      <c r="I192">
        <v>1</v>
      </c>
      <c r="J192">
        <v>0.74750000000000005</v>
      </c>
      <c r="K192">
        <v>0.690025</v>
      </c>
      <c r="L192">
        <v>0.57833299999999999</v>
      </c>
      <c r="M192">
        <v>0.183471</v>
      </c>
      <c r="N192">
        <v>1743</v>
      </c>
      <c r="O192">
        <v>3138</v>
      </c>
      <c r="P192">
        <v>4881</v>
      </c>
    </row>
    <row r="193" spans="1:16" x14ac:dyDescent="0.3">
      <c r="A193">
        <v>192</v>
      </c>
      <c r="B193" s="1">
        <v>40735</v>
      </c>
      <c r="C193">
        <v>3</v>
      </c>
      <c r="D193">
        <v>0</v>
      </c>
      <c r="E193">
        <v>7</v>
      </c>
      <c r="F193">
        <v>0</v>
      </c>
      <c r="G193">
        <v>1</v>
      </c>
      <c r="H193">
        <v>1</v>
      </c>
      <c r="I193">
        <v>1</v>
      </c>
      <c r="J193">
        <v>0.76249999999999996</v>
      </c>
      <c r="K193">
        <v>0.72980400000000001</v>
      </c>
      <c r="L193">
        <v>0.63583299999999998</v>
      </c>
      <c r="M193">
        <v>0.282337</v>
      </c>
      <c r="N193">
        <v>723</v>
      </c>
      <c r="O193">
        <v>3363</v>
      </c>
      <c r="P193">
        <v>4086</v>
      </c>
    </row>
    <row r="194" spans="1:16" x14ac:dyDescent="0.3">
      <c r="A194">
        <v>193</v>
      </c>
      <c r="B194" s="1">
        <v>40736</v>
      </c>
      <c r="C194">
        <v>3</v>
      </c>
      <c r="D194">
        <v>0</v>
      </c>
      <c r="E194">
        <v>7</v>
      </c>
      <c r="F194">
        <v>0</v>
      </c>
      <c r="G194">
        <v>2</v>
      </c>
      <c r="H194">
        <v>1</v>
      </c>
      <c r="I194">
        <v>1</v>
      </c>
      <c r="J194">
        <v>0.79416699999999996</v>
      </c>
      <c r="K194">
        <v>0.73927500000000002</v>
      </c>
      <c r="L194">
        <v>0.55916699999999997</v>
      </c>
      <c r="M194">
        <v>0.20025399999999999</v>
      </c>
      <c r="N194">
        <v>662</v>
      </c>
      <c r="O194">
        <v>3596</v>
      </c>
      <c r="P194">
        <v>4258</v>
      </c>
    </row>
    <row r="195" spans="1:16" x14ac:dyDescent="0.3">
      <c r="A195">
        <v>194</v>
      </c>
      <c r="B195" s="1">
        <v>40737</v>
      </c>
      <c r="C195">
        <v>3</v>
      </c>
      <c r="D195">
        <v>0</v>
      </c>
      <c r="E195">
        <v>7</v>
      </c>
      <c r="F195">
        <v>0</v>
      </c>
      <c r="G195">
        <v>3</v>
      </c>
      <c r="H195">
        <v>1</v>
      </c>
      <c r="I195">
        <v>1</v>
      </c>
      <c r="J195">
        <v>0.74666699999999997</v>
      </c>
      <c r="K195">
        <v>0.68940400000000002</v>
      </c>
      <c r="L195">
        <v>0.63166699999999998</v>
      </c>
      <c r="M195">
        <v>0.14613300000000001</v>
      </c>
      <c r="N195">
        <v>748</v>
      </c>
      <c r="O195">
        <v>3594</v>
      </c>
      <c r="P195">
        <v>4342</v>
      </c>
    </row>
    <row r="196" spans="1:16" x14ac:dyDescent="0.3">
      <c r="A196">
        <v>195</v>
      </c>
      <c r="B196" s="1">
        <v>40738</v>
      </c>
      <c r="C196">
        <v>3</v>
      </c>
      <c r="D196">
        <v>0</v>
      </c>
      <c r="E196">
        <v>7</v>
      </c>
      <c r="F196">
        <v>0</v>
      </c>
      <c r="G196">
        <v>4</v>
      </c>
      <c r="H196">
        <v>1</v>
      </c>
      <c r="I196">
        <v>1</v>
      </c>
      <c r="J196">
        <v>0.68083300000000002</v>
      </c>
      <c r="K196">
        <v>0.635104</v>
      </c>
      <c r="L196">
        <v>0.47625000000000001</v>
      </c>
      <c r="M196">
        <v>0.24066699999999999</v>
      </c>
      <c r="N196">
        <v>888</v>
      </c>
      <c r="O196">
        <v>4196</v>
      </c>
      <c r="P196">
        <v>5084</v>
      </c>
    </row>
    <row r="197" spans="1:16" x14ac:dyDescent="0.3">
      <c r="A197">
        <v>196</v>
      </c>
      <c r="B197" s="1">
        <v>40739</v>
      </c>
      <c r="C197">
        <v>3</v>
      </c>
      <c r="D197">
        <v>0</v>
      </c>
      <c r="E197">
        <v>7</v>
      </c>
      <c r="F197">
        <v>0</v>
      </c>
      <c r="G197">
        <v>5</v>
      </c>
      <c r="H197">
        <v>1</v>
      </c>
      <c r="I197">
        <v>1</v>
      </c>
      <c r="J197">
        <v>0.66333299999999995</v>
      </c>
      <c r="K197">
        <v>0.62437100000000001</v>
      </c>
      <c r="L197">
        <v>0.59125000000000005</v>
      </c>
      <c r="M197">
        <v>0.182833</v>
      </c>
      <c r="N197">
        <v>1318</v>
      </c>
      <c r="O197">
        <v>4220</v>
      </c>
      <c r="P197">
        <v>5538</v>
      </c>
    </row>
    <row r="198" spans="1:16" x14ac:dyDescent="0.3">
      <c r="A198">
        <v>197</v>
      </c>
      <c r="B198" s="1">
        <v>40740</v>
      </c>
      <c r="C198">
        <v>3</v>
      </c>
      <c r="D198">
        <v>0</v>
      </c>
      <c r="E198">
        <v>7</v>
      </c>
      <c r="F198">
        <v>0</v>
      </c>
      <c r="G198">
        <v>6</v>
      </c>
      <c r="H198">
        <v>0</v>
      </c>
      <c r="I198">
        <v>1</v>
      </c>
      <c r="J198">
        <v>0.68666700000000003</v>
      </c>
      <c r="K198">
        <v>0.63826300000000002</v>
      </c>
      <c r="L198">
        <v>0.58499999999999996</v>
      </c>
      <c r="M198">
        <v>0.208342</v>
      </c>
      <c r="N198">
        <v>2418</v>
      </c>
      <c r="O198">
        <v>3505</v>
      </c>
      <c r="P198">
        <v>5923</v>
      </c>
    </row>
    <row r="199" spans="1:16" x14ac:dyDescent="0.3">
      <c r="A199">
        <v>198</v>
      </c>
      <c r="B199" s="1">
        <v>40741</v>
      </c>
      <c r="C199">
        <v>3</v>
      </c>
      <c r="D199">
        <v>0</v>
      </c>
      <c r="E199">
        <v>7</v>
      </c>
      <c r="F199">
        <v>0</v>
      </c>
      <c r="G199">
        <v>0</v>
      </c>
      <c r="H199">
        <v>0</v>
      </c>
      <c r="I199">
        <v>1</v>
      </c>
      <c r="J199">
        <v>0.719167</v>
      </c>
      <c r="K199">
        <v>0.66983300000000001</v>
      </c>
      <c r="L199">
        <v>0.60416700000000001</v>
      </c>
      <c r="M199">
        <v>0.245033</v>
      </c>
      <c r="N199">
        <v>2006</v>
      </c>
      <c r="O199">
        <v>3296</v>
      </c>
      <c r="P199">
        <v>5302</v>
      </c>
    </row>
    <row r="200" spans="1:16" x14ac:dyDescent="0.3">
      <c r="A200">
        <v>199</v>
      </c>
      <c r="B200" s="1">
        <v>40742</v>
      </c>
      <c r="C200">
        <v>3</v>
      </c>
      <c r="D200">
        <v>0</v>
      </c>
      <c r="E200">
        <v>7</v>
      </c>
      <c r="F200">
        <v>0</v>
      </c>
      <c r="G200">
        <v>1</v>
      </c>
      <c r="H200">
        <v>1</v>
      </c>
      <c r="I200">
        <v>1</v>
      </c>
      <c r="J200">
        <v>0.74666699999999997</v>
      </c>
      <c r="K200">
        <v>0.70392500000000002</v>
      </c>
      <c r="L200">
        <v>0.65125</v>
      </c>
      <c r="M200">
        <v>0.215804</v>
      </c>
      <c r="N200">
        <v>841</v>
      </c>
      <c r="O200">
        <v>3617</v>
      </c>
      <c r="P200">
        <v>4458</v>
      </c>
    </row>
    <row r="201" spans="1:16" x14ac:dyDescent="0.3">
      <c r="A201">
        <v>200</v>
      </c>
      <c r="B201" s="1">
        <v>40743</v>
      </c>
      <c r="C201">
        <v>3</v>
      </c>
      <c r="D201">
        <v>0</v>
      </c>
      <c r="E201">
        <v>7</v>
      </c>
      <c r="F201">
        <v>0</v>
      </c>
      <c r="G201">
        <v>2</v>
      </c>
      <c r="H201">
        <v>1</v>
      </c>
      <c r="I201">
        <v>1</v>
      </c>
      <c r="J201">
        <v>0.776667</v>
      </c>
      <c r="K201">
        <v>0.747479</v>
      </c>
      <c r="L201">
        <v>0.65041700000000002</v>
      </c>
      <c r="M201">
        <v>0.13059999999999999</v>
      </c>
      <c r="N201">
        <v>752</v>
      </c>
      <c r="O201">
        <v>3789</v>
      </c>
      <c r="P201">
        <v>4541</v>
      </c>
    </row>
    <row r="202" spans="1:16" x14ac:dyDescent="0.3">
      <c r="A202">
        <v>201</v>
      </c>
      <c r="B202" s="1">
        <v>40744</v>
      </c>
      <c r="C202">
        <v>3</v>
      </c>
      <c r="D202">
        <v>0</v>
      </c>
      <c r="E202">
        <v>7</v>
      </c>
      <c r="F202">
        <v>0</v>
      </c>
      <c r="G202">
        <v>3</v>
      </c>
      <c r="H202">
        <v>1</v>
      </c>
      <c r="I202">
        <v>1</v>
      </c>
      <c r="J202">
        <v>0.76833300000000004</v>
      </c>
      <c r="K202">
        <v>0.74685000000000001</v>
      </c>
      <c r="L202">
        <v>0.70708300000000002</v>
      </c>
      <c r="M202">
        <v>0.113817</v>
      </c>
      <c r="N202">
        <v>644</v>
      </c>
      <c r="O202">
        <v>3688</v>
      </c>
      <c r="P202">
        <v>4332</v>
      </c>
    </row>
    <row r="203" spans="1:16" x14ac:dyDescent="0.3">
      <c r="A203">
        <v>202</v>
      </c>
      <c r="B203" s="1">
        <v>40745</v>
      </c>
      <c r="C203">
        <v>3</v>
      </c>
      <c r="D203">
        <v>0</v>
      </c>
      <c r="E203">
        <v>7</v>
      </c>
      <c r="F203">
        <v>0</v>
      </c>
      <c r="G203">
        <v>4</v>
      </c>
      <c r="H203">
        <v>1</v>
      </c>
      <c r="I203">
        <v>2</v>
      </c>
      <c r="J203">
        <v>0.81499999999999995</v>
      </c>
      <c r="K203">
        <v>0.82637099999999997</v>
      </c>
      <c r="L203">
        <v>0.69125000000000003</v>
      </c>
      <c r="M203">
        <v>0.222021</v>
      </c>
      <c r="N203">
        <v>632</v>
      </c>
      <c r="O203">
        <v>3152</v>
      </c>
      <c r="P203">
        <v>3784</v>
      </c>
    </row>
    <row r="204" spans="1:16" x14ac:dyDescent="0.3">
      <c r="A204">
        <v>203</v>
      </c>
      <c r="B204" s="1">
        <v>40746</v>
      </c>
      <c r="C204">
        <v>3</v>
      </c>
      <c r="D204">
        <v>0</v>
      </c>
      <c r="E204">
        <v>7</v>
      </c>
      <c r="F204">
        <v>0</v>
      </c>
      <c r="G204">
        <v>5</v>
      </c>
      <c r="H204">
        <v>1</v>
      </c>
      <c r="I204">
        <v>1</v>
      </c>
      <c r="J204">
        <v>0.848333</v>
      </c>
      <c r="K204">
        <v>0.84089599999999998</v>
      </c>
      <c r="L204">
        <v>0.58041699999999996</v>
      </c>
      <c r="M204">
        <v>0.1331</v>
      </c>
      <c r="N204">
        <v>562</v>
      </c>
      <c r="O204">
        <v>2825</v>
      </c>
      <c r="P204">
        <v>3387</v>
      </c>
    </row>
    <row r="205" spans="1:16" x14ac:dyDescent="0.3">
      <c r="A205">
        <v>204</v>
      </c>
      <c r="B205" s="1">
        <v>40747</v>
      </c>
      <c r="C205">
        <v>3</v>
      </c>
      <c r="D205">
        <v>0</v>
      </c>
      <c r="E205">
        <v>7</v>
      </c>
      <c r="F205">
        <v>0</v>
      </c>
      <c r="G205">
        <v>6</v>
      </c>
      <c r="H205">
        <v>0</v>
      </c>
      <c r="I205">
        <v>1</v>
      </c>
      <c r="J205">
        <v>0.84916700000000001</v>
      </c>
      <c r="K205">
        <v>0.80428699999999997</v>
      </c>
      <c r="L205">
        <v>0.5</v>
      </c>
      <c r="M205">
        <v>0.131221</v>
      </c>
      <c r="N205">
        <v>987</v>
      </c>
      <c r="O205">
        <v>2298</v>
      </c>
      <c r="P205">
        <v>3285</v>
      </c>
    </row>
    <row r="206" spans="1:16" x14ac:dyDescent="0.3">
      <c r="A206">
        <v>205</v>
      </c>
      <c r="B206" s="1">
        <v>40748</v>
      </c>
      <c r="C206">
        <v>3</v>
      </c>
      <c r="D206">
        <v>0</v>
      </c>
      <c r="E206">
        <v>7</v>
      </c>
      <c r="F206">
        <v>0</v>
      </c>
      <c r="G206">
        <v>0</v>
      </c>
      <c r="H206">
        <v>0</v>
      </c>
      <c r="I206">
        <v>1</v>
      </c>
      <c r="J206">
        <v>0.83</v>
      </c>
      <c r="K206">
        <v>0.79482900000000001</v>
      </c>
      <c r="L206">
        <v>0.55083300000000002</v>
      </c>
      <c r="M206">
        <v>0.16917099999999999</v>
      </c>
      <c r="N206">
        <v>1050</v>
      </c>
      <c r="O206">
        <v>2556</v>
      </c>
      <c r="P206">
        <v>3606</v>
      </c>
    </row>
    <row r="207" spans="1:16" x14ac:dyDescent="0.3">
      <c r="A207">
        <v>206</v>
      </c>
      <c r="B207" s="1">
        <v>40749</v>
      </c>
      <c r="C207">
        <v>3</v>
      </c>
      <c r="D207">
        <v>0</v>
      </c>
      <c r="E207">
        <v>7</v>
      </c>
      <c r="F207">
        <v>0</v>
      </c>
      <c r="G207">
        <v>1</v>
      </c>
      <c r="H207">
        <v>1</v>
      </c>
      <c r="I207">
        <v>1</v>
      </c>
      <c r="J207">
        <v>0.74333300000000002</v>
      </c>
      <c r="K207">
        <v>0.72095799999999999</v>
      </c>
      <c r="L207">
        <v>0.75708299999999995</v>
      </c>
      <c r="M207">
        <v>9.0808299999999995E-2</v>
      </c>
      <c r="N207">
        <v>568</v>
      </c>
      <c r="O207">
        <v>3272</v>
      </c>
      <c r="P207">
        <v>3840</v>
      </c>
    </row>
    <row r="208" spans="1:16" x14ac:dyDescent="0.3">
      <c r="A208">
        <v>207</v>
      </c>
      <c r="B208" s="1">
        <v>40750</v>
      </c>
      <c r="C208">
        <v>3</v>
      </c>
      <c r="D208">
        <v>0</v>
      </c>
      <c r="E208">
        <v>7</v>
      </c>
      <c r="F208">
        <v>0</v>
      </c>
      <c r="G208">
        <v>2</v>
      </c>
      <c r="H208">
        <v>1</v>
      </c>
      <c r="I208">
        <v>1</v>
      </c>
      <c r="J208">
        <v>0.77166699999999999</v>
      </c>
      <c r="K208">
        <v>0.69697900000000002</v>
      </c>
      <c r="L208">
        <v>0.54083300000000001</v>
      </c>
      <c r="M208">
        <v>0.20025799999999999</v>
      </c>
      <c r="N208">
        <v>750</v>
      </c>
      <c r="O208">
        <v>3840</v>
      </c>
      <c r="P208">
        <v>4590</v>
      </c>
    </row>
    <row r="209" spans="1:16" x14ac:dyDescent="0.3">
      <c r="A209">
        <v>208</v>
      </c>
      <c r="B209" s="1">
        <v>40751</v>
      </c>
      <c r="C209">
        <v>3</v>
      </c>
      <c r="D209">
        <v>0</v>
      </c>
      <c r="E209">
        <v>7</v>
      </c>
      <c r="F209">
        <v>0</v>
      </c>
      <c r="G209">
        <v>3</v>
      </c>
      <c r="H209">
        <v>1</v>
      </c>
      <c r="I209">
        <v>1</v>
      </c>
      <c r="J209">
        <v>0.77500000000000002</v>
      </c>
      <c r="K209">
        <v>0.69066700000000003</v>
      </c>
      <c r="L209">
        <v>0.40291700000000003</v>
      </c>
      <c r="M209">
        <v>0.18346299999999999</v>
      </c>
      <c r="N209">
        <v>755</v>
      </c>
      <c r="O209">
        <v>3901</v>
      </c>
      <c r="P209">
        <v>4656</v>
      </c>
    </row>
    <row r="210" spans="1:16" x14ac:dyDescent="0.3">
      <c r="A210">
        <v>209</v>
      </c>
      <c r="B210" s="1">
        <v>40752</v>
      </c>
      <c r="C210">
        <v>3</v>
      </c>
      <c r="D210">
        <v>0</v>
      </c>
      <c r="E210">
        <v>7</v>
      </c>
      <c r="F210">
        <v>0</v>
      </c>
      <c r="G210">
        <v>4</v>
      </c>
      <c r="H210">
        <v>1</v>
      </c>
      <c r="I210">
        <v>1</v>
      </c>
      <c r="J210">
        <v>0.77916700000000005</v>
      </c>
      <c r="K210">
        <v>0.7399</v>
      </c>
      <c r="L210">
        <v>0.58333299999999999</v>
      </c>
      <c r="M210">
        <v>0.178479</v>
      </c>
      <c r="N210">
        <v>606</v>
      </c>
      <c r="O210">
        <v>3784</v>
      </c>
      <c r="P210">
        <v>4390</v>
      </c>
    </row>
    <row r="211" spans="1:16" x14ac:dyDescent="0.3">
      <c r="A211">
        <v>210</v>
      </c>
      <c r="B211" s="1">
        <v>40753</v>
      </c>
      <c r="C211">
        <v>3</v>
      </c>
      <c r="D211">
        <v>0</v>
      </c>
      <c r="E211">
        <v>7</v>
      </c>
      <c r="F211">
        <v>0</v>
      </c>
      <c r="G211">
        <v>5</v>
      </c>
      <c r="H211">
        <v>1</v>
      </c>
      <c r="I211">
        <v>1</v>
      </c>
      <c r="J211">
        <v>0.83833299999999999</v>
      </c>
      <c r="K211">
        <v>0.78596699999999997</v>
      </c>
      <c r="L211">
        <v>0.54249999999999998</v>
      </c>
      <c r="M211">
        <v>0.17413799999999999</v>
      </c>
      <c r="N211">
        <v>670</v>
      </c>
      <c r="O211">
        <v>3176</v>
      </c>
      <c r="P211">
        <v>3846</v>
      </c>
    </row>
    <row r="212" spans="1:16" x14ac:dyDescent="0.3">
      <c r="A212">
        <v>211</v>
      </c>
      <c r="B212" s="1">
        <v>40754</v>
      </c>
      <c r="C212">
        <v>3</v>
      </c>
      <c r="D212">
        <v>0</v>
      </c>
      <c r="E212">
        <v>7</v>
      </c>
      <c r="F212">
        <v>0</v>
      </c>
      <c r="G212">
        <v>6</v>
      </c>
      <c r="H212">
        <v>0</v>
      </c>
      <c r="I212">
        <v>1</v>
      </c>
      <c r="J212">
        <v>0.80416699999999997</v>
      </c>
      <c r="K212">
        <v>0.72853699999999999</v>
      </c>
      <c r="L212">
        <v>0.465833</v>
      </c>
      <c r="M212">
        <v>0.16853699999999999</v>
      </c>
      <c r="N212">
        <v>1559</v>
      </c>
      <c r="O212">
        <v>2916</v>
      </c>
      <c r="P212">
        <v>4475</v>
      </c>
    </row>
    <row r="213" spans="1:16" x14ac:dyDescent="0.3">
      <c r="A213">
        <v>212</v>
      </c>
      <c r="B213" s="1">
        <v>40755</v>
      </c>
      <c r="C213">
        <v>3</v>
      </c>
      <c r="D213">
        <v>0</v>
      </c>
      <c r="E213">
        <v>7</v>
      </c>
      <c r="F213">
        <v>0</v>
      </c>
      <c r="G213">
        <v>0</v>
      </c>
      <c r="H213">
        <v>0</v>
      </c>
      <c r="I213">
        <v>1</v>
      </c>
      <c r="J213">
        <v>0.80583300000000002</v>
      </c>
      <c r="K213">
        <v>0.729796</v>
      </c>
      <c r="L213">
        <v>0.48083300000000001</v>
      </c>
      <c r="M213">
        <v>0.16481299999999999</v>
      </c>
      <c r="N213">
        <v>1524</v>
      </c>
      <c r="O213">
        <v>2778</v>
      </c>
      <c r="P213">
        <v>4302</v>
      </c>
    </row>
    <row r="214" spans="1:16" x14ac:dyDescent="0.3">
      <c r="A214">
        <v>213</v>
      </c>
      <c r="B214" s="1">
        <v>40756</v>
      </c>
      <c r="C214">
        <v>3</v>
      </c>
      <c r="D214">
        <v>0</v>
      </c>
      <c r="E214">
        <v>8</v>
      </c>
      <c r="F214">
        <v>0</v>
      </c>
      <c r="G214">
        <v>1</v>
      </c>
      <c r="H214">
        <v>1</v>
      </c>
      <c r="I214">
        <v>1</v>
      </c>
      <c r="J214">
        <v>0.77166699999999999</v>
      </c>
      <c r="K214">
        <v>0.70329200000000003</v>
      </c>
      <c r="L214">
        <v>0.55083300000000002</v>
      </c>
      <c r="M214">
        <v>0.156717</v>
      </c>
      <c r="N214">
        <v>729</v>
      </c>
      <c r="O214">
        <v>3537</v>
      </c>
      <c r="P214">
        <v>4266</v>
      </c>
    </row>
    <row r="215" spans="1:16" x14ac:dyDescent="0.3">
      <c r="A215">
        <v>214</v>
      </c>
      <c r="B215" s="1">
        <v>40757</v>
      </c>
      <c r="C215">
        <v>3</v>
      </c>
      <c r="D215">
        <v>0</v>
      </c>
      <c r="E215">
        <v>8</v>
      </c>
      <c r="F215">
        <v>0</v>
      </c>
      <c r="G215">
        <v>2</v>
      </c>
      <c r="H215">
        <v>1</v>
      </c>
      <c r="I215">
        <v>1</v>
      </c>
      <c r="J215">
        <v>0.78333299999999995</v>
      </c>
      <c r="K215">
        <v>0.70707100000000001</v>
      </c>
      <c r="L215">
        <v>0.49125000000000002</v>
      </c>
      <c r="M215">
        <v>0.20585000000000001</v>
      </c>
      <c r="N215">
        <v>801</v>
      </c>
      <c r="O215">
        <v>4044</v>
      </c>
      <c r="P215">
        <v>4845</v>
      </c>
    </row>
    <row r="216" spans="1:16" x14ac:dyDescent="0.3">
      <c r="A216">
        <v>215</v>
      </c>
      <c r="B216" s="1">
        <v>40758</v>
      </c>
      <c r="C216">
        <v>3</v>
      </c>
      <c r="D216">
        <v>0</v>
      </c>
      <c r="E216">
        <v>8</v>
      </c>
      <c r="F216">
        <v>0</v>
      </c>
      <c r="G216">
        <v>3</v>
      </c>
      <c r="H216">
        <v>1</v>
      </c>
      <c r="I216">
        <v>2</v>
      </c>
      <c r="J216">
        <v>0.73166699999999996</v>
      </c>
      <c r="K216">
        <v>0.67993700000000001</v>
      </c>
      <c r="L216">
        <v>0.65749999999999997</v>
      </c>
      <c r="M216">
        <v>0.13558300000000001</v>
      </c>
      <c r="N216">
        <v>467</v>
      </c>
      <c r="O216">
        <v>3107</v>
      </c>
      <c r="P216">
        <v>3574</v>
      </c>
    </row>
    <row r="217" spans="1:16" x14ac:dyDescent="0.3">
      <c r="A217">
        <v>216</v>
      </c>
      <c r="B217" s="1">
        <v>40759</v>
      </c>
      <c r="C217">
        <v>3</v>
      </c>
      <c r="D217">
        <v>0</v>
      </c>
      <c r="E217">
        <v>8</v>
      </c>
      <c r="F217">
        <v>0</v>
      </c>
      <c r="G217">
        <v>4</v>
      </c>
      <c r="H217">
        <v>1</v>
      </c>
      <c r="I217">
        <v>2</v>
      </c>
      <c r="J217">
        <v>0.71</v>
      </c>
      <c r="K217">
        <v>0.66478800000000005</v>
      </c>
      <c r="L217">
        <v>0.75749999999999995</v>
      </c>
      <c r="M217">
        <v>0.19714999999999999</v>
      </c>
      <c r="N217">
        <v>799</v>
      </c>
      <c r="O217">
        <v>3777</v>
      </c>
      <c r="P217">
        <v>4576</v>
      </c>
    </row>
    <row r="218" spans="1:16" x14ac:dyDescent="0.3">
      <c r="A218">
        <v>217</v>
      </c>
      <c r="B218" s="1">
        <v>40760</v>
      </c>
      <c r="C218">
        <v>3</v>
      </c>
      <c r="D218">
        <v>0</v>
      </c>
      <c r="E218">
        <v>8</v>
      </c>
      <c r="F218">
        <v>0</v>
      </c>
      <c r="G218">
        <v>5</v>
      </c>
      <c r="H218">
        <v>1</v>
      </c>
      <c r="I218">
        <v>1</v>
      </c>
      <c r="J218">
        <v>0.71083300000000005</v>
      </c>
      <c r="K218">
        <v>0.65656700000000001</v>
      </c>
      <c r="L218">
        <v>0.63083299999999998</v>
      </c>
      <c r="M218">
        <v>0.184696</v>
      </c>
      <c r="N218">
        <v>1023</v>
      </c>
      <c r="O218">
        <v>3843</v>
      </c>
      <c r="P218">
        <v>4866</v>
      </c>
    </row>
    <row r="219" spans="1:16" x14ac:dyDescent="0.3">
      <c r="A219">
        <v>218</v>
      </c>
      <c r="B219" s="1">
        <v>40761</v>
      </c>
      <c r="C219">
        <v>3</v>
      </c>
      <c r="D219">
        <v>0</v>
      </c>
      <c r="E219">
        <v>8</v>
      </c>
      <c r="F219">
        <v>0</v>
      </c>
      <c r="G219">
        <v>6</v>
      </c>
      <c r="H219">
        <v>0</v>
      </c>
      <c r="I219">
        <v>2</v>
      </c>
      <c r="J219">
        <v>0.71666700000000005</v>
      </c>
      <c r="K219">
        <v>0.67615400000000003</v>
      </c>
      <c r="L219">
        <v>0.755</v>
      </c>
      <c r="M219">
        <v>0.22825000000000001</v>
      </c>
      <c r="N219">
        <v>1521</v>
      </c>
      <c r="O219">
        <v>2773</v>
      </c>
      <c r="P219">
        <v>4294</v>
      </c>
    </row>
    <row r="220" spans="1:16" x14ac:dyDescent="0.3">
      <c r="A220">
        <v>219</v>
      </c>
      <c r="B220" s="1">
        <v>40762</v>
      </c>
      <c r="C220">
        <v>3</v>
      </c>
      <c r="D220">
        <v>0</v>
      </c>
      <c r="E220">
        <v>8</v>
      </c>
      <c r="F220">
        <v>0</v>
      </c>
      <c r="G220">
        <v>0</v>
      </c>
      <c r="H220">
        <v>0</v>
      </c>
      <c r="I220">
        <v>1</v>
      </c>
      <c r="J220">
        <v>0.74250000000000005</v>
      </c>
      <c r="K220">
        <v>0.71529200000000004</v>
      </c>
      <c r="L220">
        <v>0.75291699999999995</v>
      </c>
      <c r="M220">
        <v>0.201487</v>
      </c>
      <c r="N220">
        <v>1298</v>
      </c>
      <c r="O220">
        <v>2487</v>
      </c>
      <c r="P220">
        <v>3785</v>
      </c>
    </row>
    <row r="221" spans="1:16" x14ac:dyDescent="0.3">
      <c r="A221">
        <v>220</v>
      </c>
      <c r="B221" s="1">
        <v>40763</v>
      </c>
      <c r="C221">
        <v>3</v>
      </c>
      <c r="D221">
        <v>0</v>
      </c>
      <c r="E221">
        <v>8</v>
      </c>
      <c r="F221">
        <v>0</v>
      </c>
      <c r="G221">
        <v>1</v>
      </c>
      <c r="H221">
        <v>1</v>
      </c>
      <c r="I221">
        <v>1</v>
      </c>
      <c r="J221">
        <v>0.76500000000000001</v>
      </c>
      <c r="K221">
        <v>0.70328299999999999</v>
      </c>
      <c r="L221">
        <v>0.59208300000000003</v>
      </c>
      <c r="M221">
        <v>0.19217500000000001</v>
      </c>
      <c r="N221">
        <v>846</v>
      </c>
      <c r="O221">
        <v>3480</v>
      </c>
      <c r="P221">
        <v>4326</v>
      </c>
    </row>
    <row r="222" spans="1:16" x14ac:dyDescent="0.3">
      <c r="A222">
        <v>221</v>
      </c>
      <c r="B222" s="1">
        <v>40764</v>
      </c>
      <c r="C222">
        <v>3</v>
      </c>
      <c r="D222">
        <v>0</v>
      </c>
      <c r="E222">
        <v>8</v>
      </c>
      <c r="F222">
        <v>0</v>
      </c>
      <c r="G222">
        <v>2</v>
      </c>
      <c r="H222">
        <v>1</v>
      </c>
      <c r="I222">
        <v>1</v>
      </c>
      <c r="J222">
        <v>0.77500000000000002</v>
      </c>
      <c r="K222">
        <v>0.72412100000000001</v>
      </c>
      <c r="L222">
        <v>0.57041699999999995</v>
      </c>
      <c r="M222">
        <v>0.15112100000000001</v>
      </c>
      <c r="N222">
        <v>907</v>
      </c>
      <c r="O222">
        <v>3695</v>
      </c>
      <c r="P222">
        <v>4602</v>
      </c>
    </row>
    <row r="223" spans="1:16" x14ac:dyDescent="0.3">
      <c r="A223">
        <v>222</v>
      </c>
      <c r="B223" s="1">
        <v>40765</v>
      </c>
      <c r="C223">
        <v>3</v>
      </c>
      <c r="D223">
        <v>0</v>
      </c>
      <c r="E223">
        <v>8</v>
      </c>
      <c r="F223">
        <v>0</v>
      </c>
      <c r="G223">
        <v>3</v>
      </c>
      <c r="H223">
        <v>1</v>
      </c>
      <c r="I223">
        <v>1</v>
      </c>
      <c r="J223">
        <v>0.76666699999999999</v>
      </c>
      <c r="K223">
        <v>0.68498300000000001</v>
      </c>
      <c r="L223">
        <v>0.42416700000000002</v>
      </c>
      <c r="M223">
        <v>0.20025799999999999</v>
      </c>
      <c r="N223">
        <v>884</v>
      </c>
      <c r="O223">
        <v>3896</v>
      </c>
      <c r="P223">
        <v>4780</v>
      </c>
    </row>
    <row r="224" spans="1:16" x14ac:dyDescent="0.3">
      <c r="A224">
        <v>223</v>
      </c>
      <c r="B224" s="1">
        <v>40766</v>
      </c>
      <c r="C224">
        <v>3</v>
      </c>
      <c r="D224">
        <v>0</v>
      </c>
      <c r="E224">
        <v>8</v>
      </c>
      <c r="F224">
        <v>0</v>
      </c>
      <c r="G224">
        <v>4</v>
      </c>
      <c r="H224">
        <v>1</v>
      </c>
      <c r="I224">
        <v>1</v>
      </c>
      <c r="J224">
        <v>0.71750000000000003</v>
      </c>
      <c r="K224">
        <v>0.65152100000000002</v>
      </c>
      <c r="L224">
        <v>0.42375000000000002</v>
      </c>
      <c r="M224">
        <v>0.164796</v>
      </c>
      <c r="N224">
        <v>812</v>
      </c>
      <c r="O224">
        <v>3980</v>
      </c>
      <c r="P224">
        <v>4792</v>
      </c>
    </row>
    <row r="225" spans="1:16" x14ac:dyDescent="0.3">
      <c r="A225">
        <v>224</v>
      </c>
      <c r="B225" s="1">
        <v>40767</v>
      </c>
      <c r="C225">
        <v>3</v>
      </c>
      <c r="D225">
        <v>0</v>
      </c>
      <c r="E225">
        <v>8</v>
      </c>
      <c r="F225">
        <v>0</v>
      </c>
      <c r="G225">
        <v>5</v>
      </c>
      <c r="H225">
        <v>1</v>
      </c>
      <c r="I225">
        <v>1</v>
      </c>
      <c r="J225">
        <v>0.70833299999999999</v>
      </c>
      <c r="K225">
        <v>0.65404200000000001</v>
      </c>
      <c r="L225">
        <v>0.41499999999999998</v>
      </c>
      <c r="M225">
        <v>0.12562100000000001</v>
      </c>
      <c r="N225">
        <v>1051</v>
      </c>
      <c r="O225">
        <v>3854</v>
      </c>
      <c r="P225">
        <v>4905</v>
      </c>
    </row>
    <row r="226" spans="1:16" x14ac:dyDescent="0.3">
      <c r="A226">
        <v>225</v>
      </c>
      <c r="B226" s="1">
        <v>40768</v>
      </c>
      <c r="C226">
        <v>3</v>
      </c>
      <c r="D226">
        <v>0</v>
      </c>
      <c r="E226">
        <v>8</v>
      </c>
      <c r="F226">
        <v>0</v>
      </c>
      <c r="G226">
        <v>6</v>
      </c>
      <c r="H226">
        <v>0</v>
      </c>
      <c r="I226">
        <v>2</v>
      </c>
      <c r="J226">
        <v>0.68583300000000003</v>
      </c>
      <c r="K226">
        <v>0.64585800000000004</v>
      </c>
      <c r="L226">
        <v>0.72958299999999998</v>
      </c>
      <c r="M226">
        <v>0.211454</v>
      </c>
      <c r="N226">
        <v>1504</v>
      </c>
      <c r="O226">
        <v>2646</v>
      </c>
      <c r="P226">
        <v>4150</v>
      </c>
    </row>
    <row r="227" spans="1:16" x14ac:dyDescent="0.3">
      <c r="A227">
        <v>226</v>
      </c>
      <c r="B227" s="1">
        <v>40769</v>
      </c>
      <c r="C227">
        <v>3</v>
      </c>
      <c r="D227">
        <v>0</v>
      </c>
      <c r="E227">
        <v>8</v>
      </c>
      <c r="F227">
        <v>0</v>
      </c>
      <c r="G227">
        <v>0</v>
      </c>
      <c r="H227">
        <v>0</v>
      </c>
      <c r="I227">
        <v>2</v>
      </c>
      <c r="J227">
        <v>0.67666700000000002</v>
      </c>
      <c r="K227">
        <v>0.62438800000000005</v>
      </c>
      <c r="L227">
        <v>0.8175</v>
      </c>
      <c r="M227">
        <v>0.222633</v>
      </c>
      <c r="N227">
        <v>1338</v>
      </c>
      <c r="O227">
        <v>2482</v>
      </c>
      <c r="P227">
        <v>3820</v>
      </c>
    </row>
    <row r="228" spans="1:16" x14ac:dyDescent="0.3">
      <c r="A228">
        <v>227</v>
      </c>
      <c r="B228" s="1">
        <v>40770</v>
      </c>
      <c r="C228">
        <v>3</v>
      </c>
      <c r="D228">
        <v>0</v>
      </c>
      <c r="E228">
        <v>8</v>
      </c>
      <c r="F228">
        <v>0</v>
      </c>
      <c r="G228">
        <v>1</v>
      </c>
      <c r="H228">
        <v>1</v>
      </c>
      <c r="I228">
        <v>1</v>
      </c>
      <c r="J228">
        <v>0.66583300000000001</v>
      </c>
      <c r="K228">
        <v>0.61616700000000002</v>
      </c>
      <c r="L228">
        <v>0.71208300000000002</v>
      </c>
      <c r="M228">
        <v>0.208954</v>
      </c>
      <c r="N228">
        <v>775</v>
      </c>
      <c r="O228">
        <v>3563</v>
      </c>
      <c r="P228">
        <v>4338</v>
      </c>
    </row>
    <row r="229" spans="1:16" x14ac:dyDescent="0.3">
      <c r="A229">
        <v>228</v>
      </c>
      <c r="B229" s="1">
        <v>40771</v>
      </c>
      <c r="C229">
        <v>3</v>
      </c>
      <c r="D229">
        <v>0</v>
      </c>
      <c r="E229">
        <v>8</v>
      </c>
      <c r="F229">
        <v>0</v>
      </c>
      <c r="G229">
        <v>2</v>
      </c>
      <c r="H229">
        <v>1</v>
      </c>
      <c r="I229">
        <v>1</v>
      </c>
      <c r="J229">
        <v>0.70083300000000004</v>
      </c>
      <c r="K229">
        <v>0.64583699999999999</v>
      </c>
      <c r="L229">
        <v>0.57833299999999999</v>
      </c>
      <c r="M229">
        <v>0.23632900000000001</v>
      </c>
      <c r="N229">
        <v>721</v>
      </c>
      <c r="O229">
        <v>4004</v>
      </c>
      <c r="P229">
        <v>4725</v>
      </c>
    </row>
    <row r="230" spans="1:16" x14ac:dyDescent="0.3">
      <c r="A230">
        <v>229</v>
      </c>
      <c r="B230" s="1">
        <v>40772</v>
      </c>
      <c r="C230">
        <v>3</v>
      </c>
      <c r="D230">
        <v>0</v>
      </c>
      <c r="E230">
        <v>8</v>
      </c>
      <c r="F230">
        <v>0</v>
      </c>
      <c r="G230">
        <v>3</v>
      </c>
      <c r="H230">
        <v>1</v>
      </c>
      <c r="I230">
        <v>1</v>
      </c>
      <c r="J230">
        <v>0.723333</v>
      </c>
      <c r="K230">
        <v>0.66667100000000001</v>
      </c>
      <c r="L230">
        <v>0.57541699999999996</v>
      </c>
      <c r="M230">
        <v>0.14366699999999999</v>
      </c>
      <c r="N230">
        <v>668</v>
      </c>
      <c r="O230">
        <v>4026</v>
      </c>
      <c r="P230">
        <v>4694</v>
      </c>
    </row>
    <row r="231" spans="1:16" x14ac:dyDescent="0.3">
      <c r="A231">
        <v>230</v>
      </c>
      <c r="B231" s="1">
        <v>40773</v>
      </c>
      <c r="C231">
        <v>3</v>
      </c>
      <c r="D231">
        <v>0</v>
      </c>
      <c r="E231">
        <v>8</v>
      </c>
      <c r="F231">
        <v>0</v>
      </c>
      <c r="G231">
        <v>4</v>
      </c>
      <c r="H231">
        <v>1</v>
      </c>
      <c r="I231">
        <v>1</v>
      </c>
      <c r="J231">
        <v>0.71166700000000005</v>
      </c>
      <c r="K231">
        <v>0.66225800000000001</v>
      </c>
      <c r="L231">
        <v>0.65458300000000003</v>
      </c>
      <c r="M231">
        <v>0.233208</v>
      </c>
      <c r="N231">
        <v>639</v>
      </c>
      <c r="O231">
        <v>3166</v>
      </c>
      <c r="P231">
        <v>3805</v>
      </c>
    </row>
    <row r="232" spans="1:16" x14ac:dyDescent="0.3">
      <c r="A232">
        <v>231</v>
      </c>
      <c r="B232" s="1">
        <v>40774</v>
      </c>
      <c r="C232">
        <v>3</v>
      </c>
      <c r="D232">
        <v>0</v>
      </c>
      <c r="E232">
        <v>8</v>
      </c>
      <c r="F232">
        <v>0</v>
      </c>
      <c r="G232">
        <v>5</v>
      </c>
      <c r="H232">
        <v>1</v>
      </c>
      <c r="I232">
        <v>2</v>
      </c>
      <c r="J232">
        <v>0.68500000000000005</v>
      </c>
      <c r="K232">
        <v>0.63322100000000003</v>
      </c>
      <c r="L232">
        <v>0.72291700000000003</v>
      </c>
      <c r="M232">
        <v>0.13930799999999999</v>
      </c>
      <c r="N232">
        <v>797</v>
      </c>
      <c r="O232">
        <v>3356</v>
      </c>
      <c r="P232">
        <v>4153</v>
      </c>
    </row>
    <row r="233" spans="1:16" x14ac:dyDescent="0.3">
      <c r="A233">
        <v>232</v>
      </c>
      <c r="B233" s="1">
        <v>40775</v>
      </c>
      <c r="C233">
        <v>3</v>
      </c>
      <c r="D233">
        <v>0</v>
      </c>
      <c r="E233">
        <v>8</v>
      </c>
      <c r="F233">
        <v>0</v>
      </c>
      <c r="G233">
        <v>6</v>
      </c>
      <c r="H233">
        <v>0</v>
      </c>
      <c r="I233">
        <v>1</v>
      </c>
      <c r="J233">
        <v>0.69750000000000001</v>
      </c>
      <c r="K233">
        <v>0.64899600000000002</v>
      </c>
      <c r="L233">
        <v>0.67416699999999996</v>
      </c>
      <c r="M233">
        <v>0.104467</v>
      </c>
      <c r="N233">
        <v>1914</v>
      </c>
      <c r="O233">
        <v>3277</v>
      </c>
      <c r="P233">
        <v>5191</v>
      </c>
    </row>
    <row r="234" spans="1:16" x14ac:dyDescent="0.3">
      <c r="A234">
        <v>233</v>
      </c>
      <c r="B234" s="1">
        <v>40776</v>
      </c>
      <c r="C234">
        <v>3</v>
      </c>
      <c r="D234">
        <v>0</v>
      </c>
      <c r="E234">
        <v>8</v>
      </c>
      <c r="F234">
        <v>0</v>
      </c>
      <c r="G234">
        <v>0</v>
      </c>
      <c r="H234">
        <v>0</v>
      </c>
      <c r="I234">
        <v>1</v>
      </c>
      <c r="J234">
        <v>0.71083300000000005</v>
      </c>
      <c r="K234">
        <v>0.67552500000000004</v>
      </c>
      <c r="L234">
        <v>0.77</v>
      </c>
      <c r="M234">
        <v>0.248754</v>
      </c>
      <c r="N234">
        <v>1249</v>
      </c>
      <c r="O234">
        <v>2624</v>
      </c>
      <c r="P234">
        <v>3873</v>
      </c>
    </row>
    <row r="235" spans="1:16" x14ac:dyDescent="0.3">
      <c r="A235">
        <v>234</v>
      </c>
      <c r="B235" s="1">
        <v>40777</v>
      </c>
      <c r="C235">
        <v>3</v>
      </c>
      <c r="D235">
        <v>0</v>
      </c>
      <c r="E235">
        <v>8</v>
      </c>
      <c r="F235">
        <v>0</v>
      </c>
      <c r="G235">
        <v>1</v>
      </c>
      <c r="H235">
        <v>1</v>
      </c>
      <c r="I235">
        <v>1</v>
      </c>
      <c r="J235">
        <v>0.69166700000000003</v>
      </c>
      <c r="K235">
        <v>0.63825399999999999</v>
      </c>
      <c r="L235">
        <v>0.47</v>
      </c>
      <c r="M235">
        <v>0.27675</v>
      </c>
      <c r="N235">
        <v>833</v>
      </c>
      <c r="O235">
        <v>3925</v>
      </c>
      <c r="P235">
        <v>4758</v>
      </c>
    </row>
    <row r="236" spans="1:16" x14ac:dyDescent="0.3">
      <c r="A236">
        <v>235</v>
      </c>
      <c r="B236" s="1">
        <v>40778</v>
      </c>
      <c r="C236">
        <v>3</v>
      </c>
      <c r="D236">
        <v>0</v>
      </c>
      <c r="E236">
        <v>8</v>
      </c>
      <c r="F236">
        <v>0</v>
      </c>
      <c r="G236">
        <v>2</v>
      </c>
      <c r="H236">
        <v>1</v>
      </c>
      <c r="I236">
        <v>1</v>
      </c>
      <c r="J236">
        <v>0.64083299999999999</v>
      </c>
      <c r="K236">
        <v>0.60606700000000002</v>
      </c>
      <c r="L236">
        <v>0.45541700000000002</v>
      </c>
      <c r="M236">
        <v>0.146763</v>
      </c>
      <c r="N236">
        <v>1281</v>
      </c>
      <c r="O236">
        <v>4614</v>
      </c>
      <c r="P236">
        <v>5895</v>
      </c>
    </row>
    <row r="237" spans="1:16" x14ac:dyDescent="0.3">
      <c r="A237">
        <v>236</v>
      </c>
      <c r="B237" s="1">
        <v>40779</v>
      </c>
      <c r="C237">
        <v>3</v>
      </c>
      <c r="D237">
        <v>0</v>
      </c>
      <c r="E237">
        <v>8</v>
      </c>
      <c r="F237">
        <v>0</v>
      </c>
      <c r="G237">
        <v>3</v>
      </c>
      <c r="H237">
        <v>1</v>
      </c>
      <c r="I237">
        <v>1</v>
      </c>
      <c r="J237">
        <v>0.67333299999999996</v>
      </c>
      <c r="K237">
        <v>0.63069200000000003</v>
      </c>
      <c r="L237">
        <v>0.60499999999999998</v>
      </c>
      <c r="M237">
        <v>0.253108</v>
      </c>
      <c r="N237">
        <v>949</v>
      </c>
      <c r="O237">
        <v>4181</v>
      </c>
      <c r="P237">
        <v>5130</v>
      </c>
    </row>
    <row r="238" spans="1:16" x14ac:dyDescent="0.3">
      <c r="A238">
        <v>237</v>
      </c>
      <c r="B238" s="1">
        <v>40780</v>
      </c>
      <c r="C238">
        <v>3</v>
      </c>
      <c r="D238">
        <v>0</v>
      </c>
      <c r="E238">
        <v>8</v>
      </c>
      <c r="F238">
        <v>0</v>
      </c>
      <c r="G238">
        <v>4</v>
      </c>
      <c r="H238">
        <v>1</v>
      </c>
      <c r="I238">
        <v>2</v>
      </c>
      <c r="J238">
        <v>0.68416699999999997</v>
      </c>
      <c r="K238">
        <v>0.64585400000000004</v>
      </c>
      <c r="L238">
        <v>0.77166699999999999</v>
      </c>
      <c r="M238">
        <v>0.21083299999999999</v>
      </c>
      <c r="N238">
        <v>435</v>
      </c>
      <c r="O238">
        <v>3107</v>
      </c>
      <c r="P238">
        <v>3542</v>
      </c>
    </row>
    <row r="239" spans="1:16" x14ac:dyDescent="0.3">
      <c r="A239">
        <v>238</v>
      </c>
      <c r="B239" s="1">
        <v>40781</v>
      </c>
      <c r="C239">
        <v>3</v>
      </c>
      <c r="D239">
        <v>0</v>
      </c>
      <c r="E239">
        <v>8</v>
      </c>
      <c r="F239">
        <v>0</v>
      </c>
      <c r="G239">
        <v>5</v>
      </c>
      <c r="H239">
        <v>1</v>
      </c>
      <c r="I239">
        <v>1</v>
      </c>
      <c r="J239">
        <v>0.7</v>
      </c>
      <c r="K239">
        <v>0.65973300000000001</v>
      </c>
      <c r="L239">
        <v>0.76124999999999998</v>
      </c>
      <c r="M239">
        <v>8.3962499999999995E-2</v>
      </c>
      <c r="N239">
        <v>768</v>
      </c>
      <c r="O239">
        <v>3893</v>
      </c>
      <c r="P239">
        <v>4661</v>
      </c>
    </row>
    <row r="240" spans="1:16" x14ac:dyDescent="0.3">
      <c r="A240">
        <v>239</v>
      </c>
      <c r="B240" s="1">
        <v>40782</v>
      </c>
      <c r="C240">
        <v>3</v>
      </c>
      <c r="D240">
        <v>0</v>
      </c>
      <c r="E240">
        <v>8</v>
      </c>
      <c r="F240">
        <v>0</v>
      </c>
      <c r="G240">
        <v>6</v>
      </c>
      <c r="H240">
        <v>0</v>
      </c>
      <c r="I240">
        <v>2</v>
      </c>
      <c r="J240">
        <v>0.68</v>
      </c>
      <c r="K240">
        <v>0.63555600000000001</v>
      </c>
      <c r="L240">
        <v>0.85</v>
      </c>
      <c r="M240">
        <v>0.37561699999999998</v>
      </c>
      <c r="N240">
        <v>226</v>
      </c>
      <c r="O240">
        <v>889</v>
      </c>
      <c r="P240">
        <v>1115</v>
      </c>
    </row>
    <row r="241" spans="1:16" x14ac:dyDescent="0.3">
      <c r="A241">
        <v>240</v>
      </c>
      <c r="B241" s="1">
        <v>40783</v>
      </c>
      <c r="C241">
        <v>3</v>
      </c>
      <c r="D241">
        <v>0</v>
      </c>
      <c r="E241">
        <v>8</v>
      </c>
      <c r="F241">
        <v>0</v>
      </c>
      <c r="G241">
        <v>0</v>
      </c>
      <c r="H241">
        <v>0</v>
      </c>
      <c r="I241">
        <v>1</v>
      </c>
      <c r="J241">
        <v>0.70705899999999999</v>
      </c>
      <c r="K241">
        <v>0.64795899999999995</v>
      </c>
      <c r="L241">
        <v>0.56176499999999996</v>
      </c>
      <c r="M241">
        <v>0.30465900000000001</v>
      </c>
      <c r="N241">
        <v>1415</v>
      </c>
      <c r="O241">
        <v>2919</v>
      </c>
      <c r="P241">
        <v>4334</v>
      </c>
    </row>
    <row r="242" spans="1:16" x14ac:dyDescent="0.3">
      <c r="A242">
        <v>241</v>
      </c>
      <c r="B242" s="1">
        <v>40784</v>
      </c>
      <c r="C242">
        <v>3</v>
      </c>
      <c r="D242">
        <v>0</v>
      </c>
      <c r="E242">
        <v>8</v>
      </c>
      <c r="F242">
        <v>0</v>
      </c>
      <c r="G242">
        <v>1</v>
      </c>
      <c r="H242">
        <v>1</v>
      </c>
      <c r="I242">
        <v>1</v>
      </c>
      <c r="J242">
        <v>0.63666699999999998</v>
      </c>
      <c r="K242">
        <v>0.607958</v>
      </c>
      <c r="L242">
        <v>0.55458300000000005</v>
      </c>
      <c r="M242">
        <v>0.15982499999999999</v>
      </c>
      <c r="N242">
        <v>729</v>
      </c>
      <c r="O242">
        <v>3905</v>
      </c>
      <c r="P242">
        <v>4634</v>
      </c>
    </row>
    <row r="243" spans="1:16" x14ac:dyDescent="0.3">
      <c r="A243">
        <v>242</v>
      </c>
      <c r="B243" s="1">
        <v>40785</v>
      </c>
      <c r="C243">
        <v>3</v>
      </c>
      <c r="D243">
        <v>0</v>
      </c>
      <c r="E243">
        <v>8</v>
      </c>
      <c r="F243">
        <v>0</v>
      </c>
      <c r="G243">
        <v>2</v>
      </c>
      <c r="H243">
        <v>1</v>
      </c>
      <c r="I243">
        <v>1</v>
      </c>
      <c r="J243">
        <v>0.63916700000000004</v>
      </c>
      <c r="K243">
        <v>0.59470400000000001</v>
      </c>
      <c r="L243">
        <v>0.54833299999999996</v>
      </c>
      <c r="M243">
        <v>0.12500800000000001</v>
      </c>
      <c r="N243">
        <v>775</v>
      </c>
      <c r="O243">
        <v>4429</v>
      </c>
      <c r="P243">
        <v>5204</v>
      </c>
    </row>
    <row r="244" spans="1:16" x14ac:dyDescent="0.3">
      <c r="A244">
        <v>243</v>
      </c>
      <c r="B244" s="1">
        <v>40786</v>
      </c>
      <c r="C244">
        <v>3</v>
      </c>
      <c r="D244">
        <v>0</v>
      </c>
      <c r="E244">
        <v>8</v>
      </c>
      <c r="F244">
        <v>0</v>
      </c>
      <c r="G244">
        <v>3</v>
      </c>
      <c r="H244">
        <v>1</v>
      </c>
      <c r="I244">
        <v>1</v>
      </c>
      <c r="J244">
        <v>0.656667</v>
      </c>
      <c r="K244">
        <v>0.61112100000000003</v>
      </c>
      <c r="L244">
        <v>0.59791700000000003</v>
      </c>
      <c r="M244">
        <v>8.3333299999999999E-2</v>
      </c>
      <c r="N244">
        <v>688</v>
      </c>
      <c r="O244">
        <v>4370</v>
      </c>
      <c r="P244">
        <v>5058</v>
      </c>
    </row>
    <row r="245" spans="1:16" x14ac:dyDescent="0.3">
      <c r="A245">
        <v>244</v>
      </c>
      <c r="B245" s="1">
        <v>40787</v>
      </c>
      <c r="C245">
        <v>3</v>
      </c>
      <c r="D245">
        <v>0</v>
      </c>
      <c r="E245">
        <v>9</v>
      </c>
      <c r="F245">
        <v>0</v>
      </c>
      <c r="G245">
        <v>4</v>
      </c>
      <c r="H245">
        <v>1</v>
      </c>
      <c r="I245">
        <v>1</v>
      </c>
      <c r="J245">
        <v>0.65500000000000003</v>
      </c>
      <c r="K245">
        <v>0.61492100000000005</v>
      </c>
      <c r="L245">
        <v>0.63916700000000004</v>
      </c>
      <c r="M245">
        <v>0.14179600000000001</v>
      </c>
      <c r="N245">
        <v>783</v>
      </c>
      <c r="O245">
        <v>4332</v>
      </c>
      <c r="P245">
        <v>5115</v>
      </c>
    </row>
    <row r="246" spans="1:16" x14ac:dyDescent="0.3">
      <c r="A246">
        <v>245</v>
      </c>
      <c r="B246" s="1">
        <v>40788</v>
      </c>
      <c r="C246">
        <v>3</v>
      </c>
      <c r="D246">
        <v>0</v>
      </c>
      <c r="E246">
        <v>9</v>
      </c>
      <c r="F246">
        <v>0</v>
      </c>
      <c r="G246">
        <v>5</v>
      </c>
      <c r="H246">
        <v>1</v>
      </c>
      <c r="I246">
        <v>2</v>
      </c>
      <c r="J246">
        <v>0.64333300000000004</v>
      </c>
      <c r="K246">
        <v>0.60480800000000001</v>
      </c>
      <c r="L246">
        <v>0.72708300000000003</v>
      </c>
      <c r="M246">
        <v>0.139929</v>
      </c>
      <c r="N246">
        <v>875</v>
      </c>
      <c r="O246">
        <v>3852</v>
      </c>
      <c r="P246">
        <v>4727</v>
      </c>
    </row>
    <row r="247" spans="1:16" x14ac:dyDescent="0.3">
      <c r="A247">
        <v>246</v>
      </c>
      <c r="B247" s="1">
        <v>40789</v>
      </c>
      <c r="C247">
        <v>3</v>
      </c>
      <c r="D247">
        <v>0</v>
      </c>
      <c r="E247">
        <v>9</v>
      </c>
      <c r="F247">
        <v>0</v>
      </c>
      <c r="G247">
        <v>6</v>
      </c>
      <c r="H247">
        <v>0</v>
      </c>
      <c r="I247">
        <v>1</v>
      </c>
      <c r="J247">
        <v>0.66916699999999996</v>
      </c>
      <c r="K247">
        <v>0.63321300000000003</v>
      </c>
      <c r="L247">
        <v>0.71666700000000005</v>
      </c>
      <c r="M247">
        <v>0.18532499999999999</v>
      </c>
      <c r="N247">
        <v>1935</v>
      </c>
      <c r="O247">
        <v>2549</v>
      </c>
      <c r="P247">
        <v>4484</v>
      </c>
    </row>
    <row r="248" spans="1:16" x14ac:dyDescent="0.3">
      <c r="A248">
        <v>247</v>
      </c>
      <c r="B248" s="1">
        <v>40790</v>
      </c>
      <c r="C248">
        <v>3</v>
      </c>
      <c r="D248">
        <v>0</v>
      </c>
      <c r="E248">
        <v>9</v>
      </c>
      <c r="F248">
        <v>0</v>
      </c>
      <c r="G248">
        <v>0</v>
      </c>
      <c r="H248">
        <v>0</v>
      </c>
      <c r="I248">
        <v>1</v>
      </c>
      <c r="J248">
        <v>0.70916699999999999</v>
      </c>
      <c r="K248">
        <v>0.66542900000000005</v>
      </c>
      <c r="L248">
        <v>0.74208300000000005</v>
      </c>
      <c r="M248">
        <v>0.20646700000000001</v>
      </c>
      <c r="N248">
        <v>2521</v>
      </c>
      <c r="O248">
        <v>2419</v>
      </c>
      <c r="P248">
        <v>4940</v>
      </c>
    </row>
    <row r="249" spans="1:16" x14ac:dyDescent="0.3">
      <c r="A249">
        <v>248</v>
      </c>
      <c r="B249" s="1">
        <v>40791</v>
      </c>
      <c r="C249">
        <v>3</v>
      </c>
      <c r="D249">
        <v>0</v>
      </c>
      <c r="E249">
        <v>9</v>
      </c>
      <c r="F249">
        <v>1</v>
      </c>
      <c r="G249">
        <v>1</v>
      </c>
      <c r="H249">
        <v>0</v>
      </c>
      <c r="I249">
        <v>2</v>
      </c>
      <c r="J249">
        <v>0.67333299999999996</v>
      </c>
      <c r="K249">
        <v>0.62564600000000004</v>
      </c>
      <c r="L249">
        <v>0.79041700000000004</v>
      </c>
      <c r="M249">
        <v>0.212696</v>
      </c>
      <c r="N249">
        <v>1236</v>
      </c>
      <c r="O249">
        <v>2115</v>
      </c>
      <c r="P249">
        <v>3351</v>
      </c>
    </row>
    <row r="250" spans="1:16" x14ac:dyDescent="0.3">
      <c r="A250">
        <v>249</v>
      </c>
      <c r="B250" s="1">
        <v>40792</v>
      </c>
      <c r="C250">
        <v>3</v>
      </c>
      <c r="D250">
        <v>0</v>
      </c>
      <c r="E250">
        <v>9</v>
      </c>
      <c r="F250">
        <v>0</v>
      </c>
      <c r="G250">
        <v>2</v>
      </c>
      <c r="H250">
        <v>1</v>
      </c>
      <c r="I250">
        <v>3</v>
      </c>
      <c r="J250">
        <v>0.54</v>
      </c>
      <c r="K250">
        <v>0.51519999999999999</v>
      </c>
      <c r="L250">
        <v>0.886957</v>
      </c>
      <c r="M250">
        <v>0.343943</v>
      </c>
      <c r="N250">
        <v>204</v>
      </c>
      <c r="O250">
        <v>2506</v>
      </c>
      <c r="P250">
        <v>2710</v>
      </c>
    </row>
    <row r="251" spans="1:16" x14ac:dyDescent="0.3">
      <c r="A251">
        <v>250</v>
      </c>
      <c r="B251" s="1">
        <v>40793</v>
      </c>
      <c r="C251">
        <v>3</v>
      </c>
      <c r="D251">
        <v>0</v>
      </c>
      <c r="E251">
        <v>9</v>
      </c>
      <c r="F251">
        <v>0</v>
      </c>
      <c r="G251">
        <v>3</v>
      </c>
      <c r="H251">
        <v>1</v>
      </c>
      <c r="I251">
        <v>3</v>
      </c>
      <c r="J251">
        <v>0.59916700000000001</v>
      </c>
      <c r="K251">
        <v>0.54422899999999996</v>
      </c>
      <c r="L251">
        <v>0.91708299999999998</v>
      </c>
      <c r="M251">
        <v>9.7020800000000004E-2</v>
      </c>
      <c r="N251">
        <v>118</v>
      </c>
      <c r="O251">
        <v>1878</v>
      </c>
      <c r="P251">
        <v>1996</v>
      </c>
    </row>
    <row r="252" spans="1:16" x14ac:dyDescent="0.3">
      <c r="A252">
        <v>251</v>
      </c>
      <c r="B252" s="1">
        <v>40794</v>
      </c>
      <c r="C252">
        <v>3</v>
      </c>
      <c r="D252">
        <v>0</v>
      </c>
      <c r="E252">
        <v>9</v>
      </c>
      <c r="F252">
        <v>0</v>
      </c>
      <c r="G252">
        <v>4</v>
      </c>
      <c r="H252">
        <v>1</v>
      </c>
      <c r="I252">
        <v>3</v>
      </c>
      <c r="J252">
        <v>0.63391299999999995</v>
      </c>
      <c r="K252">
        <v>0.55536099999999999</v>
      </c>
      <c r="L252">
        <v>0.93956499999999998</v>
      </c>
      <c r="M252">
        <v>0.192748</v>
      </c>
      <c r="N252">
        <v>153</v>
      </c>
      <c r="O252">
        <v>1689</v>
      </c>
      <c r="P252">
        <v>1842</v>
      </c>
    </row>
    <row r="253" spans="1:16" x14ac:dyDescent="0.3">
      <c r="A253">
        <v>252</v>
      </c>
      <c r="B253" s="1">
        <v>40795</v>
      </c>
      <c r="C253">
        <v>3</v>
      </c>
      <c r="D253">
        <v>0</v>
      </c>
      <c r="E253">
        <v>9</v>
      </c>
      <c r="F253">
        <v>0</v>
      </c>
      <c r="G253">
        <v>5</v>
      </c>
      <c r="H253">
        <v>1</v>
      </c>
      <c r="I253">
        <v>2</v>
      </c>
      <c r="J253">
        <v>0.65</v>
      </c>
      <c r="K253">
        <v>0.57894599999999996</v>
      </c>
      <c r="L253">
        <v>0.89791699999999997</v>
      </c>
      <c r="M253">
        <v>0.124379</v>
      </c>
      <c r="N253">
        <v>417</v>
      </c>
      <c r="O253">
        <v>3127</v>
      </c>
      <c r="P253">
        <v>3544</v>
      </c>
    </row>
    <row r="254" spans="1:16" x14ac:dyDescent="0.3">
      <c r="A254">
        <v>253</v>
      </c>
      <c r="B254" s="1">
        <v>40796</v>
      </c>
      <c r="C254">
        <v>3</v>
      </c>
      <c r="D254">
        <v>0</v>
      </c>
      <c r="E254">
        <v>9</v>
      </c>
      <c r="F254">
        <v>0</v>
      </c>
      <c r="G254">
        <v>6</v>
      </c>
      <c r="H254">
        <v>0</v>
      </c>
      <c r="I254">
        <v>1</v>
      </c>
      <c r="J254">
        <v>0.66</v>
      </c>
      <c r="K254">
        <v>0.607962</v>
      </c>
      <c r="L254">
        <v>0.75375000000000003</v>
      </c>
      <c r="M254">
        <v>0.15360799999999999</v>
      </c>
      <c r="N254">
        <v>1750</v>
      </c>
      <c r="O254">
        <v>3595</v>
      </c>
      <c r="P254">
        <v>5345</v>
      </c>
    </row>
    <row r="255" spans="1:16" x14ac:dyDescent="0.3">
      <c r="A255">
        <v>254</v>
      </c>
      <c r="B255" s="1">
        <v>40797</v>
      </c>
      <c r="C255">
        <v>3</v>
      </c>
      <c r="D255">
        <v>0</v>
      </c>
      <c r="E255">
        <v>9</v>
      </c>
      <c r="F255">
        <v>0</v>
      </c>
      <c r="G255">
        <v>0</v>
      </c>
      <c r="H255">
        <v>0</v>
      </c>
      <c r="I255">
        <v>1</v>
      </c>
      <c r="J255">
        <v>0.65333300000000005</v>
      </c>
      <c r="K255">
        <v>0.60922900000000002</v>
      </c>
      <c r="L255">
        <v>0.71375</v>
      </c>
      <c r="M255">
        <v>0.115054</v>
      </c>
      <c r="N255">
        <v>1633</v>
      </c>
      <c r="O255">
        <v>3413</v>
      </c>
      <c r="P255">
        <v>5046</v>
      </c>
    </row>
    <row r="256" spans="1:16" x14ac:dyDescent="0.3">
      <c r="A256">
        <v>255</v>
      </c>
      <c r="B256" s="1">
        <v>40798</v>
      </c>
      <c r="C256">
        <v>3</v>
      </c>
      <c r="D256">
        <v>0</v>
      </c>
      <c r="E256">
        <v>9</v>
      </c>
      <c r="F256">
        <v>0</v>
      </c>
      <c r="G256">
        <v>1</v>
      </c>
      <c r="H256">
        <v>1</v>
      </c>
      <c r="I256">
        <v>1</v>
      </c>
      <c r="J256">
        <v>0.64434800000000003</v>
      </c>
      <c r="K256">
        <v>0.60213000000000005</v>
      </c>
      <c r="L256">
        <v>0.69217399999999996</v>
      </c>
      <c r="M256">
        <v>8.8913000000000006E-2</v>
      </c>
      <c r="N256">
        <v>690</v>
      </c>
      <c r="O256">
        <v>4023</v>
      </c>
      <c r="P256">
        <v>4713</v>
      </c>
    </row>
    <row r="257" spans="1:16" x14ac:dyDescent="0.3">
      <c r="A257">
        <v>256</v>
      </c>
      <c r="B257" s="1">
        <v>40799</v>
      </c>
      <c r="C257">
        <v>3</v>
      </c>
      <c r="D257">
        <v>0</v>
      </c>
      <c r="E257">
        <v>9</v>
      </c>
      <c r="F257">
        <v>0</v>
      </c>
      <c r="G257">
        <v>2</v>
      </c>
      <c r="H257">
        <v>1</v>
      </c>
      <c r="I257">
        <v>1</v>
      </c>
      <c r="J257">
        <v>0.65083299999999999</v>
      </c>
      <c r="K257">
        <v>0.60355400000000003</v>
      </c>
      <c r="L257">
        <v>0.71250000000000002</v>
      </c>
      <c r="M257">
        <v>0.14180400000000001</v>
      </c>
      <c r="N257">
        <v>701</v>
      </c>
      <c r="O257">
        <v>4062</v>
      </c>
      <c r="P257">
        <v>4763</v>
      </c>
    </row>
    <row r="258" spans="1:16" x14ac:dyDescent="0.3">
      <c r="A258">
        <v>257</v>
      </c>
      <c r="B258" s="1">
        <v>40800</v>
      </c>
      <c r="C258">
        <v>3</v>
      </c>
      <c r="D258">
        <v>0</v>
      </c>
      <c r="E258">
        <v>9</v>
      </c>
      <c r="F258">
        <v>0</v>
      </c>
      <c r="G258">
        <v>3</v>
      </c>
      <c r="H258">
        <v>1</v>
      </c>
      <c r="I258">
        <v>1</v>
      </c>
      <c r="J258">
        <v>0.67333299999999996</v>
      </c>
      <c r="K258">
        <v>0.62690000000000001</v>
      </c>
      <c r="L258">
        <v>0.69708300000000001</v>
      </c>
      <c r="M258">
        <v>0.1673</v>
      </c>
      <c r="N258">
        <v>647</v>
      </c>
      <c r="O258">
        <v>4138</v>
      </c>
      <c r="P258">
        <v>4785</v>
      </c>
    </row>
    <row r="259" spans="1:16" x14ac:dyDescent="0.3">
      <c r="A259">
        <v>258</v>
      </c>
      <c r="B259" s="1">
        <v>40801</v>
      </c>
      <c r="C259">
        <v>3</v>
      </c>
      <c r="D259">
        <v>0</v>
      </c>
      <c r="E259">
        <v>9</v>
      </c>
      <c r="F259">
        <v>0</v>
      </c>
      <c r="G259">
        <v>4</v>
      </c>
      <c r="H259">
        <v>1</v>
      </c>
      <c r="I259">
        <v>2</v>
      </c>
      <c r="J259">
        <v>0.57750000000000001</v>
      </c>
      <c r="K259">
        <v>0.55367100000000002</v>
      </c>
      <c r="L259">
        <v>0.70916699999999999</v>
      </c>
      <c r="M259">
        <v>0.271146</v>
      </c>
      <c r="N259">
        <v>428</v>
      </c>
      <c r="O259">
        <v>3231</v>
      </c>
      <c r="P259">
        <v>3659</v>
      </c>
    </row>
    <row r="260" spans="1:16" x14ac:dyDescent="0.3">
      <c r="A260">
        <v>259</v>
      </c>
      <c r="B260" s="1">
        <v>40802</v>
      </c>
      <c r="C260">
        <v>3</v>
      </c>
      <c r="D260">
        <v>0</v>
      </c>
      <c r="E260">
        <v>9</v>
      </c>
      <c r="F260">
        <v>0</v>
      </c>
      <c r="G260">
        <v>5</v>
      </c>
      <c r="H260">
        <v>1</v>
      </c>
      <c r="I260">
        <v>2</v>
      </c>
      <c r="J260">
        <v>0.469167</v>
      </c>
      <c r="K260">
        <v>0.46147500000000002</v>
      </c>
      <c r="L260">
        <v>0.59041699999999997</v>
      </c>
      <c r="M260">
        <v>0.164183</v>
      </c>
      <c r="N260">
        <v>742</v>
      </c>
      <c r="O260">
        <v>4018</v>
      </c>
      <c r="P260">
        <v>4760</v>
      </c>
    </row>
    <row r="261" spans="1:16" x14ac:dyDescent="0.3">
      <c r="A261">
        <v>260</v>
      </c>
      <c r="B261" s="1">
        <v>40803</v>
      </c>
      <c r="C261">
        <v>3</v>
      </c>
      <c r="D261">
        <v>0</v>
      </c>
      <c r="E261">
        <v>9</v>
      </c>
      <c r="F261">
        <v>0</v>
      </c>
      <c r="G261">
        <v>6</v>
      </c>
      <c r="H261">
        <v>0</v>
      </c>
      <c r="I261">
        <v>2</v>
      </c>
      <c r="J261">
        <v>0.49166700000000002</v>
      </c>
      <c r="K261">
        <v>0.47851199999999999</v>
      </c>
      <c r="L261">
        <v>0.718333</v>
      </c>
      <c r="M261">
        <v>0.18967500000000001</v>
      </c>
      <c r="N261">
        <v>1434</v>
      </c>
      <c r="O261">
        <v>3077</v>
      </c>
      <c r="P261">
        <v>4511</v>
      </c>
    </row>
    <row r="262" spans="1:16" x14ac:dyDescent="0.3">
      <c r="A262">
        <v>261</v>
      </c>
      <c r="B262" s="1">
        <v>40804</v>
      </c>
      <c r="C262">
        <v>3</v>
      </c>
      <c r="D262">
        <v>0</v>
      </c>
      <c r="E262">
        <v>9</v>
      </c>
      <c r="F262">
        <v>0</v>
      </c>
      <c r="G262">
        <v>0</v>
      </c>
      <c r="H262">
        <v>0</v>
      </c>
      <c r="I262">
        <v>1</v>
      </c>
      <c r="J262">
        <v>0.50749999999999995</v>
      </c>
      <c r="K262">
        <v>0.490537</v>
      </c>
      <c r="L262">
        <v>0.69499999999999995</v>
      </c>
      <c r="M262">
        <v>0.178483</v>
      </c>
      <c r="N262">
        <v>1353</v>
      </c>
      <c r="O262">
        <v>2921</v>
      </c>
      <c r="P262">
        <v>4274</v>
      </c>
    </row>
    <row r="263" spans="1:16" x14ac:dyDescent="0.3">
      <c r="A263">
        <v>262</v>
      </c>
      <c r="B263" s="1">
        <v>40805</v>
      </c>
      <c r="C263">
        <v>3</v>
      </c>
      <c r="D263">
        <v>0</v>
      </c>
      <c r="E263">
        <v>9</v>
      </c>
      <c r="F263">
        <v>0</v>
      </c>
      <c r="G263">
        <v>1</v>
      </c>
      <c r="H263">
        <v>1</v>
      </c>
      <c r="I263">
        <v>2</v>
      </c>
      <c r="J263">
        <v>0.54916699999999996</v>
      </c>
      <c r="K263">
        <v>0.52967500000000001</v>
      </c>
      <c r="L263">
        <v>0.69</v>
      </c>
      <c r="M263">
        <v>0.15174199999999999</v>
      </c>
      <c r="N263">
        <v>691</v>
      </c>
      <c r="O263">
        <v>3848</v>
      </c>
      <c r="P263">
        <v>4539</v>
      </c>
    </row>
    <row r="264" spans="1:16" x14ac:dyDescent="0.3">
      <c r="A264">
        <v>263</v>
      </c>
      <c r="B264" s="1">
        <v>40806</v>
      </c>
      <c r="C264">
        <v>3</v>
      </c>
      <c r="D264">
        <v>0</v>
      </c>
      <c r="E264">
        <v>9</v>
      </c>
      <c r="F264">
        <v>0</v>
      </c>
      <c r="G264">
        <v>2</v>
      </c>
      <c r="H264">
        <v>1</v>
      </c>
      <c r="I264">
        <v>2</v>
      </c>
      <c r="J264">
        <v>0.56166700000000003</v>
      </c>
      <c r="K264">
        <v>0.53221700000000005</v>
      </c>
      <c r="L264">
        <v>0.88124999999999998</v>
      </c>
      <c r="M264">
        <v>0.13495399999999999</v>
      </c>
      <c r="N264">
        <v>438</v>
      </c>
      <c r="O264">
        <v>3203</v>
      </c>
      <c r="P264">
        <v>3641</v>
      </c>
    </row>
    <row r="265" spans="1:16" x14ac:dyDescent="0.3">
      <c r="A265">
        <v>264</v>
      </c>
      <c r="B265" s="1">
        <v>40807</v>
      </c>
      <c r="C265">
        <v>3</v>
      </c>
      <c r="D265">
        <v>0</v>
      </c>
      <c r="E265">
        <v>9</v>
      </c>
      <c r="F265">
        <v>0</v>
      </c>
      <c r="G265">
        <v>3</v>
      </c>
      <c r="H265">
        <v>1</v>
      </c>
      <c r="I265">
        <v>2</v>
      </c>
      <c r="J265">
        <v>0.59499999999999997</v>
      </c>
      <c r="K265">
        <v>0.55053300000000005</v>
      </c>
      <c r="L265">
        <v>0.9</v>
      </c>
      <c r="M265">
        <v>9.6404199999999995E-2</v>
      </c>
      <c r="N265">
        <v>539</v>
      </c>
      <c r="O265">
        <v>3813</v>
      </c>
      <c r="P265">
        <v>4352</v>
      </c>
    </row>
    <row r="266" spans="1:16" x14ac:dyDescent="0.3">
      <c r="A266">
        <v>265</v>
      </c>
      <c r="B266" s="1">
        <v>40808</v>
      </c>
      <c r="C266">
        <v>3</v>
      </c>
      <c r="D266">
        <v>0</v>
      </c>
      <c r="E266">
        <v>9</v>
      </c>
      <c r="F266">
        <v>0</v>
      </c>
      <c r="G266">
        <v>4</v>
      </c>
      <c r="H266">
        <v>1</v>
      </c>
      <c r="I266">
        <v>2</v>
      </c>
      <c r="J266">
        <v>0.62833300000000003</v>
      </c>
      <c r="K266">
        <v>0.55496299999999998</v>
      </c>
      <c r="L266">
        <v>0.90208299999999997</v>
      </c>
      <c r="M266">
        <v>0.12812499999999999</v>
      </c>
      <c r="N266">
        <v>555</v>
      </c>
      <c r="O266">
        <v>4240</v>
      </c>
      <c r="P266">
        <v>4795</v>
      </c>
    </row>
    <row r="267" spans="1:16" x14ac:dyDescent="0.3">
      <c r="A267">
        <v>266</v>
      </c>
      <c r="B267" s="1">
        <v>40809</v>
      </c>
      <c r="C267">
        <v>4</v>
      </c>
      <c r="D267">
        <v>0</v>
      </c>
      <c r="E267">
        <v>9</v>
      </c>
      <c r="F267">
        <v>0</v>
      </c>
      <c r="G267">
        <v>5</v>
      </c>
      <c r="H267">
        <v>1</v>
      </c>
      <c r="I267">
        <v>2</v>
      </c>
      <c r="J267">
        <v>0.60916700000000001</v>
      </c>
      <c r="K267">
        <v>0.52212499999999995</v>
      </c>
      <c r="L267">
        <v>0.97250000000000003</v>
      </c>
      <c r="M267">
        <v>7.8366699999999997E-2</v>
      </c>
      <c r="N267">
        <v>258</v>
      </c>
      <c r="O267">
        <v>2137</v>
      </c>
      <c r="P267">
        <v>2395</v>
      </c>
    </row>
    <row r="268" spans="1:16" x14ac:dyDescent="0.3">
      <c r="A268">
        <v>267</v>
      </c>
      <c r="B268" s="1">
        <v>40810</v>
      </c>
      <c r="C268">
        <v>4</v>
      </c>
      <c r="D268">
        <v>0</v>
      </c>
      <c r="E268">
        <v>9</v>
      </c>
      <c r="F268">
        <v>0</v>
      </c>
      <c r="G268">
        <v>6</v>
      </c>
      <c r="H268">
        <v>0</v>
      </c>
      <c r="I268">
        <v>2</v>
      </c>
      <c r="J268">
        <v>0.60666699999999996</v>
      </c>
      <c r="K268">
        <v>0.56441200000000002</v>
      </c>
      <c r="L268">
        <v>0.86250000000000004</v>
      </c>
      <c r="M268">
        <v>7.8383300000000003E-2</v>
      </c>
      <c r="N268">
        <v>1776</v>
      </c>
      <c r="O268">
        <v>3647</v>
      </c>
      <c r="P268">
        <v>5423</v>
      </c>
    </row>
    <row r="269" spans="1:16" x14ac:dyDescent="0.3">
      <c r="A269">
        <v>268</v>
      </c>
      <c r="B269" s="1">
        <v>40811</v>
      </c>
      <c r="C269">
        <v>4</v>
      </c>
      <c r="D269">
        <v>0</v>
      </c>
      <c r="E269">
        <v>9</v>
      </c>
      <c r="F269">
        <v>0</v>
      </c>
      <c r="G269">
        <v>0</v>
      </c>
      <c r="H269">
        <v>0</v>
      </c>
      <c r="I269">
        <v>2</v>
      </c>
      <c r="J269">
        <v>0.63416700000000004</v>
      </c>
      <c r="K269">
        <v>0.57263699999999995</v>
      </c>
      <c r="L269">
        <v>0.84499999999999997</v>
      </c>
      <c r="M269">
        <v>5.0379199999999999E-2</v>
      </c>
      <c r="N269">
        <v>1544</v>
      </c>
      <c r="O269">
        <v>3466</v>
      </c>
      <c r="P269">
        <v>5010</v>
      </c>
    </row>
    <row r="270" spans="1:16" x14ac:dyDescent="0.3">
      <c r="A270">
        <v>269</v>
      </c>
      <c r="B270" s="1">
        <v>40812</v>
      </c>
      <c r="C270">
        <v>4</v>
      </c>
      <c r="D270">
        <v>0</v>
      </c>
      <c r="E270">
        <v>9</v>
      </c>
      <c r="F270">
        <v>0</v>
      </c>
      <c r="G270">
        <v>1</v>
      </c>
      <c r="H270">
        <v>1</v>
      </c>
      <c r="I270">
        <v>2</v>
      </c>
      <c r="J270">
        <v>0.64916700000000005</v>
      </c>
      <c r="K270">
        <v>0.58904199999999995</v>
      </c>
      <c r="L270">
        <v>0.848333</v>
      </c>
      <c r="M270">
        <v>0.11070000000000001</v>
      </c>
      <c r="N270">
        <v>684</v>
      </c>
      <c r="O270">
        <v>3946</v>
      </c>
      <c r="P270">
        <v>4630</v>
      </c>
    </row>
    <row r="271" spans="1:16" x14ac:dyDescent="0.3">
      <c r="A271">
        <v>270</v>
      </c>
      <c r="B271" s="1">
        <v>40813</v>
      </c>
      <c r="C271">
        <v>4</v>
      </c>
      <c r="D271">
        <v>0</v>
      </c>
      <c r="E271">
        <v>9</v>
      </c>
      <c r="F271">
        <v>0</v>
      </c>
      <c r="G271">
        <v>2</v>
      </c>
      <c r="H271">
        <v>1</v>
      </c>
      <c r="I271">
        <v>2</v>
      </c>
      <c r="J271">
        <v>0.63666699999999998</v>
      </c>
      <c r="K271">
        <v>0.57452499999999995</v>
      </c>
      <c r="L271">
        <v>0.88541700000000001</v>
      </c>
      <c r="M271">
        <v>0.118171</v>
      </c>
      <c r="N271">
        <v>477</v>
      </c>
      <c r="O271">
        <v>3643</v>
      </c>
      <c r="P271">
        <v>4120</v>
      </c>
    </row>
    <row r="272" spans="1:16" x14ac:dyDescent="0.3">
      <c r="A272">
        <v>271</v>
      </c>
      <c r="B272" s="1">
        <v>40814</v>
      </c>
      <c r="C272">
        <v>4</v>
      </c>
      <c r="D272">
        <v>0</v>
      </c>
      <c r="E272">
        <v>9</v>
      </c>
      <c r="F272">
        <v>0</v>
      </c>
      <c r="G272">
        <v>3</v>
      </c>
      <c r="H272">
        <v>1</v>
      </c>
      <c r="I272">
        <v>2</v>
      </c>
      <c r="J272">
        <v>0.63500000000000001</v>
      </c>
      <c r="K272">
        <v>0.57515799999999995</v>
      </c>
      <c r="L272">
        <v>0.84875</v>
      </c>
      <c r="M272">
        <v>0.14862900000000001</v>
      </c>
      <c r="N272">
        <v>480</v>
      </c>
      <c r="O272">
        <v>3427</v>
      </c>
      <c r="P272">
        <v>3907</v>
      </c>
    </row>
    <row r="273" spans="1:16" x14ac:dyDescent="0.3">
      <c r="A273">
        <v>272</v>
      </c>
      <c r="B273" s="1">
        <v>40815</v>
      </c>
      <c r="C273">
        <v>4</v>
      </c>
      <c r="D273">
        <v>0</v>
      </c>
      <c r="E273">
        <v>9</v>
      </c>
      <c r="F273">
        <v>0</v>
      </c>
      <c r="G273">
        <v>4</v>
      </c>
      <c r="H273">
        <v>1</v>
      </c>
      <c r="I273">
        <v>1</v>
      </c>
      <c r="J273">
        <v>0.61666699999999997</v>
      </c>
      <c r="K273">
        <v>0.57451200000000002</v>
      </c>
      <c r="L273">
        <v>0.69916699999999998</v>
      </c>
      <c r="M273">
        <v>0.17288300000000001</v>
      </c>
      <c r="N273">
        <v>653</v>
      </c>
      <c r="O273">
        <v>4186</v>
      </c>
      <c r="P273">
        <v>4839</v>
      </c>
    </row>
    <row r="274" spans="1:16" x14ac:dyDescent="0.3">
      <c r="A274">
        <v>273</v>
      </c>
      <c r="B274" s="1">
        <v>40816</v>
      </c>
      <c r="C274">
        <v>4</v>
      </c>
      <c r="D274">
        <v>0</v>
      </c>
      <c r="E274">
        <v>9</v>
      </c>
      <c r="F274">
        <v>0</v>
      </c>
      <c r="G274">
        <v>5</v>
      </c>
      <c r="H274">
        <v>1</v>
      </c>
      <c r="I274">
        <v>1</v>
      </c>
      <c r="J274">
        <v>0.56416699999999997</v>
      </c>
      <c r="K274">
        <v>0.54482900000000001</v>
      </c>
      <c r="L274">
        <v>0.64749999999999996</v>
      </c>
      <c r="M274">
        <v>0.20647499999999999</v>
      </c>
      <c r="N274">
        <v>830</v>
      </c>
      <c r="O274">
        <v>4372</v>
      </c>
      <c r="P274">
        <v>5202</v>
      </c>
    </row>
    <row r="275" spans="1:16" x14ac:dyDescent="0.3">
      <c r="A275">
        <v>274</v>
      </c>
      <c r="B275" s="1">
        <v>40817</v>
      </c>
      <c r="C275">
        <v>4</v>
      </c>
      <c r="D275">
        <v>0</v>
      </c>
      <c r="E275">
        <v>10</v>
      </c>
      <c r="F275">
        <v>0</v>
      </c>
      <c r="G275">
        <v>6</v>
      </c>
      <c r="H275">
        <v>0</v>
      </c>
      <c r="I275">
        <v>2</v>
      </c>
      <c r="J275">
        <v>0.41</v>
      </c>
      <c r="K275">
        <v>0.41286299999999998</v>
      </c>
      <c r="L275">
        <v>0.75375000000000003</v>
      </c>
      <c r="M275">
        <v>0.292296</v>
      </c>
      <c r="N275">
        <v>480</v>
      </c>
      <c r="O275">
        <v>1949</v>
      </c>
      <c r="P275">
        <v>2429</v>
      </c>
    </row>
    <row r="276" spans="1:16" x14ac:dyDescent="0.3">
      <c r="A276">
        <v>275</v>
      </c>
      <c r="B276" s="1">
        <v>40818</v>
      </c>
      <c r="C276">
        <v>4</v>
      </c>
      <c r="D276">
        <v>0</v>
      </c>
      <c r="E276">
        <v>10</v>
      </c>
      <c r="F276">
        <v>0</v>
      </c>
      <c r="G276">
        <v>0</v>
      </c>
      <c r="H276">
        <v>0</v>
      </c>
      <c r="I276">
        <v>2</v>
      </c>
      <c r="J276">
        <v>0.35666700000000001</v>
      </c>
      <c r="K276">
        <v>0.34531699999999999</v>
      </c>
      <c r="L276">
        <v>0.79166700000000001</v>
      </c>
      <c r="M276">
        <v>0.22201299999999999</v>
      </c>
      <c r="N276">
        <v>616</v>
      </c>
      <c r="O276">
        <v>2302</v>
      </c>
      <c r="P276">
        <v>2918</v>
      </c>
    </row>
    <row r="277" spans="1:16" x14ac:dyDescent="0.3">
      <c r="A277">
        <v>276</v>
      </c>
      <c r="B277" s="1">
        <v>40819</v>
      </c>
      <c r="C277">
        <v>4</v>
      </c>
      <c r="D277">
        <v>0</v>
      </c>
      <c r="E277">
        <v>10</v>
      </c>
      <c r="F277">
        <v>0</v>
      </c>
      <c r="G277">
        <v>1</v>
      </c>
      <c r="H277">
        <v>1</v>
      </c>
      <c r="I277">
        <v>2</v>
      </c>
      <c r="J277">
        <v>0.38416699999999998</v>
      </c>
      <c r="K277">
        <v>0.39204600000000001</v>
      </c>
      <c r="L277">
        <v>0.76083299999999998</v>
      </c>
      <c r="M277">
        <v>8.3345799999999998E-2</v>
      </c>
      <c r="N277">
        <v>330</v>
      </c>
      <c r="O277">
        <v>3240</v>
      </c>
      <c r="P277">
        <v>3570</v>
      </c>
    </row>
    <row r="278" spans="1:16" x14ac:dyDescent="0.3">
      <c r="A278">
        <v>277</v>
      </c>
      <c r="B278" s="1">
        <v>40820</v>
      </c>
      <c r="C278">
        <v>4</v>
      </c>
      <c r="D278">
        <v>0</v>
      </c>
      <c r="E278">
        <v>10</v>
      </c>
      <c r="F278">
        <v>0</v>
      </c>
      <c r="G278">
        <v>2</v>
      </c>
      <c r="H278">
        <v>1</v>
      </c>
      <c r="I278">
        <v>1</v>
      </c>
      <c r="J278">
        <v>0.48416700000000001</v>
      </c>
      <c r="K278">
        <v>0.472858</v>
      </c>
      <c r="L278">
        <v>0.71</v>
      </c>
      <c r="M278">
        <v>0.20585400000000001</v>
      </c>
      <c r="N278">
        <v>486</v>
      </c>
      <c r="O278">
        <v>3970</v>
      </c>
      <c r="P278">
        <v>4456</v>
      </c>
    </row>
    <row r="279" spans="1:16" x14ac:dyDescent="0.3">
      <c r="A279">
        <v>278</v>
      </c>
      <c r="B279" s="1">
        <v>40821</v>
      </c>
      <c r="C279">
        <v>4</v>
      </c>
      <c r="D279">
        <v>0</v>
      </c>
      <c r="E279">
        <v>10</v>
      </c>
      <c r="F279">
        <v>0</v>
      </c>
      <c r="G279">
        <v>3</v>
      </c>
      <c r="H279">
        <v>1</v>
      </c>
      <c r="I279">
        <v>1</v>
      </c>
      <c r="J279">
        <v>0.53833299999999995</v>
      </c>
      <c r="K279">
        <v>0.527138</v>
      </c>
      <c r="L279">
        <v>0.64791699999999997</v>
      </c>
      <c r="M279">
        <v>0.17724999999999999</v>
      </c>
      <c r="N279">
        <v>559</v>
      </c>
      <c r="O279">
        <v>4267</v>
      </c>
      <c r="P279">
        <v>4826</v>
      </c>
    </row>
    <row r="280" spans="1:16" x14ac:dyDescent="0.3">
      <c r="A280">
        <v>279</v>
      </c>
      <c r="B280" s="1">
        <v>40822</v>
      </c>
      <c r="C280">
        <v>4</v>
      </c>
      <c r="D280">
        <v>0</v>
      </c>
      <c r="E280">
        <v>10</v>
      </c>
      <c r="F280">
        <v>0</v>
      </c>
      <c r="G280">
        <v>4</v>
      </c>
      <c r="H280">
        <v>1</v>
      </c>
      <c r="I280">
        <v>1</v>
      </c>
      <c r="J280">
        <v>0.49416700000000002</v>
      </c>
      <c r="K280">
        <v>0.48042499999999999</v>
      </c>
      <c r="L280">
        <v>0.62083299999999997</v>
      </c>
      <c r="M280">
        <v>0.13495399999999999</v>
      </c>
      <c r="N280">
        <v>639</v>
      </c>
      <c r="O280">
        <v>4126</v>
      </c>
      <c r="P280">
        <v>4765</v>
      </c>
    </row>
    <row r="281" spans="1:16" x14ac:dyDescent="0.3">
      <c r="A281">
        <v>280</v>
      </c>
      <c r="B281" s="1">
        <v>40823</v>
      </c>
      <c r="C281">
        <v>4</v>
      </c>
      <c r="D281">
        <v>0</v>
      </c>
      <c r="E281">
        <v>10</v>
      </c>
      <c r="F281">
        <v>0</v>
      </c>
      <c r="G281">
        <v>5</v>
      </c>
      <c r="H281">
        <v>1</v>
      </c>
      <c r="I281">
        <v>1</v>
      </c>
      <c r="J281">
        <v>0.51083299999999998</v>
      </c>
      <c r="K281">
        <v>0.50440399999999996</v>
      </c>
      <c r="L281">
        <v>0.68416699999999997</v>
      </c>
      <c r="M281">
        <v>2.23917E-2</v>
      </c>
      <c r="N281">
        <v>949</v>
      </c>
      <c r="O281">
        <v>4036</v>
      </c>
      <c r="P281">
        <v>4985</v>
      </c>
    </row>
    <row r="282" spans="1:16" x14ac:dyDescent="0.3">
      <c r="A282">
        <v>281</v>
      </c>
      <c r="B282" s="1">
        <v>40824</v>
      </c>
      <c r="C282">
        <v>4</v>
      </c>
      <c r="D282">
        <v>0</v>
      </c>
      <c r="E282">
        <v>10</v>
      </c>
      <c r="F282">
        <v>0</v>
      </c>
      <c r="G282">
        <v>6</v>
      </c>
      <c r="H282">
        <v>0</v>
      </c>
      <c r="I282">
        <v>1</v>
      </c>
      <c r="J282">
        <v>0.52166699999999999</v>
      </c>
      <c r="K282">
        <v>0.51324199999999998</v>
      </c>
      <c r="L282">
        <v>0.70125000000000004</v>
      </c>
      <c r="M282">
        <v>4.5404199999999999E-2</v>
      </c>
      <c r="N282">
        <v>2235</v>
      </c>
      <c r="O282">
        <v>3174</v>
      </c>
      <c r="P282">
        <v>5409</v>
      </c>
    </row>
    <row r="283" spans="1:16" x14ac:dyDescent="0.3">
      <c r="A283">
        <v>282</v>
      </c>
      <c r="B283" s="1">
        <v>40825</v>
      </c>
      <c r="C283">
        <v>4</v>
      </c>
      <c r="D283">
        <v>0</v>
      </c>
      <c r="E283">
        <v>10</v>
      </c>
      <c r="F283">
        <v>0</v>
      </c>
      <c r="G283">
        <v>0</v>
      </c>
      <c r="H283">
        <v>0</v>
      </c>
      <c r="I283">
        <v>1</v>
      </c>
      <c r="J283">
        <v>0.54083300000000001</v>
      </c>
      <c r="K283">
        <v>0.52398299999999998</v>
      </c>
      <c r="L283">
        <v>0.72750000000000004</v>
      </c>
      <c r="M283">
        <v>6.3450000000000006E-2</v>
      </c>
      <c r="N283">
        <v>2397</v>
      </c>
      <c r="O283">
        <v>3114</v>
      </c>
      <c r="P283">
        <v>5511</v>
      </c>
    </row>
    <row r="284" spans="1:16" x14ac:dyDescent="0.3">
      <c r="A284">
        <v>283</v>
      </c>
      <c r="B284" s="1">
        <v>40826</v>
      </c>
      <c r="C284">
        <v>4</v>
      </c>
      <c r="D284">
        <v>0</v>
      </c>
      <c r="E284">
        <v>10</v>
      </c>
      <c r="F284">
        <v>1</v>
      </c>
      <c r="G284">
        <v>1</v>
      </c>
      <c r="H284">
        <v>0</v>
      </c>
      <c r="I284">
        <v>1</v>
      </c>
      <c r="J284">
        <v>0.57083300000000003</v>
      </c>
      <c r="K284">
        <v>0.54292499999999999</v>
      </c>
      <c r="L284">
        <v>0.73375000000000001</v>
      </c>
      <c r="M284">
        <v>4.23042E-2</v>
      </c>
      <c r="N284">
        <v>1514</v>
      </c>
      <c r="O284">
        <v>3603</v>
      </c>
      <c r="P284">
        <v>5117</v>
      </c>
    </row>
    <row r="285" spans="1:16" x14ac:dyDescent="0.3">
      <c r="A285">
        <v>284</v>
      </c>
      <c r="B285" s="1">
        <v>40827</v>
      </c>
      <c r="C285">
        <v>4</v>
      </c>
      <c r="D285">
        <v>0</v>
      </c>
      <c r="E285">
        <v>10</v>
      </c>
      <c r="F285">
        <v>0</v>
      </c>
      <c r="G285">
        <v>2</v>
      </c>
      <c r="H285">
        <v>1</v>
      </c>
      <c r="I285">
        <v>2</v>
      </c>
      <c r="J285">
        <v>0.56666700000000003</v>
      </c>
      <c r="K285">
        <v>0.54609600000000003</v>
      </c>
      <c r="L285">
        <v>0.80874999999999997</v>
      </c>
      <c r="M285">
        <v>0.143042</v>
      </c>
      <c r="N285">
        <v>667</v>
      </c>
      <c r="O285">
        <v>3896</v>
      </c>
      <c r="P285">
        <v>4563</v>
      </c>
    </row>
    <row r="286" spans="1:16" x14ac:dyDescent="0.3">
      <c r="A286">
        <v>285</v>
      </c>
      <c r="B286" s="1">
        <v>40828</v>
      </c>
      <c r="C286">
        <v>4</v>
      </c>
      <c r="D286">
        <v>0</v>
      </c>
      <c r="E286">
        <v>10</v>
      </c>
      <c r="F286">
        <v>0</v>
      </c>
      <c r="G286">
        <v>3</v>
      </c>
      <c r="H286">
        <v>1</v>
      </c>
      <c r="I286">
        <v>3</v>
      </c>
      <c r="J286">
        <v>0.54333299999999995</v>
      </c>
      <c r="K286">
        <v>0.51771699999999998</v>
      </c>
      <c r="L286">
        <v>0.90625</v>
      </c>
      <c r="M286">
        <v>0.24815000000000001</v>
      </c>
      <c r="N286">
        <v>217</v>
      </c>
      <c r="O286">
        <v>2199</v>
      </c>
      <c r="P286">
        <v>2416</v>
      </c>
    </row>
    <row r="287" spans="1:16" x14ac:dyDescent="0.3">
      <c r="A287">
        <v>286</v>
      </c>
      <c r="B287" s="1">
        <v>40829</v>
      </c>
      <c r="C287">
        <v>4</v>
      </c>
      <c r="D287">
        <v>0</v>
      </c>
      <c r="E287">
        <v>10</v>
      </c>
      <c r="F287">
        <v>0</v>
      </c>
      <c r="G287">
        <v>4</v>
      </c>
      <c r="H287">
        <v>1</v>
      </c>
      <c r="I287">
        <v>2</v>
      </c>
      <c r="J287">
        <v>0.589167</v>
      </c>
      <c r="K287">
        <v>0.55180399999999996</v>
      </c>
      <c r="L287">
        <v>0.89666699999999999</v>
      </c>
      <c r="M287">
        <v>0.141787</v>
      </c>
      <c r="N287">
        <v>290</v>
      </c>
      <c r="O287">
        <v>2623</v>
      </c>
      <c r="P287">
        <v>2913</v>
      </c>
    </row>
    <row r="288" spans="1:16" x14ac:dyDescent="0.3">
      <c r="A288">
        <v>287</v>
      </c>
      <c r="B288" s="1">
        <v>40830</v>
      </c>
      <c r="C288">
        <v>4</v>
      </c>
      <c r="D288">
        <v>0</v>
      </c>
      <c r="E288">
        <v>10</v>
      </c>
      <c r="F288">
        <v>0</v>
      </c>
      <c r="G288">
        <v>5</v>
      </c>
      <c r="H288">
        <v>1</v>
      </c>
      <c r="I288">
        <v>2</v>
      </c>
      <c r="J288">
        <v>0.55083300000000002</v>
      </c>
      <c r="K288">
        <v>0.52967500000000001</v>
      </c>
      <c r="L288">
        <v>0.71625000000000005</v>
      </c>
      <c r="M288">
        <v>0.223883</v>
      </c>
      <c r="N288">
        <v>529</v>
      </c>
      <c r="O288">
        <v>3115</v>
      </c>
      <c r="P288">
        <v>3644</v>
      </c>
    </row>
    <row r="289" spans="1:16" x14ac:dyDescent="0.3">
      <c r="A289">
        <v>288</v>
      </c>
      <c r="B289" s="1">
        <v>40831</v>
      </c>
      <c r="C289">
        <v>4</v>
      </c>
      <c r="D289">
        <v>0</v>
      </c>
      <c r="E289">
        <v>10</v>
      </c>
      <c r="F289">
        <v>0</v>
      </c>
      <c r="G289">
        <v>6</v>
      </c>
      <c r="H289">
        <v>0</v>
      </c>
      <c r="I289">
        <v>1</v>
      </c>
      <c r="J289">
        <v>0.50666699999999998</v>
      </c>
      <c r="K289">
        <v>0.49872499999999997</v>
      </c>
      <c r="L289">
        <v>0.48333300000000001</v>
      </c>
      <c r="M289">
        <v>0.25808300000000001</v>
      </c>
      <c r="N289">
        <v>1899</v>
      </c>
      <c r="O289">
        <v>3318</v>
      </c>
      <c r="P289">
        <v>5217</v>
      </c>
    </row>
    <row r="290" spans="1:16" x14ac:dyDescent="0.3">
      <c r="A290">
        <v>289</v>
      </c>
      <c r="B290" s="1">
        <v>40832</v>
      </c>
      <c r="C290">
        <v>4</v>
      </c>
      <c r="D290">
        <v>0</v>
      </c>
      <c r="E290">
        <v>10</v>
      </c>
      <c r="F290">
        <v>0</v>
      </c>
      <c r="G290">
        <v>0</v>
      </c>
      <c r="H290">
        <v>0</v>
      </c>
      <c r="I290">
        <v>1</v>
      </c>
      <c r="J290">
        <v>0.51166699999999998</v>
      </c>
      <c r="K290">
        <v>0.50315399999999999</v>
      </c>
      <c r="L290">
        <v>0.48666700000000002</v>
      </c>
      <c r="M290">
        <v>0.281717</v>
      </c>
      <c r="N290">
        <v>1748</v>
      </c>
      <c r="O290">
        <v>3293</v>
      </c>
      <c r="P290">
        <v>5041</v>
      </c>
    </row>
    <row r="291" spans="1:16" x14ac:dyDescent="0.3">
      <c r="A291">
        <v>290</v>
      </c>
      <c r="B291" s="1">
        <v>40833</v>
      </c>
      <c r="C291">
        <v>4</v>
      </c>
      <c r="D291">
        <v>0</v>
      </c>
      <c r="E291">
        <v>10</v>
      </c>
      <c r="F291">
        <v>0</v>
      </c>
      <c r="G291">
        <v>1</v>
      </c>
      <c r="H291">
        <v>1</v>
      </c>
      <c r="I291">
        <v>1</v>
      </c>
      <c r="J291">
        <v>0.53416699999999995</v>
      </c>
      <c r="K291">
        <v>0.51072499999999998</v>
      </c>
      <c r="L291">
        <v>0.57958299999999996</v>
      </c>
      <c r="M291">
        <v>0.17537900000000001</v>
      </c>
      <c r="N291">
        <v>713</v>
      </c>
      <c r="O291">
        <v>3857</v>
      </c>
      <c r="P291">
        <v>4570</v>
      </c>
    </row>
    <row r="292" spans="1:16" x14ac:dyDescent="0.3">
      <c r="A292">
        <v>291</v>
      </c>
      <c r="B292" s="1">
        <v>40834</v>
      </c>
      <c r="C292">
        <v>4</v>
      </c>
      <c r="D292">
        <v>0</v>
      </c>
      <c r="E292">
        <v>10</v>
      </c>
      <c r="F292">
        <v>0</v>
      </c>
      <c r="G292">
        <v>2</v>
      </c>
      <c r="H292">
        <v>1</v>
      </c>
      <c r="I292">
        <v>2</v>
      </c>
      <c r="J292">
        <v>0.53249999999999997</v>
      </c>
      <c r="K292">
        <v>0.52272099999999999</v>
      </c>
      <c r="L292">
        <v>0.70166700000000004</v>
      </c>
      <c r="M292">
        <v>0.110087</v>
      </c>
      <c r="N292">
        <v>637</v>
      </c>
      <c r="O292">
        <v>4111</v>
      </c>
      <c r="P292">
        <v>4748</v>
      </c>
    </row>
    <row r="293" spans="1:16" x14ac:dyDescent="0.3">
      <c r="A293">
        <v>292</v>
      </c>
      <c r="B293" s="1">
        <v>40835</v>
      </c>
      <c r="C293">
        <v>4</v>
      </c>
      <c r="D293">
        <v>0</v>
      </c>
      <c r="E293">
        <v>10</v>
      </c>
      <c r="F293">
        <v>0</v>
      </c>
      <c r="G293">
        <v>3</v>
      </c>
      <c r="H293">
        <v>1</v>
      </c>
      <c r="I293">
        <v>3</v>
      </c>
      <c r="J293">
        <v>0.54173899999999997</v>
      </c>
      <c r="K293">
        <v>0.51384799999999997</v>
      </c>
      <c r="L293">
        <v>0.89521700000000004</v>
      </c>
      <c r="M293">
        <v>0.243339</v>
      </c>
      <c r="N293">
        <v>254</v>
      </c>
      <c r="O293">
        <v>2170</v>
      </c>
      <c r="P293">
        <v>2424</v>
      </c>
    </row>
    <row r="294" spans="1:16" x14ac:dyDescent="0.3">
      <c r="A294">
        <v>293</v>
      </c>
      <c r="B294" s="1">
        <v>40836</v>
      </c>
      <c r="C294">
        <v>4</v>
      </c>
      <c r="D294">
        <v>0</v>
      </c>
      <c r="E294">
        <v>10</v>
      </c>
      <c r="F294">
        <v>0</v>
      </c>
      <c r="G294">
        <v>4</v>
      </c>
      <c r="H294">
        <v>1</v>
      </c>
      <c r="I294">
        <v>1</v>
      </c>
      <c r="J294">
        <v>0.47583300000000001</v>
      </c>
      <c r="K294">
        <v>0.46652500000000002</v>
      </c>
      <c r="L294">
        <v>0.63624999999999998</v>
      </c>
      <c r="M294">
        <v>0.42227500000000001</v>
      </c>
      <c r="N294">
        <v>471</v>
      </c>
      <c r="O294">
        <v>3724</v>
      </c>
      <c r="P294">
        <v>4195</v>
      </c>
    </row>
    <row r="295" spans="1:16" x14ac:dyDescent="0.3">
      <c r="A295">
        <v>294</v>
      </c>
      <c r="B295" s="1">
        <v>40837</v>
      </c>
      <c r="C295">
        <v>4</v>
      </c>
      <c r="D295">
        <v>0</v>
      </c>
      <c r="E295">
        <v>10</v>
      </c>
      <c r="F295">
        <v>0</v>
      </c>
      <c r="G295">
        <v>5</v>
      </c>
      <c r="H295">
        <v>1</v>
      </c>
      <c r="I295">
        <v>1</v>
      </c>
      <c r="J295">
        <v>0.42749999999999999</v>
      </c>
      <c r="K295">
        <v>0.42359599999999997</v>
      </c>
      <c r="L295">
        <v>0.57416699999999998</v>
      </c>
      <c r="M295">
        <v>0.22139600000000001</v>
      </c>
      <c r="N295">
        <v>676</v>
      </c>
      <c r="O295">
        <v>3628</v>
      </c>
      <c r="P295">
        <v>4304</v>
      </c>
    </row>
    <row r="296" spans="1:16" x14ac:dyDescent="0.3">
      <c r="A296">
        <v>295</v>
      </c>
      <c r="B296" s="1">
        <v>40838</v>
      </c>
      <c r="C296">
        <v>4</v>
      </c>
      <c r="D296">
        <v>0</v>
      </c>
      <c r="E296">
        <v>10</v>
      </c>
      <c r="F296">
        <v>0</v>
      </c>
      <c r="G296">
        <v>6</v>
      </c>
      <c r="H296">
        <v>0</v>
      </c>
      <c r="I296">
        <v>1</v>
      </c>
      <c r="J296">
        <v>0.42249999999999999</v>
      </c>
      <c r="K296">
        <v>0.42549199999999998</v>
      </c>
      <c r="L296">
        <v>0.62916700000000003</v>
      </c>
      <c r="M296">
        <v>9.2666700000000005E-2</v>
      </c>
      <c r="N296">
        <v>1499</v>
      </c>
      <c r="O296">
        <v>2809</v>
      </c>
      <c r="P296">
        <v>4308</v>
      </c>
    </row>
    <row r="297" spans="1:16" x14ac:dyDescent="0.3">
      <c r="A297">
        <v>296</v>
      </c>
      <c r="B297" s="1">
        <v>40839</v>
      </c>
      <c r="C297">
        <v>4</v>
      </c>
      <c r="D297">
        <v>0</v>
      </c>
      <c r="E297">
        <v>10</v>
      </c>
      <c r="F297">
        <v>0</v>
      </c>
      <c r="G297">
        <v>0</v>
      </c>
      <c r="H297">
        <v>0</v>
      </c>
      <c r="I297">
        <v>1</v>
      </c>
      <c r="J297">
        <v>0.42166700000000001</v>
      </c>
      <c r="K297">
        <v>0.42233300000000001</v>
      </c>
      <c r="L297">
        <v>0.74124999999999996</v>
      </c>
      <c r="M297">
        <v>9.9512500000000004E-2</v>
      </c>
      <c r="N297">
        <v>1619</v>
      </c>
      <c r="O297">
        <v>2762</v>
      </c>
      <c r="P297">
        <v>4381</v>
      </c>
    </row>
    <row r="298" spans="1:16" x14ac:dyDescent="0.3">
      <c r="A298">
        <v>297</v>
      </c>
      <c r="B298" s="1">
        <v>40840</v>
      </c>
      <c r="C298">
        <v>4</v>
      </c>
      <c r="D298">
        <v>0</v>
      </c>
      <c r="E298">
        <v>10</v>
      </c>
      <c r="F298">
        <v>0</v>
      </c>
      <c r="G298">
        <v>1</v>
      </c>
      <c r="H298">
        <v>1</v>
      </c>
      <c r="I298">
        <v>1</v>
      </c>
      <c r="J298">
        <v>0.46333299999999999</v>
      </c>
      <c r="K298">
        <v>0.457067</v>
      </c>
      <c r="L298">
        <v>0.77208299999999996</v>
      </c>
      <c r="M298">
        <v>0.11879199999999999</v>
      </c>
      <c r="N298">
        <v>699</v>
      </c>
      <c r="O298">
        <v>3488</v>
      </c>
      <c r="P298">
        <v>4187</v>
      </c>
    </row>
    <row r="299" spans="1:16" x14ac:dyDescent="0.3">
      <c r="A299">
        <v>298</v>
      </c>
      <c r="B299" s="1">
        <v>40841</v>
      </c>
      <c r="C299">
        <v>4</v>
      </c>
      <c r="D299">
        <v>0</v>
      </c>
      <c r="E299">
        <v>10</v>
      </c>
      <c r="F299">
        <v>0</v>
      </c>
      <c r="G299">
        <v>2</v>
      </c>
      <c r="H299">
        <v>1</v>
      </c>
      <c r="I299">
        <v>1</v>
      </c>
      <c r="J299">
        <v>0.471667</v>
      </c>
      <c r="K299">
        <v>0.46337499999999998</v>
      </c>
      <c r="L299">
        <v>0.62291700000000005</v>
      </c>
      <c r="M299">
        <v>0.166658</v>
      </c>
      <c r="N299">
        <v>695</v>
      </c>
      <c r="O299">
        <v>3992</v>
      </c>
      <c r="P299">
        <v>4687</v>
      </c>
    </row>
    <row r="300" spans="1:16" x14ac:dyDescent="0.3">
      <c r="A300">
        <v>299</v>
      </c>
      <c r="B300" s="1">
        <v>40842</v>
      </c>
      <c r="C300">
        <v>4</v>
      </c>
      <c r="D300">
        <v>0</v>
      </c>
      <c r="E300">
        <v>10</v>
      </c>
      <c r="F300">
        <v>0</v>
      </c>
      <c r="G300">
        <v>3</v>
      </c>
      <c r="H300">
        <v>1</v>
      </c>
      <c r="I300">
        <v>2</v>
      </c>
      <c r="J300">
        <v>0.48416700000000001</v>
      </c>
      <c r="K300">
        <v>0.47284599999999999</v>
      </c>
      <c r="L300">
        <v>0.72041699999999997</v>
      </c>
      <c r="M300">
        <v>0.148642</v>
      </c>
      <c r="N300">
        <v>404</v>
      </c>
      <c r="O300">
        <v>3490</v>
      </c>
      <c r="P300">
        <v>3894</v>
      </c>
    </row>
    <row r="301" spans="1:16" x14ac:dyDescent="0.3">
      <c r="A301">
        <v>300</v>
      </c>
      <c r="B301" s="1">
        <v>40843</v>
      </c>
      <c r="C301">
        <v>4</v>
      </c>
      <c r="D301">
        <v>0</v>
      </c>
      <c r="E301">
        <v>10</v>
      </c>
      <c r="F301">
        <v>0</v>
      </c>
      <c r="G301">
        <v>4</v>
      </c>
      <c r="H301">
        <v>1</v>
      </c>
      <c r="I301">
        <v>2</v>
      </c>
      <c r="J301">
        <v>0.47</v>
      </c>
      <c r="K301">
        <v>0.45704600000000001</v>
      </c>
      <c r="L301">
        <v>0.812917</v>
      </c>
      <c r="M301">
        <v>0.19776299999999999</v>
      </c>
      <c r="N301">
        <v>240</v>
      </c>
      <c r="O301">
        <v>2419</v>
      </c>
      <c r="P301">
        <v>2659</v>
      </c>
    </row>
    <row r="302" spans="1:16" x14ac:dyDescent="0.3">
      <c r="A302">
        <v>301</v>
      </c>
      <c r="B302" s="1">
        <v>40844</v>
      </c>
      <c r="C302">
        <v>4</v>
      </c>
      <c r="D302">
        <v>0</v>
      </c>
      <c r="E302">
        <v>10</v>
      </c>
      <c r="F302">
        <v>0</v>
      </c>
      <c r="G302">
        <v>5</v>
      </c>
      <c r="H302">
        <v>1</v>
      </c>
      <c r="I302">
        <v>2</v>
      </c>
      <c r="J302">
        <v>0.33083299999999999</v>
      </c>
      <c r="K302">
        <v>0.31881199999999998</v>
      </c>
      <c r="L302">
        <v>0.58583300000000005</v>
      </c>
      <c r="M302">
        <v>0.22947899999999999</v>
      </c>
      <c r="N302">
        <v>456</v>
      </c>
      <c r="O302">
        <v>3291</v>
      </c>
      <c r="P302">
        <v>3747</v>
      </c>
    </row>
    <row r="303" spans="1:16" x14ac:dyDescent="0.3">
      <c r="A303">
        <v>302</v>
      </c>
      <c r="B303" s="1">
        <v>40845</v>
      </c>
      <c r="C303">
        <v>4</v>
      </c>
      <c r="D303">
        <v>0</v>
      </c>
      <c r="E303">
        <v>10</v>
      </c>
      <c r="F303">
        <v>0</v>
      </c>
      <c r="G303">
        <v>6</v>
      </c>
      <c r="H303">
        <v>0</v>
      </c>
      <c r="I303">
        <v>3</v>
      </c>
      <c r="J303">
        <v>0.25416699999999998</v>
      </c>
      <c r="K303">
        <v>0.227913</v>
      </c>
      <c r="L303">
        <v>0.88249999999999995</v>
      </c>
      <c r="M303">
        <v>0.35137099999999999</v>
      </c>
      <c r="N303">
        <v>57</v>
      </c>
      <c r="O303">
        <v>570</v>
      </c>
      <c r="P303">
        <v>627</v>
      </c>
    </row>
    <row r="304" spans="1:16" x14ac:dyDescent="0.3">
      <c r="A304">
        <v>303</v>
      </c>
      <c r="B304" s="1">
        <v>40846</v>
      </c>
      <c r="C304">
        <v>4</v>
      </c>
      <c r="D304">
        <v>0</v>
      </c>
      <c r="E304">
        <v>10</v>
      </c>
      <c r="F304">
        <v>0</v>
      </c>
      <c r="G304">
        <v>0</v>
      </c>
      <c r="H304">
        <v>0</v>
      </c>
      <c r="I304">
        <v>1</v>
      </c>
      <c r="J304">
        <v>0.31916699999999998</v>
      </c>
      <c r="K304">
        <v>0.32132899999999998</v>
      </c>
      <c r="L304">
        <v>0.62375000000000003</v>
      </c>
      <c r="M304">
        <v>0.176617</v>
      </c>
      <c r="N304">
        <v>885</v>
      </c>
      <c r="O304">
        <v>2446</v>
      </c>
      <c r="P304">
        <v>3331</v>
      </c>
    </row>
    <row r="305" spans="1:16" x14ac:dyDescent="0.3">
      <c r="A305">
        <v>304</v>
      </c>
      <c r="B305" s="1">
        <v>40847</v>
      </c>
      <c r="C305">
        <v>4</v>
      </c>
      <c r="D305">
        <v>0</v>
      </c>
      <c r="E305">
        <v>10</v>
      </c>
      <c r="F305">
        <v>0</v>
      </c>
      <c r="G305">
        <v>1</v>
      </c>
      <c r="H305">
        <v>1</v>
      </c>
      <c r="I305">
        <v>1</v>
      </c>
      <c r="J305">
        <v>0.34</v>
      </c>
      <c r="K305">
        <v>0.35606300000000002</v>
      </c>
      <c r="L305">
        <v>0.70333299999999999</v>
      </c>
      <c r="M305">
        <v>0.10635</v>
      </c>
      <c r="N305">
        <v>362</v>
      </c>
      <c r="O305">
        <v>3307</v>
      </c>
      <c r="P305">
        <v>3669</v>
      </c>
    </row>
    <row r="306" spans="1:16" x14ac:dyDescent="0.3">
      <c r="A306">
        <v>305</v>
      </c>
      <c r="B306" s="1">
        <v>40848</v>
      </c>
      <c r="C306">
        <v>4</v>
      </c>
      <c r="D306">
        <v>0</v>
      </c>
      <c r="E306">
        <v>11</v>
      </c>
      <c r="F306">
        <v>0</v>
      </c>
      <c r="G306">
        <v>2</v>
      </c>
      <c r="H306">
        <v>1</v>
      </c>
      <c r="I306">
        <v>1</v>
      </c>
      <c r="J306">
        <v>0.40083299999999999</v>
      </c>
      <c r="K306">
        <v>0.397088</v>
      </c>
      <c r="L306">
        <v>0.68374999999999997</v>
      </c>
      <c r="M306">
        <v>0.135571</v>
      </c>
      <c r="N306">
        <v>410</v>
      </c>
      <c r="O306">
        <v>3658</v>
      </c>
      <c r="P306">
        <v>4068</v>
      </c>
    </row>
    <row r="307" spans="1:16" x14ac:dyDescent="0.3">
      <c r="A307">
        <v>306</v>
      </c>
      <c r="B307" s="1">
        <v>40849</v>
      </c>
      <c r="C307">
        <v>4</v>
      </c>
      <c r="D307">
        <v>0</v>
      </c>
      <c r="E307">
        <v>11</v>
      </c>
      <c r="F307">
        <v>0</v>
      </c>
      <c r="G307">
        <v>3</v>
      </c>
      <c r="H307">
        <v>1</v>
      </c>
      <c r="I307">
        <v>1</v>
      </c>
      <c r="J307">
        <v>0.3775</v>
      </c>
      <c r="K307">
        <v>0.39013300000000001</v>
      </c>
      <c r="L307">
        <v>0.71875</v>
      </c>
      <c r="M307">
        <v>8.2091700000000004E-2</v>
      </c>
      <c r="N307">
        <v>370</v>
      </c>
      <c r="O307">
        <v>3816</v>
      </c>
      <c r="P307">
        <v>4186</v>
      </c>
    </row>
    <row r="308" spans="1:16" x14ac:dyDescent="0.3">
      <c r="A308">
        <v>307</v>
      </c>
      <c r="B308" s="1">
        <v>40850</v>
      </c>
      <c r="C308">
        <v>4</v>
      </c>
      <c r="D308">
        <v>0</v>
      </c>
      <c r="E308">
        <v>11</v>
      </c>
      <c r="F308">
        <v>0</v>
      </c>
      <c r="G308">
        <v>4</v>
      </c>
      <c r="H308">
        <v>1</v>
      </c>
      <c r="I308">
        <v>1</v>
      </c>
      <c r="J308">
        <v>0.408333</v>
      </c>
      <c r="K308">
        <v>0.40592099999999998</v>
      </c>
      <c r="L308">
        <v>0.70208300000000001</v>
      </c>
      <c r="M308">
        <v>0.13681699999999999</v>
      </c>
      <c r="N308">
        <v>318</v>
      </c>
      <c r="O308">
        <v>3656</v>
      </c>
      <c r="P308">
        <v>3974</v>
      </c>
    </row>
    <row r="309" spans="1:16" x14ac:dyDescent="0.3">
      <c r="A309">
        <v>308</v>
      </c>
      <c r="B309" s="1">
        <v>40851</v>
      </c>
      <c r="C309">
        <v>4</v>
      </c>
      <c r="D309">
        <v>0</v>
      </c>
      <c r="E309">
        <v>11</v>
      </c>
      <c r="F309">
        <v>0</v>
      </c>
      <c r="G309">
        <v>5</v>
      </c>
      <c r="H309">
        <v>1</v>
      </c>
      <c r="I309">
        <v>2</v>
      </c>
      <c r="J309">
        <v>0.403333</v>
      </c>
      <c r="K309">
        <v>0.40339199999999997</v>
      </c>
      <c r="L309">
        <v>0.62250000000000005</v>
      </c>
      <c r="M309">
        <v>0.27177899999999999</v>
      </c>
      <c r="N309">
        <v>470</v>
      </c>
      <c r="O309">
        <v>3576</v>
      </c>
      <c r="P309">
        <v>4046</v>
      </c>
    </row>
    <row r="310" spans="1:16" x14ac:dyDescent="0.3">
      <c r="A310">
        <v>309</v>
      </c>
      <c r="B310" s="1">
        <v>40852</v>
      </c>
      <c r="C310">
        <v>4</v>
      </c>
      <c r="D310">
        <v>0</v>
      </c>
      <c r="E310">
        <v>11</v>
      </c>
      <c r="F310">
        <v>0</v>
      </c>
      <c r="G310">
        <v>6</v>
      </c>
      <c r="H310">
        <v>0</v>
      </c>
      <c r="I310">
        <v>1</v>
      </c>
      <c r="J310">
        <v>0.32666699999999999</v>
      </c>
      <c r="K310">
        <v>0.32385399999999998</v>
      </c>
      <c r="L310">
        <v>0.51916700000000005</v>
      </c>
      <c r="M310">
        <v>0.18906200000000001</v>
      </c>
      <c r="N310">
        <v>1156</v>
      </c>
      <c r="O310">
        <v>2770</v>
      </c>
      <c r="P310">
        <v>3926</v>
      </c>
    </row>
    <row r="311" spans="1:16" x14ac:dyDescent="0.3">
      <c r="A311">
        <v>310</v>
      </c>
      <c r="B311" s="1">
        <v>40853</v>
      </c>
      <c r="C311">
        <v>4</v>
      </c>
      <c r="D311">
        <v>0</v>
      </c>
      <c r="E311">
        <v>11</v>
      </c>
      <c r="F311">
        <v>0</v>
      </c>
      <c r="G311">
        <v>0</v>
      </c>
      <c r="H311">
        <v>0</v>
      </c>
      <c r="I311">
        <v>1</v>
      </c>
      <c r="J311">
        <v>0.348333</v>
      </c>
      <c r="K311">
        <v>0.36235800000000001</v>
      </c>
      <c r="L311">
        <v>0.73458299999999999</v>
      </c>
      <c r="M311">
        <v>9.2054200000000003E-2</v>
      </c>
      <c r="N311">
        <v>952</v>
      </c>
      <c r="O311">
        <v>2697</v>
      </c>
      <c r="P311">
        <v>3649</v>
      </c>
    </row>
    <row r="312" spans="1:16" x14ac:dyDescent="0.3">
      <c r="A312">
        <v>311</v>
      </c>
      <c r="B312" s="1">
        <v>40854</v>
      </c>
      <c r="C312">
        <v>4</v>
      </c>
      <c r="D312">
        <v>0</v>
      </c>
      <c r="E312">
        <v>11</v>
      </c>
      <c r="F312">
        <v>0</v>
      </c>
      <c r="G312">
        <v>1</v>
      </c>
      <c r="H312">
        <v>1</v>
      </c>
      <c r="I312">
        <v>1</v>
      </c>
      <c r="J312">
        <v>0.39500000000000002</v>
      </c>
      <c r="K312">
        <v>0.40087099999999998</v>
      </c>
      <c r="L312">
        <v>0.75875000000000004</v>
      </c>
      <c r="M312">
        <v>5.7224999999999998E-2</v>
      </c>
      <c r="N312">
        <v>373</v>
      </c>
      <c r="O312">
        <v>3662</v>
      </c>
      <c r="P312">
        <v>4035</v>
      </c>
    </row>
    <row r="313" spans="1:16" x14ac:dyDescent="0.3">
      <c r="A313">
        <v>312</v>
      </c>
      <c r="B313" s="1">
        <v>40855</v>
      </c>
      <c r="C313">
        <v>4</v>
      </c>
      <c r="D313">
        <v>0</v>
      </c>
      <c r="E313">
        <v>11</v>
      </c>
      <c r="F313">
        <v>0</v>
      </c>
      <c r="G313">
        <v>2</v>
      </c>
      <c r="H313">
        <v>1</v>
      </c>
      <c r="I313">
        <v>1</v>
      </c>
      <c r="J313">
        <v>0.408333</v>
      </c>
      <c r="K313">
        <v>0.412246</v>
      </c>
      <c r="L313">
        <v>0.72166699999999995</v>
      </c>
      <c r="M313">
        <v>6.9037500000000002E-2</v>
      </c>
      <c r="N313">
        <v>376</v>
      </c>
      <c r="O313">
        <v>3829</v>
      </c>
      <c r="P313">
        <v>4205</v>
      </c>
    </row>
    <row r="314" spans="1:16" x14ac:dyDescent="0.3">
      <c r="A314">
        <v>313</v>
      </c>
      <c r="B314" s="1">
        <v>40856</v>
      </c>
      <c r="C314">
        <v>4</v>
      </c>
      <c r="D314">
        <v>0</v>
      </c>
      <c r="E314">
        <v>11</v>
      </c>
      <c r="F314">
        <v>0</v>
      </c>
      <c r="G314">
        <v>3</v>
      </c>
      <c r="H314">
        <v>1</v>
      </c>
      <c r="I314">
        <v>1</v>
      </c>
      <c r="J314">
        <v>0.4</v>
      </c>
      <c r="K314">
        <v>0.40907900000000003</v>
      </c>
      <c r="L314">
        <v>0.75833300000000003</v>
      </c>
      <c r="M314">
        <v>6.2195800000000002E-2</v>
      </c>
      <c r="N314">
        <v>305</v>
      </c>
      <c r="O314">
        <v>3804</v>
      </c>
      <c r="P314">
        <v>4109</v>
      </c>
    </row>
    <row r="315" spans="1:16" x14ac:dyDescent="0.3">
      <c r="A315">
        <v>314</v>
      </c>
      <c r="B315" s="1">
        <v>40857</v>
      </c>
      <c r="C315">
        <v>4</v>
      </c>
      <c r="D315">
        <v>0</v>
      </c>
      <c r="E315">
        <v>11</v>
      </c>
      <c r="F315">
        <v>0</v>
      </c>
      <c r="G315">
        <v>4</v>
      </c>
      <c r="H315">
        <v>1</v>
      </c>
      <c r="I315">
        <v>2</v>
      </c>
      <c r="J315">
        <v>0.38</v>
      </c>
      <c r="K315">
        <v>0.37372100000000003</v>
      </c>
      <c r="L315">
        <v>0.81333299999999997</v>
      </c>
      <c r="M315">
        <v>0.18906700000000001</v>
      </c>
      <c r="N315">
        <v>190</v>
      </c>
      <c r="O315">
        <v>2743</v>
      </c>
      <c r="P315">
        <v>2933</v>
      </c>
    </row>
    <row r="316" spans="1:16" x14ac:dyDescent="0.3">
      <c r="A316">
        <v>315</v>
      </c>
      <c r="B316" s="1">
        <v>40858</v>
      </c>
      <c r="C316">
        <v>4</v>
      </c>
      <c r="D316">
        <v>0</v>
      </c>
      <c r="E316">
        <v>11</v>
      </c>
      <c r="F316">
        <v>1</v>
      </c>
      <c r="G316">
        <v>5</v>
      </c>
      <c r="H316">
        <v>0</v>
      </c>
      <c r="I316">
        <v>1</v>
      </c>
      <c r="J316">
        <v>0.32416699999999998</v>
      </c>
      <c r="K316">
        <v>0.30681700000000001</v>
      </c>
      <c r="L316">
        <v>0.44624999999999998</v>
      </c>
      <c r="M316">
        <v>0.31467499999999998</v>
      </c>
      <c r="N316">
        <v>440</v>
      </c>
      <c r="O316">
        <v>2928</v>
      </c>
      <c r="P316">
        <v>3368</v>
      </c>
    </row>
    <row r="317" spans="1:16" x14ac:dyDescent="0.3">
      <c r="A317">
        <v>316</v>
      </c>
      <c r="B317" s="1">
        <v>40859</v>
      </c>
      <c r="C317">
        <v>4</v>
      </c>
      <c r="D317">
        <v>0</v>
      </c>
      <c r="E317">
        <v>11</v>
      </c>
      <c r="F317">
        <v>0</v>
      </c>
      <c r="G317">
        <v>6</v>
      </c>
      <c r="H317">
        <v>0</v>
      </c>
      <c r="I317">
        <v>1</v>
      </c>
      <c r="J317">
        <v>0.35666700000000001</v>
      </c>
      <c r="K317">
        <v>0.35794199999999998</v>
      </c>
      <c r="L317">
        <v>0.55291699999999999</v>
      </c>
      <c r="M317">
        <v>0.212062</v>
      </c>
      <c r="N317">
        <v>1275</v>
      </c>
      <c r="O317">
        <v>2792</v>
      </c>
      <c r="P317">
        <v>4067</v>
      </c>
    </row>
    <row r="318" spans="1:16" x14ac:dyDescent="0.3">
      <c r="A318">
        <v>317</v>
      </c>
      <c r="B318" s="1">
        <v>40860</v>
      </c>
      <c r="C318">
        <v>4</v>
      </c>
      <c r="D318">
        <v>0</v>
      </c>
      <c r="E318">
        <v>11</v>
      </c>
      <c r="F318">
        <v>0</v>
      </c>
      <c r="G318">
        <v>0</v>
      </c>
      <c r="H318">
        <v>0</v>
      </c>
      <c r="I318">
        <v>1</v>
      </c>
      <c r="J318">
        <v>0.44083299999999997</v>
      </c>
      <c r="K318">
        <v>0.43054999999999999</v>
      </c>
      <c r="L318">
        <v>0.45833299999999999</v>
      </c>
      <c r="M318">
        <v>0.281721</v>
      </c>
      <c r="N318">
        <v>1004</v>
      </c>
      <c r="O318">
        <v>2713</v>
      </c>
      <c r="P318">
        <v>3717</v>
      </c>
    </row>
    <row r="319" spans="1:16" x14ac:dyDescent="0.3">
      <c r="A319">
        <v>318</v>
      </c>
      <c r="B319" s="1">
        <v>40861</v>
      </c>
      <c r="C319">
        <v>4</v>
      </c>
      <c r="D319">
        <v>0</v>
      </c>
      <c r="E319">
        <v>11</v>
      </c>
      <c r="F319">
        <v>0</v>
      </c>
      <c r="G319">
        <v>1</v>
      </c>
      <c r="H319">
        <v>1</v>
      </c>
      <c r="I319">
        <v>1</v>
      </c>
      <c r="J319">
        <v>0.53</v>
      </c>
      <c r="K319">
        <v>0.52461199999999997</v>
      </c>
      <c r="L319">
        <v>0.58708300000000002</v>
      </c>
      <c r="M319">
        <v>0.30659599999999998</v>
      </c>
      <c r="N319">
        <v>595</v>
      </c>
      <c r="O319">
        <v>3891</v>
      </c>
      <c r="P319">
        <v>4486</v>
      </c>
    </row>
    <row r="320" spans="1:16" x14ac:dyDescent="0.3">
      <c r="A320">
        <v>319</v>
      </c>
      <c r="B320" s="1">
        <v>40862</v>
      </c>
      <c r="C320">
        <v>4</v>
      </c>
      <c r="D320">
        <v>0</v>
      </c>
      <c r="E320">
        <v>11</v>
      </c>
      <c r="F320">
        <v>0</v>
      </c>
      <c r="G320">
        <v>2</v>
      </c>
      <c r="H320">
        <v>1</v>
      </c>
      <c r="I320">
        <v>2</v>
      </c>
      <c r="J320">
        <v>0.53</v>
      </c>
      <c r="K320">
        <v>0.507579</v>
      </c>
      <c r="L320">
        <v>0.68874999999999997</v>
      </c>
      <c r="M320">
        <v>0.199633</v>
      </c>
      <c r="N320">
        <v>449</v>
      </c>
      <c r="O320">
        <v>3746</v>
      </c>
      <c r="P320">
        <v>4195</v>
      </c>
    </row>
    <row r="321" spans="1:16" x14ac:dyDescent="0.3">
      <c r="A321">
        <v>320</v>
      </c>
      <c r="B321" s="1">
        <v>40863</v>
      </c>
      <c r="C321">
        <v>4</v>
      </c>
      <c r="D321">
        <v>0</v>
      </c>
      <c r="E321">
        <v>11</v>
      </c>
      <c r="F321">
        <v>0</v>
      </c>
      <c r="G321">
        <v>3</v>
      </c>
      <c r="H321">
        <v>1</v>
      </c>
      <c r="I321">
        <v>3</v>
      </c>
      <c r="J321">
        <v>0.45666699999999999</v>
      </c>
      <c r="K321">
        <v>0.451988</v>
      </c>
      <c r="L321">
        <v>0.93</v>
      </c>
      <c r="M321">
        <v>0.13682900000000001</v>
      </c>
      <c r="N321">
        <v>145</v>
      </c>
      <c r="O321">
        <v>1672</v>
      </c>
      <c r="P321">
        <v>1817</v>
      </c>
    </row>
    <row r="322" spans="1:16" x14ac:dyDescent="0.3">
      <c r="A322">
        <v>321</v>
      </c>
      <c r="B322" s="1">
        <v>40864</v>
      </c>
      <c r="C322">
        <v>4</v>
      </c>
      <c r="D322">
        <v>0</v>
      </c>
      <c r="E322">
        <v>11</v>
      </c>
      <c r="F322">
        <v>0</v>
      </c>
      <c r="G322">
        <v>4</v>
      </c>
      <c r="H322">
        <v>1</v>
      </c>
      <c r="I322">
        <v>2</v>
      </c>
      <c r="J322">
        <v>0.341667</v>
      </c>
      <c r="K322">
        <v>0.32322099999999998</v>
      </c>
      <c r="L322">
        <v>0.57583300000000004</v>
      </c>
      <c r="M322">
        <v>0.30536200000000002</v>
      </c>
      <c r="N322">
        <v>139</v>
      </c>
      <c r="O322">
        <v>2914</v>
      </c>
      <c r="P322">
        <v>3053</v>
      </c>
    </row>
    <row r="323" spans="1:16" x14ac:dyDescent="0.3">
      <c r="A323">
        <v>322</v>
      </c>
      <c r="B323" s="1">
        <v>40865</v>
      </c>
      <c r="C323">
        <v>4</v>
      </c>
      <c r="D323">
        <v>0</v>
      </c>
      <c r="E323">
        <v>11</v>
      </c>
      <c r="F323">
        <v>0</v>
      </c>
      <c r="G323">
        <v>5</v>
      </c>
      <c r="H323">
        <v>1</v>
      </c>
      <c r="I323">
        <v>1</v>
      </c>
      <c r="J323">
        <v>0.27416699999999999</v>
      </c>
      <c r="K323">
        <v>0.27272099999999999</v>
      </c>
      <c r="L323">
        <v>0.41</v>
      </c>
      <c r="M323">
        <v>0.16853299999999999</v>
      </c>
      <c r="N323">
        <v>245</v>
      </c>
      <c r="O323">
        <v>3147</v>
      </c>
      <c r="P323">
        <v>3392</v>
      </c>
    </row>
    <row r="324" spans="1:16" x14ac:dyDescent="0.3">
      <c r="A324">
        <v>323</v>
      </c>
      <c r="B324" s="1">
        <v>40866</v>
      </c>
      <c r="C324">
        <v>4</v>
      </c>
      <c r="D324">
        <v>0</v>
      </c>
      <c r="E324">
        <v>11</v>
      </c>
      <c r="F324">
        <v>0</v>
      </c>
      <c r="G324">
        <v>6</v>
      </c>
      <c r="H324">
        <v>0</v>
      </c>
      <c r="I324">
        <v>1</v>
      </c>
      <c r="J324">
        <v>0.32916699999999999</v>
      </c>
      <c r="K324">
        <v>0.32448300000000002</v>
      </c>
      <c r="L324">
        <v>0.50208299999999995</v>
      </c>
      <c r="M324">
        <v>0.224496</v>
      </c>
      <c r="N324">
        <v>943</v>
      </c>
      <c r="O324">
        <v>2720</v>
      </c>
      <c r="P324">
        <v>3663</v>
      </c>
    </row>
    <row r="325" spans="1:16" x14ac:dyDescent="0.3">
      <c r="A325">
        <v>324</v>
      </c>
      <c r="B325" s="1">
        <v>40867</v>
      </c>
      <c r="C325">
        <v>4</v>
      </c>
      <c r="D325">
        <v>0</v>
      </c>
      <c r="E325">
        <v>11</v>
      </c>
      <c r="F325">
        <v>0</v>
      </c>
      <c r="G325">
        <v>0</v>
      </c>
      <c r="H325">
        <v>0</v>
      </c>
      <c r="I325">
        <v>2</v>
      </c>
      <c r="J325">
        <v>0.46333299999999999</v>
      </c>
      <c r="K325">
        <v>0.45705800000000002</v>
      </c>
      <c r="L325">
        <v>0.68458300000000005</v>
      </c>
      <c r="M325">
        <v>0.18595</v>
      </c>
      <c r="N325">
        <v>787</v>
      </c>
      <c r="O325">
        <v>2733</v>
      </c>
      <c r="P325">
        <v>3520</v>
      </c>
    </row>
    <row r="326" spans="1:16" x14ac:dyDescent="0.3">
      <c r="A326">
        <v>325</v>
      </c>
      <c r="B326" s="1">
        <v>40868</v>
      </c>
      <c r="C326">
        <v>4</v>
      </c>
      <c r="D326">
        <v>0</v>
      </c>
      <c r="E326">
        <v>11</v>
      </c>
      <c r="F326">
        <v>0</v>
      </c>
      <c r="G326">
        <v>1</v>
      </c>
      <c r="H326">
        <v>1</v>
      </c>
      <c r="I326">
        <v>3</v>
      </c>
      <c r="J326">
        <v>0.44750000000000001</v>
      </c>
      <c r="K326">
        <v>0.44506200000000001</v>
      </c>
      <c r="L326">
        <v>0.91</v>
      </c>
      <c r="M326">
        <v>0.13805400000000001</v>
      </c>
      <c r="N326">
        <v>220</v>
      </c>
      <c r="O326">
        <v>2545</v>
      </c>
      <c r="P326">
        <v>2765</v>
      </c>
    </row>
    <row r="327" spans="1:16" x14ac:dyDescent="0.3">
      <c r="A327">
        <v>326</v>
      </c>
      <c r="B327" s="1">
        <v>40869</v>
      </c>
      <c r="C327">
        <v>4</v>
      </c>
      <c r="D327">
        <v>0</v>
      </c>
      <c r="E327">
        <v>11</v>
      </c>
      <c r="F327">
        <v>0</v>
      </c>
      <c r="G327">
        <v>2</v>
      </c>
      <c r="H327">
        <v>1</v>
      </c>
      <c r="I327">
        <v>3</v>
      </c>
      <c r="J327">
        <v>0.41666700000000001</v>
      </c>
      <c r="K327">
        <v>0.42169600000000002</v>
      </c>
      <c r="L327">
        <v>0.96250000000000002</v>
      </c>
      <c r="M327">
        <v>0.11879199999999999</v>
      </c>
      <c r="N327">
        <v>69</v>
      </c>
      <c r="O327">
        <v>1538</v>
      </c>
      <c r="P327">
        <v>1607</v>
      </c>
    </row>
    <row r="328" spans="1:16" x14ac:dyDescent="0.3">
      <c r="A328">
        <v>327</v>
      </c>
      <c r="B328" s="1">
        <v>40870</v>
      </c>
      <c r="C328">
        <v>4</v>
      </c>
      <c r="D328">
        <v>0</v>
      </c>
      <c r="E328">
        <v>11</v>
      </c>
      <c r="F328">
        <v>0</v>
      </c>
      <c r="G328">
        <v>3</v>
      </c>
      <c r="H328">
        <v>1</v>
      </c>
      <c r="I328">
        <v>2</v>
      </c>
      <c r="J328">
        <v>0.44083299999999997</v>
      </c>
      <c r="K328">
        <v>0.430537</v>
      </c>
      <c r="L328">
        <v>0.75791699999999995</v>
      </c>
      <c r="M328">
        <v>0.33582499999999998</v>
      </c>
      <c r="N328">
        <v>112</v>
      </c>
      <c r="O328">
        <v>2454</v>
      </c>
      <c r="P328">
        <v>2566</v>
      </c>
    </row>
    <row r="329" spans="1:16" x14ac:dyDescent="0.3">
      <c r="A329">
        <v>328</v>
      </c>
      <c r="B329" s="1">
        <v>40871</v>
      </c>
      <c r="C329">
        <v>4</v>
      </c>
      <c r="D329">
        <v>0</v>
      </c>
      <c r="E329">
        <v>11</v>
      </c>
      <c r="F329">
        <v>1</v>
      </c>
      <c r="G329">
        <v>4</v>
      </c>
      <c r="H329">
        <v>0</v>
      </c>
      <c r="I329">
        <v>1</v>
      </c>
      <c r="J329">
        <v>0.37333300000000003</v>
      </c>
      <c r="K329">
        <v>0.372471</v>
      </c>
      <c r="L329">
        <v>0.54916699999999996</v>
      </c>
      <c r="M329">
        <v>0.16730400000000001</v>
      </c>
      <c r="N329">
        <v>560</v>
      </c>
      <c r="O329">
        <v>935</v>
      </c>
      <c r="P329">
        <v>1495</v>
      </c>
    </row>
    <row r="330" spans="1:16" x14ac:dyDescent="0.3">
      <c r="A330">
        <v>329</v>
      </c>
      <c r="B330" s="1">
        <v>40872</v>
      </c>
      <c r="C330">
        <v>4</v>
      </c>
      <c r="D330">
        <v>0</v>
      </c>
      <c r="E330">
        <v>11</v>
      </c>
      <c r="F330">
        <v>0</v>
      </c>
      <c r="G330">
        <v>5</v>
      </c>
      <c r="H330">
        <v>1</v>
      </c>
      <c r="I330">
        <v>1</v>
      </c>
      <c r="J330">
        <v>0.375</v>
      </c>
      <c r="K330">
        <v>0.38067099999999998</v>
      </c>
      <c r="L330">
        <v>0.64375000000000004</v>
      </c>
      <c r="M330">
        <v>9.8895800000000006E-2</v>
      </c>
      <c r="N330">
        <v>1095</v>
      </c>
      <c r="O330">
        <v>1697</v>
      </c>
      <c r="P330">
        <v>2792</v>
      </c>
    </row>
    <row r="331" spans="1:16" x14ac:dyDescent="0.3">
      <c r="A331">
        <v>330</v>
      </c>
      <c r="B331" s="1">
        <v>40873</v>
      </c>
      <c r="C331">
        <v>4</v>
      </c>
      <c r="D331">
        <v>0</v>
      </c>
      <c r="E331">
        <v>11</v>
      </c>
      <c r="F331">
        <v>0</v>
      </c>
      <c r="G331">
        <v>6</v>
      </c>
      <c r="H331">
        <v>0</v>
      </c>
      <c r="I331">
        <v>1</v>
      </c>
      <c r="J331">
        <v>0.37583299999999997</v>
      </c>
      <c r="K331">
        <v>0.38508700000000001</v>
      </c>
      <c r="L331">
        <v>0.68166700000000002</v>
      </c>
      <c r="M331">
        <v>6.8420800000000004E-2</v>
      </c>
      <c r="N331">
        <v>1249</v>
      </c>
      <c r="O331">
        <v>1819</v>
      </c>
      <c r="P331">
        <v>3068</v>
      </c>
    </row>
    <row r="332" spans="1:16" x14ac:dyDescent="0.3">
      <c r="A332">
        <v>331</v>
      </c>
      <c r="B332" s="1">
        <v>40874</v>
      </c>
      <c r="C332">
        <v>4</v>
      </c>
      <c r="D332">
        <v>0</v>
      </c>
      <c r="E332">
        <v>11</v>
      </c>
      <c r="F332">
        <v>0</v>
      </c>
      <c r="G332">
        <v>0</v>
      </c>
      <c r="H332">
        <v>0</v>
      </c>
      <c r="I332">
        <v>1</v>
      </c>
      <c r="J332">
        <v>0.45916699999999999</v>
      </c>
      <c r="K332">
        <v>0.45579999999999998</v>
      </c>
      <c r="L332">
        <v>0.69833299999999998</v>
      </c>
      <c r="M332">
        <v>0.208954</v>
      </c>
      <c r="N332">
        <v>810</v>
      </c>
      <c r="O332">
        <v>2261</v>
      </c>
      <c r="P332">
        <v>3071</v>
      </c>
    </row>
    <row r="333" spans="1:16" x14ac:dyDescent="0.3">
      <c r="A333">
        <v>332</v>
      </c>
      <c r="B333" s="1">
        <v>40875</v>
      </c>
      <c r="C333">
        <v>4</v>
      </c>
      <c r="D333">
        <v>0</v>
      </c>
      <c r="E333">
        <v>11</v>
      </c>
      <c r="F333">
        <v>0</v>
      </c>
      <c r="G333">
        <v>1</v>
      </c>
      <c r="H333">
        <v>1</v>
      </c>
      <c r="I333">
        <v>1</v>
      </c>
      <c r="J333">
        <v>0.50347799999999998</v>
      </c>
      <c r="K333">
        <v>0.490122</v>
      </c>
      <c r="L333">
        <v>0.74304300000000001</v>
      </c>
      <c r="M333">
        <v>0.142122</v>
      </c>
      <c r="N333">
        <v>253</v>
      </c>
      <c r="O333">
        <v>3614</v>
      </c>
      <c r="P333">
        <v>3867</v>
      </c>
    </row>
    <row r="334" spans="1:16" x14ac:dyDescent="0.3">
      <c r="A334">
        <v>333</v>
      </c>
      <c r="B334" s="1">
        <v>40876</v>
      </c>
      <c r="C334">
        <v>4</v>
      </c>
      <c r="D334">
        <v>0</v>
      </c>
      <c r="E334">
        <v>11</v>
      </c>
      <c r="F334">
        <v>0</v>
      </c>
      <c r="G334">
        <v>2</v>
      </c>
      <c r="H334">
        <v>1</v>
      </c>
      <c r="I334">
        <v>2</v>
      </c>
      <c r="J334">
        <v>0.45833299999999999</v>
      </c>
      <c r="K334">
        <v>0.45137500000000003</v>
      </c>
      <c r="L334">
        <v>0.83083300000000004</v>
      </c>
      <c r="M334">
        <v>0.25809199999999999</v>
      </c>
      <c r="N334">
        <v>96</v>
      </c>
      <c r="O334">
        <v>2818</v>
      </c>
      <c r="P334">
        <v>2914</v>
      </c>
    </row>
    <row r="335" spans="1:16" x14ac:dyDescent="0.3">
      <c r="A335">
        <v>334</v>
      </c>
      <c r="B335" s="1">
        <v>40877</v>
      </c>
      <c r="C335">
        <v>4</v>
      </c>
      <c r="D335">
        <v>0</v>
      </c>
      <c r="E335">
        <v>11</v>
      </c>
      <c r="F335">
        <v>0</v>
      </c>
      <c r="G335">
        <v>3</v>
      </c>
      <c r="H335">
        <v>1</v>
      </c>
      <c r="I335">
        <v>1</v>
      </c>
      <c r="J335">
        <v>0.32500000000000001</v>
      </c>
      <c r="K335">
        <v>0.31122100000000003</v>
      </c>
      <c r="L335">
        <v>0.61333300000000002</v>
      </c>
      <c r="M335">
        <v>0.27115800000000001</v>
      </c>
      <c r="N335">
        <v>188</v>
      </c>
      <c r="O335">
        <v>3425</v>
      </c>
      <c r="P335">
        <v>3613</v>
      </c>
    </row>
    <row r="336" spans="1:16" x14ac:dyDescent="0.3">
      <c r="A336">
        <v>335</v>
      </c>
      <c r="B336" s="1">
        <v>40878</v>
      </c>
      <c r="C336">
        <v>4</v>
      </c>
      <c r="D336">
        <v>0</v>
      </c>
      <c r="E336">
        <v>12</v>
      </c>
      <c r="F336">
        <v>0</v>
      </c>
      <c r="G336">
        <v>4</v>
      </c>
      <c r="H336">
        <v>1</v>
      </c>
      <c r="I336">
        <v>1</v>
      </c>
      <c r="J336">
        <v>0.3125</v>
      </c>
      <c r="K336">
        <v>0.30555399999999999</v>
      </c>
      <c r="L336">
        <v>0.52458300000000002</v>
      </c>
      <c r="M336">
        <v>0.22015799999999999</v>
      </c>
      <c r="N336">
        <v>182</v>
      </c>
      <c r="O336">
        <v>3545</v>
      </c>
      <c r="P336">
        <v>3727</v>
      </c>
    </row>
    <row r="337" spans="1:16" x14ac:dyDescent="0.3">
      <c r="A337">
        <v>336</v>
      </c>
      <c r="B337" s="1">
        <v>40879</v>
      </c>
      <c r="C337">
        <v>4</v>
      </c>
      <c r="D337">
        <v>0</v>
      </c>
      <c r="E337">
        <v>12</v>
      </c>
      <c r="F337">
        <v>0</v>
      </c>
      <c r="G337">
        <v>5</v>
      </c>
      <c r="H337">
        <v>1</v>
      </c>
      <c r="I337">
        <v>1</v>
      </c>
      <c r="J337">
        <v>0.31416699999999997</v>
      </c>
      <c r="K337">
        <v>0.33143299999999998</v>
      </c>
      <c r="L337">
        <v>0.62583299999999997</v>
      </c>
      <c r="M337">
        <v>0.100754</v>
      </c>
      <c r="N337">
        <v>268</v>
      </c>
      <c r="O337">
        <v>3672</v>
      </c>
      <c r="P337">
        <v>3940</v>
      </c>
    </row>
    <row r="338" spans="1:16" x14ac:dyDescent="0.3">
      <c r="A338">
        <v>337</v>
      </c>
      <c r="B338" s="1">
        <v>40880</v>
      </c>
      <c r="C338">
        <v>4</v>
      </c>
      <c r="D338">
        <v>0</v>
      </c>
      <c r="E338">
        <v>12</v>
      </c>
      <c r="F338">
        <v>0</v>
      </c>
      <c r="G338">
        <v>6</v>
      </c>
      <c r="H338">
        <v>0</v>
      </c>
      <c r="I338">
        <v>1</v>
      </c>
      <c r="J338">
        <v>0.29916700000000002</v>
      </c>
      <c r="K338">
        <v>0.31060399999999999</v>
      </c>
      <c r="L338">
        <v>0.61291700000000005</v>
      </c>
      <c r="M338">
        <v>9.5783300000000002E-2</v>
      </c>
      <c r="N338">
        <v>706</v>
      </c>
      <c r="O338">
        <v>2908</v>
      </c>
      <c r="P338">
        <v>3614</v>
      </c>
    </row>
    <row r="339" spans="1:16" x14ac:dyDescent="0.3">
      <c r="A339">
        <v>338</v>
      </c>
      <c r="B339" s="1">
        <v>40881</v>
      </c>
      <c r="C339">
        <v>4</v>
      </c>
      <c r="D339">
        <v>0</v>
      </c>
      <c r="E339">
        <v>12</v>
      </c>
      <c r="F339">
        <v>0</v>
      </c>
      <c r="G339">
        <v>0</v>
      </c>
      <c r="H339">
        <v>0</v>
      </c>
      <c r="I339">
        <v>1</v>
      </c>
      <c r="J339">
        <v>0.33083299999999999</v>
      </c>
      <c r="K339">
        <v>0.34910000000000002</v>
      </c>
      <c r="L339">
        <v>0.77583299999999999</v>
      </c>
      <c r="M339">
        <v>8.39583E-2</v>
      </c>
      <c r="N339">
        <v>634</v>
      </c>
      <c r="O339">
        <v>2851</v>
      </c>
      <c r="P339">
        <v>3485</v>
      </c>
    </row>
    <row r="340" spans="1:16" x14ac:dyDescent="0.3">
      <c r="A340">
        <v>339</v>
      </c>
      <c r="B340" s="1">
        <v>40882</v>
      </c>
      <c r="C340">
        <v>4</v>
      </c>
      <c r="D340">
        <v>0</v>
      </c>
      <c r="E340">
        <v>12</v>
      </c>
      <c r="F340">
        <v>0</v>
      </c>
      <c r="G340">
        <v>1</v>
      </c>
      <c r="H340">
        <v>1</v>
      </c>
      <c r="I340">
        <v>2</v>
      </c>
      <c r="J340">
        <v>0.38583299999999998</v>
      </c>
      <c r="K340">
        <v>0.39392500000000003</v>
      </c>
      <c r="L340">
        <v>0.82708300000000001</v>
      </c>
      <c r="M340">
        <v>6.2208300000000001E-2</v>
      </c>
      <c r="N340">
        <v>233</v>
      </c>
      <c r="O340">
        <v>3578</v>
      </c>
      <c r="P340">
        <v>3811</v>
      </c>
    </row>
    <row r="341" spans="1:16" x14ac:dyDescent="0.3">
      <c r="A341">
        <v>340</v>
      </c>
      <c r="B341" s="1">
        <v>40883</v>
      </c>
      <c r="C341">
        <v>4</v>
      </c>
      <c r="D341">
        <v>0</v>
      </c>
      <c r="E341">
        <v>12</v>
      </c>
      <c r="F341">
        <v>0</v>
      </c>
      <c r="G341">
        <v>2</v>
      </c>
      <c r="H341">
        <v>1</v>
      </c>
      <c r="I341">
        <v>3</v>
      </c>
      <c r="J341">
        <v>0.46250000000000002</v>
      </c>
      <c r="K341">
        <v>0.45639999999999997</v>
      </c>
      <c r="L341">
        <v>0.94958299999999995</v>
      </c>
      <c r="M341">
        <v>0.23258300000000001</v>
      </c>
      <c r="N341">
        <v>126</v>
      </c>
      <c r="O341">
        <v>2468</v>
      </c>
      <c r="P341">
        <v>2594</v>
      </c>
    </row>
    <row r="342" spans="1:16" x14ac:dyDescent="0.3">
      <c r="A342">
        <v>341</v>
      </c>
      <c r="B342" s="1">
        <v>40884</v>
      </c>
      <c r="C342">
        <v>4</v>
      </c>
      <c r="D342">
        <v>0</v>
      </c>
      <c r="E342">
        <v>12</v>
      </c>
      <c r="F342">
        <v>0</v>
      </c>
      <c r="G342">
        <v>3</v>
      </c>
      <c r="H342">
        <v>1</v>
      </c>
      <c r="I342">
        <v>3</v>
      </c>
      <c r="J342">
        <v>0.41</v>
      </c>
      <c r="K342">
        <v>0.40024599999999999</v>
      </c>
      <c r="L342">
        <v>0.97041699999999997</v>
      </c>
      <c r="M342">
        <v>0.26617499999999999</v>
      </c>
      <c r="N342">
        <v>50</v>
      </c>
      <c r="O342">
        <v>655</v>
      </c>
      <c r="P342">
        <v>705</v>
      </c>
    </row>
    <row r="343" spans="1:16" x14ac:dyDescent="0.3">
      <c r="A343">
        <v>342</v>
      </c>
      <c r="B343" s="1">
        <v>40885</v>
      </c>
      <c r="C343">
        <v>4</v>
      </c>
      <c r="D343">
        <v>0</v>
      </c>
      <c r="E343">
        <v>12</v>
      </c>
      <c r="F343">
        <v>0</v>
      </c>
      <c r="G343">
        <v>4</v>
      </c>
      <c r="H343">
        <v>1</v>
      </c>
      <c r="I343">
        <v>1</v>
      </c>
      <c r="J343">
        <v>0.26583299999999999</v>
      </c>
      <c r="K343">
        <v>0.256938</v>
      </c>
      <c r="L343">
        <v>0.57999999999999996</v>
      </c>
      <c r="M343">
        <v>0.24005799999999999</v>
      </c>
      <c r="N343">
        <v>150</v>
      </c>
      <c r="O343">
        <v>3172</v>
      </c>
      <c r="P343">
        <v>3322</v>
      </c>
    </row>
    <row r="344" spans="1:16" x14ac:dyDescent="0.3">
      <c r="A344">
        <v>343</v>
      </c>
      <c r="B344" s="1">
        <v>40886</v>
      </c>
      <c r="C344">
        <v>4</v>
      </c>
      <c r="D344">
        <v>0</v>
      </c>
      <c r="E344">
        <v>12</v>
      </c>
      <c r="F344">
        <v>0</v>
      </c>
      <c r="G344">
        <v>5</v>
      </c>
      <c r="H344">
        <v>1</v>
      </c>
      <c r="I344">
        <v>1</v>
      </c>
      <c r="J344">
        <v>0.29083300000000001</v>
      </c>
      <c r="K344">
        <v>0.31754199999999999</v>
      </c>
      <c r="L344">
        <v>0.69583300000000003</v>
      </c>
      <c r="M344">
        <v>8.2716700000000004E-2</v>
      </c>
      <c r="N344">
        <v>261</v>
      </c>
      <c r="O344">
        <v>3359</v>
      </c>
      <c r="P344">
        <v>3620</v>
      </c>
    </row>
    <row r="345" spans="1:16" x14ac:dyDescent="0.3">
      <c r="A345">
        <v>344</v>
      </c>
      <c r="B345" s="1">
        <v>40887</v>
      </c>
      <c r="C345">
        <v>4</v>
      </c>
      <c r="D345">
        <v>0</v>
      </c>
      <c r="E345">
        <v>12</v>
      </c>
      <c r="F345">
        <v>0</v>
      </c>
      <c r="G345">
        <v>6</v>
      </c>
      <c r="H345">
        <v>0</v>
      </c>
      <c r="I345">
        <v>1</v>
      </c>
      <c r="J345">
        <v>0.27500000000000002</v>
      </c>
      <c r="K345">
        <v>0.26641199999999998</v>
      </c>
      <c r="L345">
        <v>0.50749999999999995</v>
      </c>
      <c r="M345">
        <v>0.23322100000000001</v>
      </c>
      <c r="N345">
        <v>502</v>
      </c>
      <c r="O345">
        <v>2688</v>
      </c>
      <c r="P345">
        <v>3190</v>
      </c>
    </row>
    <row r="346" spans="1:16" x14ac:dyDescent="0.3">
      <c r="A346">
        <v>345</v>
      </c>
      <c r="B346" s="1">
        <v>40888</v>
      </c>
      <c r="C346">
        <v>4</v>
      </c>
      <c r="D346">
        <v>0</v>
      </c>
      <c r="E346">
        <v>12</v>
      </c>
      <c r="F346">
        <v>0</v>
      </c>
      <c r="G346">
        <v>0</v>
      </c>
      <c r="H346">
        <v>0</v>
      </c>
      <c r="I346">
        <v>1</v>
      </c>
      <c r="J346">
        <v>0.220833</v>
      </c>
      <c r="K346">
        <v>0.25315399999999999</v>
      </c>
      <c r="L346">
        <v>0.49</v>
      </c>
      <c r="M346">
        <v>6.6541699999999995E-2</v>
      </c>
      <c r="N346">
        <v>377</v>
      </c>
      <c r="O346">
        <v>2366</v>
      </c>
      <c r="P346">
        <v>2743</v>
      </c>
    </row>
    <row r="347" spans="1:16" x14ac:dyDescent="0.3">
      <c r="A347">
        <v>346</v>
      </c>
      <c r="B347" s="1">
        <v>40889</v>
      </c>
      <c r="C347">
        <v>4</v>
      </c>
      <c r="D347">
        <v>0</v>
      </c>
      <c r="E347">
        <v>12</v>
      </c>
      <c r="F347">
        <v>0</v>
      </c>
      <c r="G347">
        <v>1</v>
      </c>
      <c r="H347">
        <v>1</v>
      </c>
      <c r="I347">
        <v>1</v>
      </c>
      <c r="J347">
        <v>0.23833299999999999</v>
      </c>
      <c r="K347">
        <v>0.27019599999999999</v>
      </c>
      <c r="L347">
        <v>0.67083300000000001</v>
      </c>
      <c r="M347">
        <v>6.3450000000000006E-2</v>
      </c>
      <c r="N347">
        <v>143</v>
      </c>
      <c r="O347">
        <v>3167</v>
      </c>
      <c r="P347">
        <v>3310</v>
      </c>
    </row>
    <row r="348" spans="1:16" x14ac:dyDescent="0.3">
      <c r="A348">
        <v>347</v>
      </c>
      <c r="B348" s="1">
        <v>40890</v>
      </c>
      <c r="C348">
        <v>4</v>
      </c>
      <c r="D348">
        <v>0</v>
      </c>
      <c r="E348">
        <v>12</v>
      </c>
      <c r="F348">
        <v>0</v>
      </c>
      <c r="G348">
        <v>2</v>
      </c>
      <c r="H348">
        <v>1</v>
      </c>
      <c r="I348">
        <v>1</v>
      </c>
      <c r="J348">
        <v>0.28249999999999997</v>
      </c>
      <c r="K348">
        <v>0.30113800000000002</v>
      </c>
      <c r="L348">
        <v>0.59</v>
      </c>
      <c r="M348">
        <v>0.14055000000000001</v>
      </c>
      <c r="N348">
        <v>155</v>
      </c>
      <c r="O348">
        <v>3368</v>
      </c>
      <c r="P348">
        <v>3523</v>
      </c>
    </row>
    <row r="349" spans="1:16" x14ac:dyDescent="0.3">
      <c r="A349">
        <v>348</v>
      </c>
      <c r="B349" s="1">
        <v>40891</v>
      </c>
      <c r="C349">
        <v>4</v>
      </c>
      <c r="D349">
        <v>0</v>
      </c>
      <c r="E349">
        <v>12</v>
      </c>
      <c r="F349">
        <v>0</v>
      </c>
      <c r="G349">
        <v>3</v>
      </c>
      <c r="H349">
        <v>1</v>
      </c>
      <c r="I349">
        <v>2</v>
      </c>
      <c r="J349">
        <v>0.3175</v>
      </c>
      <c r="K349">
        <v>0.338362</v>
      </c>
      <c r="L349">
        <v>0.66374999999999995</v>
      </c>
      <c r="M349">
        <v>6.09583E-2</v>
      </c>
      <c r="N349">
        <v>178</v>
      </c>
      <c r="O349">
        <v>3562</v>
      </c>
      <c r="P349">
        <v>3740</v>
      </c>
    </row>
    <row r="350" spans="1:16" x14ac:dyDescent="0.3">
      <c r="A350">
        <v>349</v>
      </c>
      <c r="B350" s="1">
        <v>40892</v>
      </c>
      <c r="C350">
        <v>4</v>
      </c>
      <c r="D350">
        <v>0</v>
      </c>
      <c r="E350">
        <v>12</v>
      </c>
      <c r="F350">
        <v>0</v>
      </c>
      <c r="G350">
        <v>4</v>
      </c>
      <c r="H350">
        <v>1</v>
      </c>
      <c r="I350">
        <v>2</v>
      </c>
      <c r="J350">
        <v>0.42249999999999999</v>
      </c>
      <c r="K350">
        <v>0.41223700000000002</v>
      </c>
      <c r="L350">
        <v>0.63416700000000004</v>
      </c>
      <c r="M350">
        <v>0.268042</v>
      </c>
      <c r="N350">
        <v>181</v>
      </c>
      <c r="O350">
        <v>3528</v>
      </c>
      <c r="P350">
        <v>3709</v>
      </c>
    </row>
    <row r="351" spans="1:16" x14ac:dyDescent="0.3">
      <c r="A351">
        <v>350</v>
      </c>
      <c r="B351" s="1">
        <v>40893</v>
      </c>
      <c r="C351">
        <v>4</v>
      </c>
      <c r="D351">
        <v>0</v>
      </c>
      <c r="E351">
        <v>12</v>
      </c>
      <c r="F351">
        <v>0</v>
      </c>
      <c r="G351">
        <v>5</v>
      </c>
      <c r="H351">
        <v>1</v>
      </c>
      <c r="I351">
        <v>2</v>
      </c>
      <c r="J351">
        <v>0.375</v>
      </c>
      <c r="K351">
        <v>0.35982500000000001</v>
      </c>
      <c r="L351">
        <v>0.500417</v>
      </c>
      <c r="M351">
        <v>0.260575</v>
      </c>
      <c r="N351">
        <v>178</v>
      </c>
      <c r="O351">
        <v>3399</v>
      </c>
      <c r="P351">
        <v>3577</v>
      </c>
    </row>
    <row r="352" spans="1:16" x14ac:dyDescent="0.3">
      <c r="A352">
        <v>351</v>
      </c>
      <c r="B352" s="1">
        <v>40894</v>
      </c>
      <c r="C352">
        <v>4</v>
      </c>
      <c r="D352">
        <v>0</v>
      </c>
      <c r="E352">
        <v>12</v>
      </c>
      <c r="F352">
        <v>0</v>
      </c>
      <c r="G352">
        <v>6</v>
      </c>
      <c r="H352">
        <v>0</v>
      </c>
      <c r="I352">
        <v>2</v>
      </c>
      <c r="J352">
        <v>0.25833299999999998</v>
      </c>
      <c r="K352">
        <v>0.24937100000000001</v>
      </c>
      <c r="L352">
        <v>0.56083300000000003</v>
      </c>
      <c r="M352">
        <v>0.24316699999999999</v>
      </c>
      <c r="N352">
        <v>275</v>
      </c>
      <c r="O352">
        <v>2464</v>
      </c>
      <c r="P352">
        <v>2739</v>
      </c>
    </row>
    <row r="353" spans="1:16" x14ac:dyDescent="0.3">
      <c r="A353">
        <v>352</v>
      </c>
      <c r="B353" s="1">
        <v>40895</v>
      </c>
      <c r="C353">
        <v>4</v>
      </c>
      <c r="D353">
        <v>0</v>
      </c>
      <c r="E353">
        <v>12</v>
      </c>
      <c r="F353">
        <v>0</v>
      </c>
      <c r="G353">
        <v>0</v>
      </c>
      <c r="H353">
        <v>0</v>
      </c>
      <c r="I353">
        <v>1</v>
      </c>
      <c r="J353">
        <v>0.23833299999999999</v>
      </c>
      <c r="K353">
        <v>0.24557899999999999</v>
      </c>
      <c r="L353">
        <v>0.58625000000000005</v>
      </c>
      <c r="M353">
        <v>0.16977900000000001</v>
      </c>
      <c r="N353">
        <v>220</v>
      </c>
      <c r="O353">
        <v>2211</v>
      </c>
      <c r="P353">
        <v>2431</v>
      </c>
    </row>
    <row r="354" spans="1:16" x14ac:dyDescent="0.3">
      <c r="A354">
        <v>353</v>
      </c>
      <c r="B354" s="1">
        <v>40896</v>
      </c>
      <c r="C354">
        <v>4</v>
      </c>
      <c r="D354">
        <v>0</v>
      </c>
      <c r="E354">
        <v>12</v>
      </c>
      <c r="F354">
        <v>0</v>
      </c>
      <c r="G354">
        <v>1</v>
      </c>
      <c r="H354">
        <v>1</v>
      </c>
      <c r="I354">
        <v>1</v>
      </c>
      <c r="J354">
        <v>0.276667</v>
      </c>
      <c r="K354">
        <v>0.28093299999999999</v>
      </c>
      <c r="L354">
        <v>0.63749999999999996</v>
      </c>
      <c r="M354">
        <v>0.17289599999999999</v>
      </c>
      <c r="N354">
        <v>260</v>
      </c>
      <c r="O354">
        <v>3143</v>
      </c>
      <c r="P354">
        <v>3403</v>
      </c>
    </row>
    <row r="355" spans="1:16" x14ac:dyDescent="0.3">
      <c r="A355">
        <v>354</v>
      </c>
      <c r="B355" s="1">
        <v>40897</v>
      </c>
      <c r="C355">
        <v>4</v>
      </c>
      <c r="D355">
        <v>0</v>
      </c>
      <c r="E355">
        <v>12</v>
      </c>
      <c r="F355">
        <v>0</v>
      </c>
      <c r="G355">
        <v>2</v>
      </c>
      <c r="H355">
        <v>1</v>
      </c>
      <c r="I355">
        <v>2</v>
      </c>
      <c r="J355">
        <v>0.38583299999999998</v>
      </c>
      <c r="K355">
        <v>0.39645399999999997</v>
      </c>
      <c r="L355">
        <v>0.59541699999999997</v>
      </c>
      <c r="M355">
        <v>6.1570800000000002E-2</v>
      </c>
      <c r="N355">
        <v>216</v>
      </c>
      <c r="O355">
        <v>3534</v>
      </c>
      <c r="P355">
        <v>3750</v>
      </c>
    </row>
    <row r="356" spans="1:16" x14ac:dyDescent="0.3">
      <c r="A356">
        <v>355</v>
      </c>
      <c r="B356" s="1">
        <v>40898</v>
      </c>
      <c r="C356">
        <v>1</v>
      </c>
      <c r="D356">
        <v>0</v>
      </c>
      <c r="E356">
        <v>12</v>
      </c>
      <c r="F356">
        <v>0</v>
      </c>
      <c r="G356">
        <v>3</v>
      </c>
      <c r="H356">
        <v>1</v>
      </c>
      <c r="I356">
        <v>2</v>
      </c>
      <c r="J356">
        <v>0.42833300000000002</v>
      </c>
      <c r="K356">
        <v>0.42801699999999998</v>
      </c>
      <c r="L356">
        <v>0.85833300000000001</v>
      </c>
      <c r="M356">
        <v>0.22140000000000001</v>
      </c>
      <c r="N356">
        <v>107</v>
      </c>
      <c r="O356">
        <v>2553</v>
      </c>
      <c r="P356">
        <v>2660</v>
      </c>
    </row>
    <row r="357" spans="1:16" x14ac:dyDescent="0.3">
      <c r="A357">
        <v>356</v>
      </c>
      <c r="B357" s="1">
        <v>40899</v>
      </c>
      <c r="C357">
        <v>1</v>
      </c>
      <c r="D357">
        <v>0</v>
      </c>
      <c r="E357">
        <v>12</v>
      </c>
      <c r="F357">
        <v>0</v>
      </c>
      <c r="G357">
        <v>4</v>
      </c>
      <c r="H357">
        <v>1</v>
      </c>
      <c r="I357">
        <v>2</v>
      </c>
      <c r="J357">
        <v>0.42333300000000001</v>
      </c>
      <c r="K357">
        <v>0.42612100000000003</v>
      </c>
      <c r="L357">
        <v>0.75749999999999995</v>
      </c>
      <c r="M357">
        <v>4.7274999999999998E-2</v>
      </c>
      <c r="N357">
        <v>227</v>
      </c>
      <c r="O357">
        <v>2841</v>
      </c>
      <c r="P357">
        <v>3068</v>
      </c>
    </row>
    <row r="358" spans="1:16" x14ac:dyDescent="0.3">
      <c r="A358">
        <v>357</v>
      </c>
      <c r="B358" s="1">
        <v>40900</v>
      </c>
      <c r="C358">
        <v>1</v>
      </c>
      <c r="D358">
        <v>0</v>
      </c>
      <c r="E358">
        <v>12</v>
      </c>
      <c r="F358">
        <v>0</v>
      </c>
      <c r="G358">
        <v>5</v>
      </c>
      <c r="H358">
        <v>1</v>
      </c>
      <c r="I358">
        <v>1</v>
      </c>
      <c r="J358">
        <v>0.37333300000000003</v>
      </c>
      <c r="K358">
        <v>0.37751299999999999</v>
      </c>
      <c r="L358">
        <v>0.68625000000000003</v>
      </c>
      <c r="M358">
        <v>0.27424599999999999</v>
      </c>
      <c r="N358">
        <v>163</v>
      </c>
      <c r="O358">
        <v>2046</v>
      </c>
      <c r="P358">
        <v>2209</v>
      </c>
    </row>
    <row r="359" spans="1:16" x14ac:dyDescent="0.3">
      <c r="A359">
        <v>358</v>
      </c>
      <c r="B359" s="1">
        <v>40901</v>
      </c>
      <c r="C359">
        <v>1</v>
      </c>
      <c r="D359">
        <v>0</v>
      </c>
      <c r="E359">
        <v>12</v>
      </c>
      <c r="F359">
        <v>0</v>
      </c>
      <c r="G359">
        <v>6</v>
      </c>
      <c r="H359">
        <v>0</v>
      </c>
      <c r="I359">
        <v>1</v>
      </c>
      <c r="J359">
        <v>0.30249999999999999</v>
      </c>
      <c r="K359">
        <v>0.29924200000000001</v>
      </c>
      <c r="L359">
        <v>0.54249999999999998</v>
      </c>
      <c r="M359">
        <v>0.190304</v>
      </c>
      <c r="N359">
        <v>155</v>
      </c>
      <c r="O359">
        <v>856</v>
      </c>
      <c r="P359">
        <v>1011</v>
      </c>
    </row>
    <row r="360" spans="1:16" x14ac:dyDescent="0.3">
      <c r="A360">
        <v>359</v>
      </c>
      <c r="B360" s="1">
        <v>40902</v>
      </c>
      <c r="C360">
        <v>1</v>
      </c>
      <c r="D360">
        <v>0</v>
      </c>
      <c r="E360">
        <v>12</v>
      </c>
      <c r="F360">
        <v>0</v>
      </c>
      <c r="G360">
        <v>0</v>
      </c>
      <c r="H360">
        <v>0</v>
      </c>
      <c r="I360">
        <v>1</v>
      </c>
      <c r="J360">
        <v>0.274783</v>
      </c>
      <c r="K360">
        <v>0.27996100000000002</v>
      </c>
      <c r="L360">
        <v>0.68130400000000002</v>
      </c>
      <c r="M360">
        <v>0.15509100000000001</v>
      </c>
      <c r="N360">
        <v>303</v>
      </c>
      <c r="O360">
        <v>451</v>
      </c>
      <c r="P360">
        <v>754</v>
      </c>
    </row>
    <row r="361" spans="1:16" x14ac:dyDescent="0.3">
      <c r="A361">
        <v>360</v>
      </c>
      <c r="B361" s="1">
        <v>40903</v>
      </c>
      <c r="C361">
        <v>1</v>
      </c>
      <c r="D361">
        <v>0</v>
      </c>
      <c r="E361">
        <v>12</v>
      </c>
      <c r="F361">
        <v>1</v>
      </c>
      <c r="G361">
        <v>1</v>
      </c>
      <c r="H361">
        <v>0</v>
      </c>
      <c r="I361">
        <v>1</v>
      </c>
      <c r="J361">
        <v>0.321739</v>
      </c>
      <c r="K361">
        <v>0.31553500000000001</v>
      </c>
      <c r="L361">
        <v>0.50695699999999999</v>
      </c>
      <c r="M361">
        <v>0.23946500000000001</v>
      </c>
      <c r="N361">
        <v>430</v>
      </c>
      <c r="O361">
        <v>887</v>
      </c>
      <c r="P361">
        <v>1317</v>
      </c>
    </row>
    <row r="362" spans="1:16" x14ac:dyDescent="0.3">
      <c r="A362">
        <v>361</v>
      </c>
      <c r="B362" s="1">
        <v>40904</v>
      </c>
      <c r="C362">
        <v>1</v>
      </c>
      <c r="D362">
        <v>0</v>
      </c>
      <c r="E362">
        <v>12</v>
      </c>
      <c r="F362">
        <v>0</v>
      </c>
      <c r="G362">
        <v>2</v>
      </c>
      <c r="H362">
        <v>1</v>
      </c>
      <c r="I362">
        <v>2</v>
      </c>
      <c r="J362">
        <v>0.32500000000000001</v>
      </c>
      <c r="K362">
        <v>0.32763300000000001</v>
      </c>
      <c r="L362">
        <v>0.76249999999999996</v>
      </c>
      <c r="M362">
        <v>0.18845000000000001</v>
      </c>
      <c r="N362">
        <v>103</v>
      </c>
      <c r="O362">
        <v>1059</v>
      </c>
      <c r="P362">
        <v>1162</v>
      </c>
    </row>
    <row r="363" spans="1:16" x14ac:dyDescent="0.3">
      <c r="A363">
        <v>362</v>
      </c>
      <c r="B363" s="1">
        <v>40905</v>
      </c>
      <c r="C363">
        <v>1</v>
      </c>
      <c r="D363">
        <v>0</v>
      </c>
      <c r="E363">
        <v>12</v>
      </c>
      <c r="F363">
        <v>0</v>
      </c>
      <c r="G363">
        <v>3</v>
      </c>
      <c r="H363">
        <v>1</v>
      </c>
      <c r="I363">
        <v>1</v>
      </c>
      <c r="J363">
        <v>0.29913000000000001</v>
      </c>
      <c r="K363">
        <v>0.279974</v>
      </c>
      <c r="L363">
        <v>0.50391300000000006</v>
      </c>
      <c r="M363">
        <v>0.29396099999999997</v>
      </c>
      <c r="N363">
        <v>255</v>
      </c>
      <c r="O363">
        <v>2047</v>
      </c>
      <c r="P363">
        <v>2302</v>
      </c>
    </row>
    <row r="364" spans="1:16" x14ac:dyDescent="0.3">
      <c r="A364">
        <v>363</v>
      </c>
      <c r="B364" s="1">
        <v>40906</v>
      </c>
      <c r="C364">
        <v>1</v>
      </c>
      <c r="D364">
        <v>0</v>
      </c>
      <c r="E364">
        <v>12</v>
      </c>
      <c r="F364">
        <v>0</v>
      </c>
      <c r="G364">
        <v>4</v>
      </c>
      <c r="H364">
        <v>1</v>
      </c>
      <c r="I364">
        <v>1</v>
      </c>
      <c r="J364">
        <v>0.248333</v>
      </c>
      <c r="K364">
        <v>0.26389200000000002</v>
      </c>
      <c r="L364">
        <v>0.57416699999999998</v>
      </c>
      <c r="M364">
        <v>0.119412</v>
      </c>
      <c r="N364">
        <v>254</v>
      </c>
      <c r="O364">
        <v>2169</v>
      </c>
      <c r="P364">
        <v>2423</v>
      </c>
    </row>
    <row r="365" spans="1:16" x14ac:dyDescent="0.3">
      <c r="A365">
        <v>364</v>
      </c>
      <c r="B365" s="1">
        <v>40907</v>
      </c>
      <c r="C365">
        <v>1</v>
      </c>
      <c r="D365">
        <v>0</v>
      </c>
      <c r="E365">
        <v>12</v>
      </c>
      <c r="F365">
        <v>0</v>
      </c>
      <c r="G365">
        <v>5</v>
      </c>
      <c r="H365">
        <v>1</v>
      </c>
      <c r="I365">
        <v>1</v>
      </c>
      <c r="J365">
        <v>0.31166700000000003</v>
      </c>
      <c r="K365">
        <v>0.31881199999999998</v>
      </c>
      <c r="L365">
        <v>0.63666699999999998</v>
      </c>
      <c r="M365">
        <v>0.13433700000000001</v>
      </c>
      <c r="N365">
        <v>491</v>
      </c>
      <c r="O365">
        <v>2508</v>
      </c>
      <c r="P365">
        <v>2999</v>
      </c>
    </row>
    <row r="366" spans="1:16" x14ac:dyDescent="0.3">
      <c r="A366">
        <v>365</v>
      </c>
      <c r="B366" s="1">
        <v>40908</v>
      </c>
      <c r="C366">
        <v>1</v>
      </c>
      <c r="D366">
        <v>0</v>
      </c>
      <c r="E366">
        <v>12</v>
      </c>
      <c r="F366">
        <v>0</v>
      </c>
      <c r="G366">
        <v>6</v>
      </c>
      <c r="H366">
        <v>0</v>
      </c>
      <c r="I366">
        <v>1</v>
      </c>
      <c r="J366">
        <v>0.41</v>
      </c>
      <c r="K366">
        <v>0.41412100000000002</v>
      </c>
      <c r="L366">
        <v>0.61583299999999996</v>
      </c>
      <c r="M366">
        <v>0.22015399999999999</v>
      </c>
      <c r="N366">
        <v>665</v>
      </c>
      <c r="O366">
        <v>1820</v>
      </c>
      <c r="P366">
        <v>2485</v>
      </c>
    </row>
    <row r="367" spans="1:16" x14ac:dyDescent="0.3">
      <c r="A367">
        <v>366</v>
      </c>
      <c r="B367" s="1">
        <v>40909</v>
      </c>
      <c r="C367">
        <v>1</v>
      </c>
      <c r="D367">
        <v>1</v>
      </c>
      <c r="E367">
        <v>1</v>
      </c>
      <c r="F367">
        <v>0</v>
      </c>
      <c r="G367">
        <v>0</v>
      </c>
      <c r="H367">
        <v>0</v>
      </c>
      <c r="I367">
        <v>1</v>
      </c>
      <c r="J367">
        <v>0.37</v>
      </c>
      <c r="K367">
        <v>0.37562099999999998</v>
      </c>
      <c r="L367">
        <v>0.6925</v>
      </c>
      <c r="M367">
        <v>0.192167</v>
      </c>
      <c r="N367">
        <v>686</v>
      </c>
      <c r="O367">
        <v>1608</v>
      </c>
      <c r="P367">
        <v>2294</v>
      </c>
    </row>
    <row r="368" spans="1:16" x14ac:dyDescent="0.3">
      <c r="A368">
        <v>367</v>
      </c>
      <c r="B368" s="1">
        <v>40910</v>
      </c>
      <c r="C368">
        <v>1</v>
      </c>
      <c r="D368">
        <v>1</v>
      </c>
      <c r="E368">
        <v>1</v>
      </c>
      <c r="F368">
        <v>1</v>
      </c>
      <c r="G368">
        <v>1</v>
      </c>
      <c r="H368">
        <v>0</v>
      </c>
      <c r="I368">
        <v>1</v>
      </c>
      <c r="J368">
        <v>0.27304299999999998</v>
      </c>
      <c r="K368">
        <v>0.25230399999999997</v>
      </c>
      <c r="L368">
        <v>0.38130399999999998</v>
      </c>
      <c r="M368">
        <v>0.32966499999999999</v>
      </c>
      <c r="N368">
        <v>244</v>
      </c>
      <c r="O368">
        <v>1707</v>
      </c>
      <c r="P368">
        <v>1951</v>
      </c>
    </row>
    <row r="369" spans="1:16" x14ac:dyDescent="0.3">
      <c r="A369">
        <v>368</v>
      </c>
      <c r="B369" s="1">
        <v>40911</v>
      </c>
      <c r="C369">
        <v>1</v>
      </c>
      <c r="D369">
        <v>1</v>
      </c>
      <c r="E369">
        <v>1</v>
      </c>
      <c r="F369">
        <v>0</v>
      </c>
      <c r="G369">
        <v>2</v>
      </c>
      <c r="H369">
        <v>1</v>
      </c>
      <c r="I369">
        <v>1</v>
      </c>
      <c r="J369">
        <v>0.15</v>
      </c>
      <c r="K369">
        <v>0.126275</v>
      </c>
      <c r="L369">
        <v>0.44124999999999998</v>
      </c>
      <c r="M369">
        <v>0.36567100000000002</v>
      </c>
      <c r="N369">
        <v>89</v>
      </c>
      <c r="O369">
        <v>2147</v>
      </c>
      <c r="P369">
        <v>2236</v>
      </c>
    </row>
    <row r="370" spans="1:16" x14ac:dyDescent="0.3">
      <c r="A370">
        <v>369</v>
      </c>
      <c r="B370" s="1">
        <v>40912</v>
      </c>
      <c r="C370">
        <v>1</v>
      </c>
      <c r="D370">
        <v>1</v>
      </c>
      <c r="E370">
        <v>1</v>
      </c>
      <c r="F370">
        <v>0</v>
      </c>
      <c r="G370">
        <v>3</v>
      </c>
      <c r="H370">
        <v>1</v>
      </c>
      <c r="I370">
        <v>2</v>
      </c>
      <c r="J370">
        <v>0.1075</v>
      </c>
      <c r="K370">
        <v>0.119337</v>
      </c>
      <c r="L370">
        <v>0.41458299999999998</v>
      </c>
      <c r="M370">
        <v>0.1847</v>
      </c>
      <c r="N370">
        <v>95</v>
      </c>
      <c r="O370">
        <v>2273</v>
      </c>
      <c r="P370">
        <v>2368</v>
      </c>
    </row>
    <row r="371" spans="1:16" x14ac:dyDescent="0.3">
      <c r="A371">
        <v>370</v>
      </c>
      <c r="B371" s="1">
        <v>40913</v>
      </c>
      <c r="C371">
        <v>1</v>
      </c>
      <c r="D371">
        <v>1</v>
      </c>
      <c r="E371">
        <v>1</v>
      </c>
      <c r="F371">
        <v>0</v>
      </c>
      <c r="G371">
        <v>4</v>
      </c>
      <c r="H371">
        <v>1</v>
      </c>
      <c r="I371">
        <v>1</v>
      </c>
      <c r="J371">
        <v>0.26583299999999999</v>
      </c>
      <c r="K371">
        <v>0.27841199999999999</v>
      </c>
      <c r="L371">
        <v>0.52416700000000005</v>
      </c>
      <c r="M371">
        <v>0.12998699999999999</v>
      </c>
      <c r="N371">
        <v>140</v>
      </c>
      <c r="O371">
        <v>3132</v>
      </c>
      <c r="P371">
        <v>3272</v>
      </c>
    </row>
    <row r="372" spans="1:16" x14ac:dyDescent="0.3">
      <c r="A372">
        <v>371</v>
      </c>
      <c r="B372" s="1">
        <v>40914</v>
      </c>
      <c r="C372">
        <v>1</v>
      </c>
      <c r="D372">
        <v>1</v>
      </c>
      <c r="E372">
        <v>1</v>
      </c>
      <c r="F372">
        <v>0</v>
      </c>
      <c r="G372">
        <v>5</v>
      </c>
      <c r="H372">
        <v>1</v>
      </c>
      <c r="I372">
        <v>1</v>
      </c>
      <c r="J372">
        <v>0.33416699999999999</v>
      </c>
      <c r="K372">
        <v>0.34026699999999999</v>
      </c>
      <c r="L372">
        <v>0.54208299999999998</v>
      </c>
      <c r="M372">
        <v>0.167908</v>
      </c>
      <c r="N372">
        <v>307</v>
      </c>
      <c r="O372">
        <v>3791</v>
      </c>
      <c r="P372">
        <v>4098</v>
      </c>
    </row>
    <row r="373" spans="1:16" x14ac:dyDescent="0.3">
      <c r="A373">
        <v>372</v>
      </c>
      <c r="B373" s="1">
        <v>40915</v>
      </c>
      <c r="C373">
        <v>1</v>
      </c>
      <c r="D373">
        <v>1</v>
      </c>
      <c r="E373">
        <v>1</v>
      </c>
      <c r="F373">
        <v>0</v>
      </c>
      <c r="G373">
        <v>6</v>
      </c>
      <c r="H373">
        <v>0</v>
      </c>
      <c r="I373">
        <v>1</v>
      </c>
      <c r="J373">
        <v>0.39333299999999999</v>
      </c>
      <c r="K373">
        <v>0.39077899999999999</v>
      </c>
      <c r="L373">
        <v>0.531667</v>
      </c>
      <c r="M373">
        <v>0.174758</v>
      </c>
      <c r="N373">
        <v>1070</v>
      </c>
      <c r="O373">
        <v>3451</v>
      </c>
      <c r="P373">
        <v>4521</v>
      </c>
    </row>
    <row r="374" spans="1:16" x14ac:dyDescent="0.3">
      <c r="A374">
        <v>373</v>
      </c>
      <c r="B374" s="1">
        <v>40916</v>
      </c>
      <c r="C374">
        <v>1</v>
      </c>
      <c r="D374">
        <v>1</v>
      </c>
      <c r="E374">
        <v>1</v>
      </c>
      <c r="F374">
        <v>0</v>
      </c>
      <c r="G374">
        <v>0</v>
      </c>
      <c r="H374">
        <v>0</v>
      </c>
      <c r="I374">
        <v>1</v>
      </c>
      <c r="J374">
        <v>0.33750000000000002</v>
      </c>
      <c r="K374">
        <v>0.340258</v>
      </c>
      <c r="L374">
        <v>0.46500000000000002</v>
      </c>
      <c r="M374">
        <v>0.19154199999999999</v>
      </c>
      <c r="N374">
        <v>599</v>
      </c>
      <c r="O374">
        <v>2826</v>
      </c>
      <c r="P374">
        <v>3425</v>
      </c>
    </row>
    <row r="375" spans="1:16" x14ac:dyDescent="0.3">
      <c r="A375">
        <v>374</v>
      </c>
      <c r="B375" s="1">
        <v>40917</v>
      </c>
      <c r="C375">
        <v>1</v>
      </c>
      <c r="D375">
        <v>1</v>
      </c>
      <c r="E375">
        <v>1</v>
      </c>
      <c r="F375">
        <v>0</v>
      </c>
      <c r="G375">
        <v>1</v>
      </c>
      <c r="H375">
        <v>1</v>
      </c>
      <c r="I375">
        <v>2</v>
      </c>
      <c r="J375">
        <v>0.22416700000000001</v>
      </c>
      <c r="K375">
        <v>0.247479</v>
      </c>
      <c r="L375">
        <v>0.70166700000000004</v>
      </c>
      <c r="M375">
        <v>9.8900000000000002E-2</v>
      </c>
      <c r="N375">
        <v>106</v>
      </c>
      <c r="O375">
        <v>2270</v>
      </c>
      <c r="P375">
        <v>2376</v>
      </c>
    </row>
    <row r="376" spans="1:16" x14ac:dyDescent="0.3">
      <c r="A376">
        <v>375</v>
      </c>
      <c r="B376" s="1">
        <v>40918</v>
      </c>
      <c r="C376">
        <v>1</v>
      </c>
      <c r="D376">
        <v>1</v>
      </c>
      <c r="E376">
        <v>1</v>
      </c>
      <c r="F376">
        <v>0</v>
      </c>
      <c r="G376">
        <v>2</v>
      </c>
      <c r="H376">
        <v>1</v>
      </c>
      <c r="I376">
        <v>1</v>
      </c>
      <c r="J376">
        <v>0.30869600000000003</v>
      </c>
      <c r="K376">
        <v>0.318826</v>
      </c>
      <c r="L376">
        <v>0.64652200000000004</v>
      </c>
      <c r="M376">
        <v>0.187552</v>
      </c>
      <c r="N376">
        <v>173</v>
      </c>
      <c r="O376">
        <v>3425</v>
      </c>
      <c r="P376">
        <v>3598</v>
      </c>
    </row>
    <row r="377" spans="1:16" x14ac:dyDescent="0.3">
      <c r="A377">
        <v>376</v>
      </c>
      <c r="B377" s="1">
        <v>40919</v>
      </c>
      <c r="C377">
        <v>1</v>
      </c>
      <c r="D377">
        <v>1</v>
      </c>
      <c r="E377">
        <v>1</v>
      </c>
      <c r="F377">
        <v>0</v>
      </c>
      <c r="G377">
        <v>3</v>
      </c>
      <c r="H377">
        <v>1</v>
      </c>
      <c r="I377">
        <v>2</v>
      </c>
      <c r="J377">
        <v>0.27416699999999999</v>
      </c>
      <c r="K377">
        <v>0.28282099999999999</v>
      </c>
      <c r="L377">
        <v>0.84750000000000003</v>
      </c>
      <c r="M377">
        <v>0.131221</v>
      </c>
      <c r="N377">
        <v>92</v>
      </c>
      <c r="O377">
        <v>2085</v>
      </c>
      <c r="P377">
        <v>2177</v>
      </c>
    </row>
    <row r="378" spans="1:16" x14ac:dyDescent="0.3">
      <c r="A378">
        <v>377</v>
      </c>
      <c r="B378" s="1">
        <v>40920</v>
      </c>
      <c r="C378">
        <v>1</v>
      </c>
      <c r="D378">
        <v>1</v>
      </c>
      <c r="E378">
        <v>1</v>
      </c>
      <c r="F378">
        <v>0</v>
      </c>
      <c r="G378">
        <v>4</v>
      </c>
      <c r="H378">
        <v>1</v>
      </c>
      <c r="I378">
        <v>2</v>
      </c>
      <c r="J378">
        <v>0.38250000000000001</v>
      </c>
      <c r="K378">
        <v>0.381938</v>
      </c>
      <c r="L378">
        <v>0.80291699999999999</v>
      </c>
      <c r="M378">
        <v>0.18096699999999999</v>
      </c>
      <c r="N378">
        <v>269</v>
      </c>
      <c r="O378">
        <v>3828</v>
      </c>
      <c r="P378">
        <v>4097</v>
      </c>
    </row>
    <row r="379" spans="1:16" x14ac:dyDescent="0.3">
      <c r="A379">
        <v>378</v>
      </c>
      <c r="B379" s="1">
        <v>40921</v>
      </c>
      <c r="C379">
        <v>1</v>
      </c>
      <c r="D379">
        <v>1</v>
      </c>
      <c r="E379">
        <v>1</v>
      </c>
      <c r="F379">
        <v>0</v>
      </c>
      <c r="G379">
        <v>5</v>
      </c>
      <c r="H379">
        <v>1</v>
      </c>
      <c r="I379">
        <v>1</v>
      </c>
      <c r="J379">
        <v>0.27416699999999999</v>
      </c>
      <c r="K379">
        <v>0.249362</v>
      </c>
      <c r="L379">
        <v>0.50749999999999995</v>
      </c>
      <c r="M379">
        <v>0.378108</v>
      </c>
      <c r="N379">
        <v>174</v>
      </c>
      <c r="O379">
        <v>3040</v>
      </c>
      <c r="P379">
        <v>3214</v>
      </c>
    </row>
    <row r="380" spans="1:16" x14ac:dyDescent="0.3">
      <c r="A380">
        <v>379</v>
      </c>
      <c r="B380" s="1">
        <v>40922</v>
      </c>
      <c r="C380">
        <v>1</v>
      </c>
      <c r="D380">
        <v>1</v>
      </c>
      <c r="E380">
        <v>1</v>
      </c>
      <c r="F380">
        <v>0</v>
      </c>
      <c r="G380">
        <v>6</v>
      </c>
      <c r="H380">
        <v>0</v>
      </c>
      <c r="I380">
        <v>1</v>
      </c>
      <c r="J380">
        <v>0.18</v>
      </c>
      <c r="K380">
        <v>0.183087</v>
      </c>
      <c r="L380">
        <v>0.45750000000000002</v>
      </c>
      <c r="M380">
        <v>0.18718299999999999</v>
      </c>
      <c r="N380">
        <v>333</v>
      </c>
      <c r="O380">
        <v>2160</v>
      </c>
      <c r="P380">
        <v>2493</v>
      </c>
    </row>
    <row r="381" spans="1:16" x14ac:dyDescent="0.3">
      <c r="A381">
        <v>380</v>
      </c>
      <c r="B381" s="1">
        <v>40923</v>
      </c>
      <c r="C381">
        <v>1</v>
      </c>
      <c r="D381">
        <v>1</v>
      </c>
      <c r="E381">
        <v>1</v>
      </c>
      <c r="F381">
        <v>0</v>
      </c>
      <c r="G381">
        <v>0</v>
      </c>
      <c r="H381">
        <v>0</v>
      </c>
      <c r="I381">
        <v>1</v>
      </c>
      <c r="J381">
        <v>0.16666700000000001</v>
      </c>
      <c r="K381">
        <v>0.16162499999999999</v>
      </c>
      <c r="L381">
        <v>0.41916700000000001</v>
      </c>
      <c r="M381">
        <v>0.25125799999999998</v>
      </c>
      <c r="N381">
        <v>284</v>
      </c>
      <c r="O381">
        <v>2027</v>
      </c>
      <c r="P381">
        <v>2311</v>
      </c>
    </row>
    <row r="382" spans="1:16" x14ac:dyDescent="0.3">
      <c r="A382">
        <v>381</v>
      </c>
      <c r="B382" s="1">
        <v>40924</v>
      </c>
      <c r="C382">
        <v>1</v>
      </c>
      <c r="D382">
        <v>1</v>
      </c>
      <c r="E382">
        <v>1</v>
      </c>
      <c r="F382">
        <v>1</v>
      </c>
      <c r="G382">
        <v>1</v>
      </c>
      <c r="H382">
        <v>0</v>
      </c>
      <c r="I382">
        <v>1</v>
      </c>
      <c r="J382">
        <v>0.19</v>
      </c>
      <c r="K382">
        <v>0.190663</v>
      </c>
      <c r="L382">
        <v>0.52249999999999996</v>
      </c>
      <c r="M382">
        <v>0.23135800000000001</v>
      </c>
      <c r="N382">
        <v>217</v>
      </c>
      <c r="O382">
        <v>2081</v>
      </c>
      <c r="P382">
        <v>2298</v>
      </c>
    </row>
    <row r="383" spans="1:16" x14ac:dyDescent="0.3">
      <c r="A383">
        <v>382</v>
      </c>
      <c r="B383" s="1">
        <v>40925</v>
      </c>
      <c r="C383">
        <v>1</v>
      </c>
      <c r="D383">
        <v>1</v>
      </c>
      <c r="E383">
        <v>1</v>
      </c>
      <c r="F383">
        <v>0</v>
      </c>
      <c r="G383">
        <v>2</v>
      </c>
      <c r="H383">
        <v>1</v>
      </c>
      <c r="I383">
        <v>2</v>
      </c>
      <c r="J383">
        <v>0.37304300000000001</v>
      </c>
      <c r="K383">
        <v>0.36427799999999999</v>
      </c>
      <c r="L383">
        <v>0.71608700000000003</v>
      </c>
      <c r="M383">
        <v>0.34913</v>
      </c>
      <c r="N383">
        <v>127</v>
      </c>
      <c r="O383">
        <v>2808</v>
      </c>
      <c r="P383">
        <v>2935</v>
      </c>
    </row>
    <row r="384" spans="1:16" x14ac:dyDescent="0.3">
      <c r="A384">
        <v>383</v>
      </c>
      <c r="B384" s="1">
        <v>40926</v>
      </c>
      <c r="C384">
        <v>1</v>
      </c>
      <c r="D384">
        <v>1</v>
      </c>
      <c r="E384">
        <v>1</v>
      </c>
      <c r="F384">
        <v>0</v>
      </c>
      <c r="G384">
        <v>3</v>
      </c>
      <c r="H384">
        <v>1</v>
      </c>
      <c r="I384">
        <v>1</v>
      </c>
      <c r="J384">
        <v>0.30333300000000002</v>
      </c>
      <c r="K384">
        <v>0.275254</v>
      </c>
      <c r="L384">
        <v>0.44333299999999998</v>
      </c>
      <c r="M384">
        <v>0.41542899999999999</v>
      </c>
      <c r="N384">
        <v>109</v>
      </c>
      <c r="O384">
        <v>3267</v>
      </c>
      <c r="P384">
        <v>3376</v>
      </c>
    </row>
    <row r="385" spans="1:16" x14ac:dyDescent="0.3">
      <c r="A385">
        <v>384</v>
      </c>
      <c r="B385" s="1">
        <v>40927</v>
      </c>
      <c r="C385">
        <v>1</v>
      </c>
      <c r="D385">
        <v>1</v>
      </c>
      <c r="E385">
        <v>1</v>
      </c>
      <c r="F385">
        <v>0</v>
      </c>
      <c r="G385">
        <v>4</v>
      </c>
      <c r="H385">
        <v>1</v>
      </c>
      <c r="I385">
        <v>1</v>
      </c>
      <c r="J385">
        <v>0.19</v>
      </c>
      <c r="K385">
        <v>0.19003800000000001</v>
      </c>
      <c r="L385">
        <v>0.4975</v>
      </c>
      <c r="M385">
        <v>0.22015799999999999</v>
      </c>
      <c r="N385">
        <v>130</v>
      </c>
      <c r="O385">
        <v>3162</v>
      </c>
      <c r="P385">
        <v>3292</v>
      </c>
    </row>
    <row r="386" spans="1:16" x14ac:dyDescent="0.3">
      <c r="A386">
        <v>385</v>
      </c>
      <c r="B386" s="1">
        <v>40928</v>
      </c>
      <c r="C386">
        <v>1</v>
      </c>
      <c r="D386">
        <v>1</v>
      </c>
      <c r="E386">
        <v>1</v>
      </c>
      <c r="F386">
        <v>0</v>
      </c>
      <c r="G386">
        <v>5</v>
      </c>
      <c r="H386">
        <v>1</v>
      </c>
      <c r="I386">
        <v>2</v>
      </c>
      <c r="J386">
        <v>0.2175</v>
      </c>
      <c r="K386">
        <v>0.22095799999999999</v>
      </c>
      <c r="L386">
        <v>0.45</v>
      </c>
      <c r="M386">
        <v>0.20275000000000001</v>
      </c>
      <c r="N386">
        <v>115</v>
      </c>
      <c r="O386">
        <v>3048</v>
      </c>
      <c r="P386">
        <v>3163</v>
      </c>
    </row>
    <row r="387" spans="1:16" x14ac:dyDescent="0.3">
      <c r="A387">
        <v>386</v>
      </c>
      <c r="B387" s="1">
        <v>40929</v>
      </c>
      <c r="C387">
        <v>1</v>
      </c>
      <c r="D387">
        <v>1</v>
      </c>
      <c r="E387">
        <v>1</v>
      </c>
      <c r="F387">
        <v>0</v>
      </c>
      <c r="G387">
        <v>6</v>
      </c>
      <c r="H387">
        <v>0</v>
      </c>
      <c r="I387">
        <v>2</v>
      </c>
      <c r="J387">
        <v>0.17333299999999999</v>
      </c>
      <c r="K387">
        <v>0.174875</v>
      </c>
      <c r="L387">
        <v>0.83125000000000004</v>
      </c>
      <c r="M387">
        <v>0.22264200000000001</v>
      </c>
      <c r="N387">
        <v>67</v>
      </c>
      <c r="O387">
        <v>1234</v>
      </c>
      <c r="P387">
        <v>1301</v>
      </c>
    </row>
    <row r="388" spans="1:16" x14ac:dyDescent="0.3">
      <c r="A388">
        <v>387</v>
      </c>
      <c r="B388" s="1">
        <v>40930</v>
      </c>
      <c r="C388">
        <v>1</v>
      </c>
      <c r="D388">
        <v>1</v>
      </c>
      <c r="E388">
        <v>1</v>
      </c>
      <c r="F388">
        <v>0</v>
      </c>
      <c r="G388">
        <v>0</v>
      </c>
      <c r="H388">
        <v>0</v>
      </c>
      <c r="I388">
        <v>2</v>
      </c>
      <c r="J388">
        <v>0.16250000000000001</v>
      </c>
      <c r="K388">
        <v>0.16225000000000001</v>
      </c>
      <c r="L388">
        <v>0.79625000000000001</v>
      </c>
      <c r="M388">
        <v>0.19963800000000001</v>
      </c>
      <c r="N388">
        <v>196</v>
      </c>
      <c r="O388">
        <v>1781</v>
      </c>
      <c r="P388">
        <v>1977</v>
      </c>
    </row>
    <row r="389" spans="1:16" x14ac:dyDescent="0.3">
      <c r="A389">
        <v>388</v>
      </c>
      <c r="B389" s="1">
        <v>40931</v>
      </c>
      <c r="C389">
        <v>1</v>
      </c>
      <c r="D389">
        <v>1</v>
      </c>
      <c r="E389">
        <v>1</v>
      </c>
      <c r="F389">
        <v>0</v>
      </c>
      <c r="G389">
        <v>1</v>
      </c>
      <c r="H389">
        <v>1</v>
      </c>
      <c r="I389">
        <v>2</v>
      </c>
      <c r="J389">
        <v>0.218333</v>
      </c>
      <c r="K389">
        <v>0.243058</v>
      </c>
      <c r="L389">
        <v>0.91125</v>
      </c>
      <c r="M389">
        <v>0.110708</v>
      </c>
      <c r="N389">
        <v>145</v>
      </c>
      <c r="O389">
        <v>2287</v>
      </c>
      <c r="P389">
        <v>2432</v>
      </c>
    </row>
    <row r="390" spans="1:16" x14ac:dyDescent="0.3">
      <c r="A390">
        <v>389</v>
      </c>
      <c r="B390" s="1">
        <v>40932</v>
      </c>
      <c r="C390">
        <v>1</v>
      </c>
      <c r="D390">
        <v>1</v>
      </c>
      <c r="E390">
        <v>1</v>
      </c>
      <c r="F390">
        <v>0</v>
      </c>
      <c r="G390">
        <v>2</v>
      </c>
      <c r="H390">
        <v>1</v>
      </c>
      <c r="I390">
        <v>1</v>
      </c>
      <c r="J390">
        <v>0.34250000000000003</v>
      </c>
      <c r="K390">
        <v>0.34910799999999997</v>
      </c>
      <c r="L390">
        <v>0.83583300000000005</v>
      </c>
      <c r="M390">
        <v>0.123767</v>
      </c>
      <c r="N390">
        <v>439</v>
      </c>
      <c r="O390">
        <v>3900</v>
      </c>
      <c r="P390">
        <v>4339</v>
      </c>
    </row>
    <row r="391" spans="1:16" x14ac:dyDescent="0.3">
      <c r="A391">
        <v>390</v>
      </c>
      <c r="B391" s="1">
        <v>40933</v>
      </c>
      <c r="C391">
        <v>1</v>
      </c>
      <c r="D391">
        <v>1</v>
      </c>
      <c r="E391">
        <v>1</v>
      </c>
      <c r="F391">
        <v>0</v>
      </c>
      <c r="G391">
        <v>3</v>
      </c>
      <c r="H391">
        <v>1</v>
      </c>
      <c r="I391">
        <v>1</v>
      </c>
      <c r="J391">
        <v>0.29416700000000001</v>
      </c>
      <c r="K391">
        <v>0.294821</v>
      </c>
      <c r="L391">
        <v>0.64375000000000004</v>
      </c>
      <c r="M391">
        <v>0.16107099999999999</v>
      </c>
      <c r="N391">
        <v>467</v>
      </c>
      <c r="O391">
        <v>3803</v>
      </c>
      <c r="P391">
        <v>4270</v>
      </c>
    </row>
    <row r="392" spans="1:16" x14ac:dyDescent="0.3">
      <c r="A392">
        <v>391</v>
      </c>
      <c r="B392" s="1">
        <v>40934</v>
      </c>
      <c r="C392">
        <v>1</v>
      </c>
      <c r="D392">
        <v>1</v>
      </c>
      <c r="E392">
        <v>1</v>
      </c>
      <c r="F392">
        <v>0</v>
      </c>
      <c r="G392">
        <v>4</v>
      </c>
      <c r="H392">
        <v>1</v>
      </c>
      <c r="I392">
        <v>2</v>
      </c>
      <c r="J392">
        <v>0.341667</v>
      </c>
      <c r="K392">
        <v>0.35604999999999998</v>
      </c>
      <c r="L392">
        <v>0.76958300000000002</v>
      </c>
      <c r="M392">
        <v>7.3395799999999997E-2</v>
      </c>
      <c r="N392">
        <v>244</v>
      </c>
      <c r="O392">
        <v>3831</v>
      </c>
      <c r="P392">
        <v>4075</v>
      </c>
    </row>
    <row r="393" spans="1:16" x14ac:dyDescent="0.3">
      <c r="A393">
        <v>392</v>
      </c>
      <c r="B393" s="1">
        <v>40935</v>
      </c>
      <c r="C393">
        <v>1</v>
      </c>
      <c r="D393">
        <v>1</v>
      </c>
      <c r="E393">
        <v>1</v>
      </c>
      <c r="F393">
        <v>0</v>
      </c>
      <c r="G393">
        <v>5</v>
      </c>
      <c r="H393">
        <v>1</v>
      </c>
      <c r="I393">
        <v>2</v>
      </c>
      <c r="J393">
        <v>0.42499999999999999</v>
      </c>
      <c r="K393">
        <v>0.415383</v>
      </c>
      <c r="L393">
        <v>0.74124999999999996</v>
      </c>
      <c r="M393">
        <v>0.342667</v>
      </c>
      <c r="N393">
        <v>269</v>
      </c>
      <c r="O393">
        <v>3187</v>
      </c>
      <c r="P393">
        <v>3456</v>
      </c>
    </row>
    <row r="394" spans="1:16" x14ac:dyDescent="0.3">
      <c r="A394">
        <v>393</v>
      </c>
      <c r="B394" s="1">
        <v>40936</v>
      </c>
      <c r="C394">
        <v>1</v>
      </c>
      <c r="D394">
        <v>1</v>
      </c>
      <c r="E394">
        <v>1</v>
      </c>
      <c r="F394">
        <v>0</v>
      </c>
      <c r="G394">
        <v>6</v>
      </c>
      <c r="H394">
        <v>0</v>
      </c>
      <c r="I394">
        <v>1</v>
      </c>
      <c r="J394">
        <v>0.31583299999999997</v>
      </c>
      <c r="K394">
        <v>0.32637899999999997</v>
      </c>
      <c r="L394">
        <v>0.54333299999999995</v>
      </c>
      <c r="M394">
        <v>0.21082899999999999</v>
      </c>
      <c r="N394">
        <v>775</v>
      </c>
      <c r="O394">
        <v>3248</v>
      </c>
      <c r="P394">
        <v>4023</v>
      </c>
    </row>
    <row r="395" spans="1:16" x14ac:dyDescent="0.3">
      <c r="A395">
        <v>394</v>
      </c>
      <c r="B395" s="1">
        <v>40937</v>
      </c>
      <c r="C395">
        <v>1</v>
      </c>
      <c r="D395">
        <v>1</v>
      </c>
      <c r="E395">
        <v>1</v>
      </c>
      <c r="F395">
        <v>0</v>
      </c>
      <c r="G395">
        <v>0</v>
      </c>
      <c r="H395">
        <v>0</v>
      </c>
      <c r="I395">
        <v>1</v>
      </c>
      <c r="J395">
        <v>0.28249999999999997</v>
      </c>
      <c r="K395">
        <v>0.27272099999999999</v>
      </c>
      <c r="L395">
        <v>0.31125000000000003</v>
      </c>
      <c r="M395">
        <v>0.24005000000000001</v>
      </c>
      <c r="N395">
        <v>558</v>
      </c>
      <c r="O395">
        <v>2685</v>
      </c>
      <c r="P395">
        <v>3243</v>
      </c>
    </row>
    <row r="396" spans="1:16" x14ac:dyDescent="0.3">
      <c r="A396">
        <v>395</v>
      </c>
      <c r="B396" s="1">
        <v>40938</v>
      </c>
      <c r="C396">
        <v>1</v>
      </c>
      <c r="D396">
        <v>1</v>
      </c>
      <c r="E396">
        <v>1</v>
      </c>
      <c r="F396">
        <v>0</v>
      </c>
      <c r="G396">
        <v>1</v>
      </c>
      <c r="H396">
        <v>1</v>
      </c>
      <c r="I396">
        <v>1</v>
      </c>
      <c r="J396">
        <v>0.26916699999999999</v>
      </c>
      <c r="K396">
        <v>0.262625</v>
      </c>
      <c r="L396">
        <v>0.40083299999999999</v>
      </c>
      <c r="M396">
        <v>0.21579200000000001</v>
      </c>
      <c r="N396">
        <v>126</v>
      </c>
      <c r="O396">
        <v>3498</v>
      </c>
      <c r="P396">
        <v>3624</v>
      </c>
    </row>
    <row r="397" spans="1:16" x14ac:dyDescent="0.3">
      <c r="A397">
        <v>396</v>
      </c>
      <c r="B397" s="1">
        <v>40939</v>
      </c>
      <c r="C397">
        <v>1</v>
      </c>
      <c r="D397">
        <v>1</v>
      </c>
      <c r="E397">
        <v>1</v>
      </c>
      <c r="F397">
        <v>0</v>
      </c>
      <c r="G397">
        <v>2</v>
      </c>
      <c r="H397">
        <v>1</v>
      </c>
      <c r="I397">
        <v>1</v>
      </c>
      <c r="J397">
        <v>0.39</v>
      </c>
      <c r="K397">
        <v>0.38131700000000002</v>
      </c>
      <c r="L397">
        <v>0.41666700000000001</v>
      </c>
      <c r="M397">
        <v>0.26181700000000002</v>
      </c>
      <c r="N397">
        <v>324</v>
      </c>
      <c r="O397">
        <v>4185</v>
      </c>
      <c r="P397">
        <v>4509</v>
      </c>
    </row>
    <row r="398" spans="1:16" x14ac:dyDescent="0.3">
      <c r="A398">
        <v>397</v>
      </c>
      <c r="B398" s="1">
        <v>40940</v>
      </c>
      <c r="C398">
        <v>1</v>
      </c>
      <c r="D398">
        <v>1</v>
      </c>
      <c r="E398">
        <v>2</v>
      </c>
      <c r="F398">
        <v>0</v>
      </c>
      <c r="G398">
        <v>3</v>
      </c>
      <c r="H398">
        <v>1</v>
      </c>
      <c r="I398">
        <v>1</v>
      </c>
      <c r="J398">
        <v>0.469167</v>
      </c>
      <c r="K398">
        <v>0.46653800000000001</v>
      </c>
      <c r="L398">
        <v>0.50791699999999995</v>
      </c>
      <c r="M398">
        <v>0.18906700000000001</v>
      </c>
      <c r="N398">
        <v>304</v>
      </c>
      <c r="O398">
        <v>4275</v>
      </c>
      <c r="P398">
        <v>4579</v>
      </c>
    </row>
    <row r="399" spans="1:16" x14ac:dyDescent="0.3">
      <c r="A399">
        <v>398</v>
      </c>
      <c r="B399" s="1">
        <v>40941</v>
      </c>
      <c r="C399">
        <v>1</v>
      </c>
      <c r="D399">
        <v>1</v>
      </c>
      <c r="E399">
        <v>2</v>
      </c>
      <c r="F399">
        <v>0</v>
      </c>
      <c r="G399">
        <v>4</v>
      </c>
      <c r="H399">
        <v>1</v>
      </c>
      <c r="I399">
        <v>2</v>
      </c>
      <c r="J399">
        <v>0.39916699999999999</v>
      </c>
      <c r="K399">
        <v>0.39897100000000002</v>
      </c>
      <c r="L399">
        <v>0.67291699999999999</v>
      </c>
      <c r="M399">
        <v>0.18718699999999999</v>
      </c>
      <c r="N399">
        <v>190</v>
      </c>
      <c r="O399">
        <v>3571</v>
      </c>
      <c r="P399">
        <v>3761</v>
      </c>
    </row>
    <row r="400" spans="1:16" x14ac:dyDescent="0.3">
      <c r="A400">
        <v>399</v>
      </c>
      <c r="B400" s="1">
        <v>40942</v>
      </c>
      <c r="C400">
        <v>1</v>
      </c>
      <c r="D400">
        <v>1</v>
      </c>
      <c r="E400">
        <v>2</v>
      </c>
      <c r="F400">
        <v>0</v>
      </c>
      <c r="G400">
        <v>5</v>
      </c>
      <c r="H400">
        <v>1</v>
      </c>
      <c r="I400">
        <v>1</v>
      </c>
      <c r="J400">
        <v>0.31333299999999997</v>
      </c>
      <c r="K400">
        <v>0.30934600000000001</v>
      </c>
      <c r="L400">
        <v>0.526667</v>
      </c>
      <c r="M400">
        <v>0.17849599999999999</v>
      </c>
      <c r="N400">
        <v>310</v>
      </c>
      <c r="O400">
        <v>3841</v>
      </c>
      <c r="P400">
        <v>4151</v>
      </c>
    </row>
    <row r="401" spans="1:16" x14ac:dyDescent="0.3">
      <c r="A401">
        <v>400</v>
      </c>
      <c r="B401" s="1">
        <v>40943</v>
      </c>
      <c r="C401">
        <v>1</v>
      </c>
      <c r="D401">
        <v>1</v>
      </c>
      <c r="E401">
        <v>2</v>
      </c>
      <c r="F401">
        <v>0</v>
      </c>
      <c r="G401">
        <v>6</v>
      </c>
      <c r="H401">
        <v>0</v>
      </c>
      <c r="I401">
        <v>2</v>
      </c>
      <c r="J401">
        <v>0.26416699999999999</v>
      </c>
      <c r="K401">
        <v>0.272725</v>
      </c>
      <c r="L401">
        <v>0.77958300000000003</v>
      </c>
      <c r="M401">
        <v>0.121896</v>
      </c>
      <c r="N401">
        <v>384</v>
      </c>
      <c r="O401">
        <v>2448</v>
      </c>
      <c r="P401">
        <v>2832</v>
      </c>
    </row>
    <row r="402" spans="1:16" x14ac:dyDescent="0.3">
      <c r="A402">
        <v>401</v>
      </c>
      <c r="B402" s="1">
        <v>40944</v>
      </c>
      <c r="C402">
        <v>1</v>
      </c>
      <c r="D402">
        <v>1</v>
      </c>
      <c r="E402">
        <v>2</v>
      </c>
      <c r="F402">
        <v>0</v>
      </c>
      <c r="G402">
        <v>0</v>
      </c>
      <c r="H402">
        <v>0</v>
      </c>
      <c r="I402">
        <v>2</v>
      </c>
      <c r="J402">
        <v>0.26583299999999999</v>
      </c>
      <c r="K402">
        <v>0.26452100000000001</v>
      </c>
      <c r="L402">
        <v>0.687917</v>
      </c>
      <c r="M402">
        <v>0.17599600000000001</v>
      </c>
      <c r="N402">
        <v>318</v>
      </c>
      <c r="O402">
        <v>2629</v>
      </c>
      <c r="P402">
        <v>2947</v>
      </c>
    </row>
    <row r="403" spans="1:16" x14ac:dyDescent="0.3">
      <c r="A403">
        <v>402</v>
      </c>
      <c r="B403" s="1">
        <v>40945</v>
      </c>
      <c r="C403">
        <v>1</v>
      </c>
      <c r="D403">
        <v>1</v>
      </c>
      <c r="E403">
        <v>2</v>
      </c>
      <c r="F403">
        <v>0</v>
      </c>
      <c r="G403">
        <v>1</v>
      </c>
      <c r="H403">
        <v>1</v>
      </c>
      <c r="I403">
        <v>1</v>
      </c>
      <c r="J403">
        <v>0.282609</v>
      </c>
      <c r="K403">
        <v>0.29642600000000002</v>
      </c>
      <c r="L403">
        <v>0.622174</v>
      </c>
      <c r="M403">
        <v>0.15379999999999999</v>
      </c>
      <c r="N403">
        <v>206</v>
      </c>
      <c r="O403">
        <v>3578</v>
      </c>
      <c r="P403">
        <v>3784</v>
      </c>
    </row>
    <row r="404" spans="1:16" x14ac:dyDescent="0.3">
      <c r="A404">
        <v>403</v>
      </c>
      <c r="B404" s="1">
        <v>40946</v>
      </c>
      <c r="C404">
        <v>1</v>
      </c>
      <c r="D404">
        <v>1</v>
      </c>
      <c r="E404">
        <v>2</v>
      </c>
      <c r="F404">
        <v>0</v>
      </c>
      <c r="G404">
        <v>2</v>
      </c>
      <c r="H404">
        <v>1</v>
      </c>
      <c r="I404">
        <v>1</v>
      </c>
      <c r="J404">
        <v>0.35416700000000001</v>
      </c>
      <c r="K404">
        <v>0.36110399999999998</v>
      </c>
      <c r="L404">
        <v>0.49625000000000002</v>
      </c>
      <c r="M404">
        <v>0.14737900000000001</v>
      </c>
      <c r="N404">
        <v>199</v>
      </c>
      <c r="O404">
        <v>4176</v>
      </c>
      <c r="P404">
        <v>4375</v>
      </c>
    </row>
    <row r="405" spans="1:16" x14ac:dyDescent="0.3">
      <c r="A405">
        <v>404</v>
      </c>
      <c r="B405" s="1">
        <v>40947</v>
      </c>
      <c r="C405">
        <v>1</v>
      </c>
      <c r="D405">
        <v>1</v>
      </c>
      <c r="E405">
        <v>2</v>
      </c>
      <c r="F405">
        <v>0</v>
      </c>
      <c r="G405">
        <v>3</v>
      </c>
      <c r="H405">
        <v>1</v>
      </c>
      <c r="I405">
        <v>2</v>
      </c>
      <c r="J405">
        <v>0.25666699999999998</v>
      </c>
      <c r="K405">
        <v>0.26642100000000002</v>
      </c>
      <c r="L405">
        <v>0.72291700000000003</v>
      </c>
      <c r="M405">
        <v>0.13372100000000001</v>
      </c>
      <c r="N405">
        <v>109</v>
      </c>
      <c r="O405">
        <v>2693</v>
      </c>
      <c r="P405">
        <v>2802</v>
      </c>
    </row>
    <row r="406" spans="1:16" x14ac:dyDescent="0.3">
      <c r="A406">
        <v>405</v>
      </c>
      <c r="B406" s="1">
        <v>40948</v>
      </c>
      <c r="C406">
        <v>1</v>
      </c>
      <c r="D406">
        <v>1</v>
      </c>
      <c r="E406">
        <v>2</v>
      </c>
      <c r="F406">
        <v>0</v>
      </c>
      <c r="G406">
        <v>4</v>
      </c>
      <c r="H406">
        <v>1</v>
      </c>
      <c r="I406">
        <v>1</v>
      </c>
      <c r="J406">
        <v>0.26500000000000001</v>
      </c>
      <c r="K406">
        <v>0.261988</v>
      </c>
      <c r="L406">
        <v>0.562083</v>
      </c>
      <c r="M406">
        <v>0.19403699999999999</v>
      </c>
      <c r="N406">
        <v>163</v>
      </c>
      <c r="O406">
        <v>3667</v>
      </c>
      <c r="P406">
        <v>3830</v>
      </c>
    </row>
    <row r="407" spans="1:16" x14ac:dyDescent="0.3">
      <c r="A407">
        <v>406</v>
      </c>
      <c r="B407" s="1">
        <v>40949</v>
      </c>
      <c r="C407">
        <v>1</v>
      </c>
      <c r="D407">
        <v>1</v>
      </c>
      <c r="E407">
        <v>2</v>
      </c>
      <c r="F407">
        <v>0</v>
      </c>
      <c r="G407">
        <v>5</v>
      </c>
      <c r="H407">
        <v>1</v>
      </c>
      <c r="I407">
        <v>2</v>
      </c>
      <c r="J407">
        <v>0.280833</v>
      </c>
      <c r="K407">
        <v>0.29355799999999999</v>
      </c>
      <c r="L407">
        <v>0.54</v>
      </c>
      <c r="M407">
        <v>0.11692900000000001</v>
      </c>
      <c r="N407">
        <v>227</v>
      </c>
      <c r="O407">
        <v>3604</v>
      </c>
      <c r="P407">
        <v>3831</v>
      </c>
    </row>
    <row r="408" spans="1:16" x14ac:dyDescent="0.3">
      <c r="A408">
        <v>407</v>
      </c>
      <c r="B408" s="1">
        <v>40950</v>
      </c>
      <c r="C408">
        <v>1</v>
      </c>
      <c r="D408">
        <v>1</v>
      </c>
      <c r="E408">
        <v>2</v>
      </c>
      <c r="F408">
        <v>0</v>
      </c>
      <c r="G408">
        <v>6</v>
      </c>
      <c r="H408">
        <v>0</v>
      </c>
      <c r="I408">
        <v>3</v>
      </c>
      <c r="J408">
        <v>0.22416700000000001</v>
      </c>
      <c r="K408">
        <v>0.210867</v>
      </c>
      <c r="L408">
        <v>0.73124999999999996</v>
      </c>
      <c r="M408">
        <v>0.289796</v>
      </c>
      <c r="N408">
        <v>192</v>
      </c>
      <c r="O408">
        <v>1977</v>
      </c>
      <c r="P408">
        <v>2169</v>
      </c>
    </row>
    <row r="409" spans="1:16" x14ac:dyDescent="0.3">
      <c r="A409">
        <v>408</v>
      </c>
      <c r="B409" s="1">
        <v>40951</v>
      </c>
      <c r="C409">
        <v>1</v>
      </c>
      <c r="D409">
        <v>1</v>
      </c>
      <c r="E409">
        <v>2</v>
      </c>
      <c r="F409">
        <v>0</v>
      </c>
      <c r="G409">
        <v>0</v>
      </c>
      <c r="H409">
        <v>0</v>
      </c>
      <c r="I409">
        <v>1</v>
      </c>
      <c r="J409">
        <v>0.1275</v>
      </c>
      <c r="K409">
        <v>0.101658</v>
      </c>
      <c r="L409">
        <v>0.46458300000000002</v>
      </c>
      <c r="M409">
        <v>0.40921200000000002</v>
      </c>
      <c r="N409">
        <v>73</v>
      </c>
      <c r="O409">
        <v>1456</v>
      </c>
      <c r="P409">
        <v>1529</v>
      </c>
    </row>
    <row r="410" spans="1:16" x14ac:dyDescent="0.3">
      <c r="A410">
        <v>409</v>
      </c>
      <c r="B410" s="1">
        <v>40952</v>
      </c>
      <c r="C410">
        <v>1</v>
      </c>
      <c r="D410">
        <v>1</v>
      </c>
      <c r="E410">
        <v>2</v>
      </c>
      <c r="F410">
        <v>0</v>
      </c>
      <c r="G410">
        <v>1</v>
      </c>
      <c r="H410">
        <v>1</v>
      </c>
      <c r="I410">
        <v>1</v>
      </c>
      <c r="J410">
        <v>0.2225</v>
      </c>
      <c r="K410">
        <v>0.227913</v>
      </c>
      <c r="L410">
        <v>0.41125</v>
      </c>
      <c r="M410">
        <v>0.16728299999999999</v>
      </c>
      <c r="N410">
        <v>94</v>
      </c>
      <c r="O410">
        <v>3328</v>
      </c>
      <c r="P410">
        <v>3422</v>
      </c>
    </row>
    <row r="411" spans="1:16" x14ac:dyDescent="0.3">
      <c r="A411">
        <v>410</v>
      </c>
      <c r="B411" s="1">
        <v>40953</v>
      </c>
      <c r="C411">
        <v>1</v>
      </c>
      <c r="D411">
        <v>1</v>
      </c>
      <c r="E411">
        <v>2</v>
      </c>
      <c r="F411">
        <v>0</v>
      </c>
      <c r="G411">
        <v>2</v>
      </c>
      <c r="H411">
        <v>1</v>
      </c>
      <c r="I411">
        <v>2</v>
      </c>
      <c r="J411">
        <v>0.31916699999999998</v>
      </c>
      <c r="K411">
        <v>0.33394600000000002</v>
      </c>
      <c r="L411">
        <v>0.50875000000000004</v>
      </c>
      <c r="M411">
        <v>0.141179</v>
      </c>
      <c r="N411">
        <v>135</v>
      </c>
      <c r="O411">
        <v>3787</v>
      </c>
      <c r="P411">
        <v>3922</v>
      </c>
    </row>
    <row r="412" spans="1:16" x14ac:dyDescent="0.3">
      <c r="A412">
        <v>411</v>
      </c>
      <c r="B412" s="1">
        <v>40954</v>
      </c>
      <c r="C412">
        <v>1</v>
      </c>
      <c r="D412">
        <v>1</v>
      </c>
      <c r="E412">
        <v>2</v>
      </c>
      <c r="F412">
        <v>0</v>
      </c>
      <c r="G412">
        <v>3</v>
      </c>
      <c r="H412">
        <v>1</v>
      </c>
      <c r="I412">
        <v>1</v>
      </c>
      <c r="J412">
        <v>0.348333</v>
      </c>
      <c r="K412">
        <v>0.35162900000000002</v>
      </c>
      <c r="L412">
        <v>0.53125</v>
      </c>
      <c r="M412">
        <v>0.18160000000000001</v>
      </c>
      <c r="N412">
        <v>141</v>
      </c>
      <c r="O412">
        <v>4028</v>
      </c>
      <c r="P412">
        <v>4169</v>
      </c>
    </row>
    <row r="413" spans="1:16" x14ac:dyDescent="0.3">
      <c r="A413">
        <v>412</v>
      </c>
      <c r="B413" s="1">
        <v>40955</v>
      </c>
      <c r="C413">
        <v>1</v>
      </c>
      <c r="D413">
        <v>1</v>
      </c>
      <c r="E413">
        <v>2</v>
      </c>
      <c r="F413">
        <v>0</v>
      </c>
      <c r="G413">
        <v>4</v>
      </c>
      <c r="H413">
        <v>1</v>
      </c>
      <c r="I413">
        <v>2</v>
      </c>
      <c r="J413">
        <v>0.31666699999999998</v>
      </c>
      <c r="K413">
        <v>0.33016200000000001</v>
      </c>
      <c r="L413">
        <v>0.75291699999999995</v>
      </c>
      <c r="M413">
        <v>9.1425000000000006E-2</v>
      </c>
      <c r="N413">
        <v>74</v>
      </c>
      <c r="O413">
        <v>2931</v>
      </c>
      <c r="P413">
        <v>3005</v>
      </c>
    </row>
    <row r="414" spans="1:16" x14ac:dyDescent="0.3">
      <c r="A414">
        <v>413</v>
      </c>
      <c r="B414" s="1">
        <v>40956</v>
      </c>
      <c r="C414">
        <v>1</v>
      </c>
      <c r="D414">
        <v>1</v>
      </c>
      <c r="E414">
        <v>2</v>
      </c>
      <c r="F414">
        <v>0</v>
      </c>
      <c r="G414">
        <v>5</v>
      </c>
      <c r="H414">
        <v>1</v>
      </c>
      <c r="I414">
        <v>1</v>
      </c>
      <c r="J414">
        <v>0.343333</v>
      </c>
      <c r="K414">
        <v>0.35162900000000002</v>
      </c>
      <c r="L414">
        <v>0.63458300000000001</v>
      </c>
      <c r="M414">
        <v>0.205846</v>
      </c>
      <c r="N414">
        <v>349</v>
      </c>
      <c r="O414">
        <v>3805</v>
      </c>
      <c r="P414">
        <v>4154</v>
      </c>
    </row>
    <row r="415" spans="1:16" x14ac:dyDescent="0.3">
      <c r="A415">
        <v>414</v>
      </c>
      <c r="B415" s="1">
        <v>40957</v>
      </c>
      <c r="C415">
        <v>1</v>
      </c>
      <c r="D415">
        <v>1</v>
      </c>
      <c r="E415">
        <v>2</v>
      </c>
      <c r="F415">
        <v>0</v>
      </c>
      <c r="G415">
        <v>6</v>
      </c>
      <c r="H415">
        <v>0</v>
      </c>
      <c r="I415">
        <v>1</v>
      </c>
      <c r="J415">
        <v>0.346667</v>
      </c>
      <c r="K415">
        <v>0.35542499999999999</v>
      </c>
      <c r="L415">
        <v>0.53458300000000003</v>
      </c>
      <c r="M415">
        <v>0.19092899999999999</v>
      </c>
      <c r="N415">
        <v>1435</v>
      </c>
      <c r="O415">
        <v>2883</v>
      </c>
      <c r="P415">
        <v>4318</v>
      </c>
    </row>
    <row r="416" spans="1:16" x14ac:dyDescent="0.3">
      <c r="A416">
        <v>415</v>
      </c>
      <c r="B416" s="1">
        <v>40958</v>
      </c>
      <c r="C416">
        <v>1</v>
      </c>
      <c r="D416">
        <v>1</v>
      </c>
      <c r="E416">
        <v>2</v>
      </c>
      <c r="F416">
        <v>0</v>
      </c>
      <c r="G416">
        <v>0</v>
      </c>
      <c r="H416">
        <v>0</v>
      </c>
      <c r="I416">
        <v>2</v>
      </c>
      <c r="J416">
        <v>0.28000000000000003</v>
      </c>
      <c r="K416">
        <v>0.26578800000000002</v>
      </c>
      <c r="L416">
        <v>0.51583299999999999</v>
      </c>
      <c r="M416">
        <v>0.253112</v>
      </c>
      <c r="N416">
        <v>618</v>
      </c>
      <c r="O416">
        <v>2071</v>
      </c>
      <c r="P416">
        <v>2689</v>
      </c>
    </row>
    <row r="417" spans="1:16" x14ac:dyDescent="0.3">
      <c r="A417">
        <v>416</v>
      </c>
      <c r="B417" s="1">
        <v>40959</v>
      </c>
      <c r="C417">
        <v>1</v>
      </c>
      <c r="D417">
        <v>1</v>
      </c>
      <c r="E417">
        <v>2</v>
      </c>
      <c r="F417">
        <v>1</v>
      </c>
      <c r="G417">
        <v>1</v>
      </c>
      <c r="H417">
        <v>0</v>
      </c>
      <c r="I417">
        <v>1</v>
      </c>
      <c r="J417">
        <v>0.28000000000000003</v>
      </c>
      <c r="K417">
        <v>0.273391</v>
      </c>
      <c r="L417">
        <v>0.507826</v>
      </c>
      <c r="M417">
        <v>0.22908300000000001</v>
      </c>
      <c r="N417">
        <v>502</v>
      </c>
      <c r="O417">
        <v>2627</v>
      </c>
      <c r="P417">
        <v>3129</v>
      </c>
    </row>
    <row r="418" spans="1:16" x14ac:dyDescent="0.3">
      <c r="A418">
        <v>417</v>
      </c>
      <c r="B418" s="1">
        <v>40960</v>
      </c>
      <c r="C418">
        <v>1</v>
      </c>
      <c r="D418">
        <v>1</v>
      </c>
      <c r="E418">
        <v>2</v>
      </c>
      <c r="F418">
        <v>0</v>
      </c>
      <c r="G418">
        <v>2</v>
      </c>
      <c r="H418">
        <v>1</v>
      </c>
      <c r="I418">
        <v>1</v>
      </c>
      <c r="J418">
        <v>0.28782600000000003</v>
      </c>
      <c r="K418">
        <v>0.29511300000000001</v>
      </c>
      <c r="L418">
        <v>0.59434799999999999</v>
      </c>
      <c r="M418">
        <v>0.20571700000000001</v>
      </c>
      <c r="N418">
        <v>163</v>
      </c>
      <c r="O418">
        <v>3614</v>
      </c>
      <c r="P418">
        <v>3777</v>
      </c>
    </row>
    <row r="419" spans="1:16" x14ac:dyDescent="0.3">
      <c r="A419">
        <v>418</v>
      </c>
      <c r="B419" s="1">
        <v>40961</v>
      </c>
      <c r="C419">
        <v>1</v>
      </c>
      <c r="D419">
        <v>1</v>
      </c>
      <c r="E419">
        <v>2</v>
      </c>
      <c r="F419">
        <v>0</v>
      </c>
      <c r="G419">
        <v>3</v>
      </c>
      <c r="H419">
        <v>1</v>
      </c>
      <c r="I419">
        <v>1</v>
      </c>
      <c r="J419">
        <v>0.39583299999999999</v>
      </c>
      <c r="K419">
        <v>0.39266699999999999</v>
      </c>
      <c r="L419">
        <v>0.56791700000000001</v>
      </c>
      <c r="M419">
        <v>0.23447100000000001</v>
      </c>
      <c r="N419">
        <v>394</v>
      </c>
      <c r="O419">
        <v>4379</v>
      </c>
      <c r="P419">
        <v>4773</v>
      </c>
    </row>
    <row r="420" spans="1:16" x14ac:dyDescent="0.3">
      <c r="A420">
        <v>419</v>
      </c>
      <c r="B420" s="1">
        <v>40962</v>
      </c>
      <c r="C420">
        <v>1</v>
      </c>
      <c r="D420">
        <v>1</v>
      </c>
      <c r="E420">
        <v>2</v>
      </c>
      <c r="F420">
        <v>0</v>
      </c>
      <c r="G420">
        <v>4</v>
      </c>
      <c r="H420">
        <v>1</v>
      </c>
      <c r="I420">
        <v>1</v>
      </c>
      <c r="J420">
        <v>0.45416699999999999</v>
      </c>
      <c r="K420">
        <v>0.44444600000000001</v>
      </c>
      <c r="L420">
        <v>0.55458300000000005</v>
      </c>
      <c r="M420">
        <v>0.190913</v>
      </c>
      <c r="N420">
        <v>516</v>
      </c>
      <c r="O420">
        <v>4546</v>
      </c>
      <c r="P420">
        <v>5062</v>
      </c>
    </row>
    <row r="421" spans="1:16" x14ac:dyDescent="0.3">
      <c r="A421">
        <v>420</v>
      </c>
      <c r="B421" s="1">
        <v>40963</v>
      </c>
      <c r="C421">
        <v>1</v>
      </c>
      <c r="D421">
        <v>1</v>
      </c>
      <c r="E421">
        <v>2</v>
      </c>
      <c r="F421">
        <v>0</v>
      </c>
      <c r="G421">
        <v>5</v>
      </c>
      <c r="H421">
        <v>1</v>
      </c>
      <c r="I421">
        <v>2</v>
      </c>
      <c r="J421">
        <v>0.40749999999999997</v>
      </c>
      <c r="K421">
        <v>0.41097099999999998</v>
      </c>
      <c r="L421">
        <v>0.73750000000000004</v>
      </c>
      <c r="M421">
        <v>0.237567</v>
      </c>
      <c r="N421">
        <v>246</v>
      </c>
      <c r="O421">
        <v>3241</v>
      </c>
      <c r="P421">
        <v>3487</v>
      </c>
    </row>
    <row r="422" spans="1:16" x14ac:dyDescent="0.3">
      <c r="A422">
        <v>421</v>
      </c>
      <c r="B422" s="1">
        <v>40964</v>
      </c>
      <c r="C422">
        <v>1</v>
      </c>
      <c r="D422">
        <v>1</v>
      </c>
      <c r="E422">
        <v>2</v>
      </c>
      <c r="F422">
        <v>0</v>
      </c>
      <c r="G422">
        <v>6</v>
      </c>
      <c r="H422">
        <v>0</v>
      </c>
      <c r="I422">
        <v>1</v>
      </c>
      <c r="J422">
        <v>0.29083300000000001</v>
      </c>
      <c r="K422">
        <v>0.25567499999999999</v>
      </c>
      <c r="L422">
        <v>0.39583299999999999</v>
      </c>
      <c r="M422">
        <v>0.42164200000000002</v>
      </c>
      <c r="N422">
        <v>317</v>
      </c>
      <c r="O422">
        <v>2415</v>
      </c>
      <c r="P422">
        <v>2732</v>
      </c>
    </row>
    <row r="423" spans="1:16" x14ac:dyDescent="0.3">
      <c r="A423">
        <v>422</v>
      </c>
      <c r="B423" s="1">
        <v>40965</v>
      </c>
      <c r="C423">
        <v>1</v>
      </c>
      <c r="D423">
        <v>1</v>
      </c>
      <c r="E423">
        <v>2</v>
      </c>
      <c r="F423">
        <v>0</v>
      </c>
      <c r="G423">
        <v>0</v>
      </c>
      <c r="H423">
        <v>0</v>
      </c>
      <c r="I423">
        <v>1</v>
      </c>
      <c r="J423">
        <v>0.279167</v>
      </c>
      <c r="K423">
        <v>0.26830799999999999</v>
      </c>
      <c r="L423">
        <v>0.41</v>
      </c>
      <c r="M423">
        <v>0.20522899999999999</v>
      </c>
      <c r="N423">
        <v>515</v>
      </c>
      <c r="O423">
        <v>2874</v>
      </c>
      <c r="P423">
        <v>3389</v>
      </c>
    </row>
    <row r="424" spans="1:16" x14ac:dyDescent="0.3">
      <c r="A424">
        <v>423</v>
      </c>
      <c r="B424" s="1">
        <v>40966</v>
      </c>
      <c r="C424">
        <v>1</v>
      </c>
      <c r="D424">
        <v>1</v>
      </c>
      <c r="E424">
        <v>2</v>
      </c>
      <c r="F424">
        <v>0</v>
      </c>
      <c r="G424">
        <v>1</v>
      </c>
      <c r="H424">
        <v>1</v>
      </c>
      <c r="I424">
        <v>1</v>
      </c>
      <c r="J424">
        <v>0.36666700000000002</v>
      </c>
      <c r="K424">
        <v>0.35795399999999999</v>
      </c>
      <c r="L424">
        <v>0.49083300000000002</v>
      </c>
      <c r="M424">
        <v>0.26803300000000002</v>
      </c>
      <c r="N424">
        <v>253</v>
      </c>
      <c r="O424">
        <v>4069</v>
      </c>
      <c r="P424">
        <v>4322</v>
      </c>
    </row>
    <row r="425" spans="1:16" x14ac:dyDescent="0.3">
      <c r="A425">
        <v>424</v>
      </c>
      <c r="B425" s="1">
        <v>40967</v>
      </c>
      <c r="C425">
        <v>1</v>
      </c>
      <c r="D425">
        <v>1</v>
      </c>
      <c r="E425">
        <v>2</v>
      </c>
      <c r="F425">
        <v>0</v>
      </c>
      <c r="G425">
        <v>2</v>
      </c>
      <c r="H425">
        <v>1</v>
      </c>
      <c r="I425">
        <v>1</v>
      </c>
      <c r="J425">
        <v>0.35916700000000001</v>
      </c>
      <c r="K425">
        <v>0.35352499999999998</v>
      </c>
      <c r="L425">
        <v>0.39583299999999999</v>
      </c>
      <c r="M425">
        <v>0.19341700000000001</v>
      </c>
      <c r="N425">
        <v>229</v>
      </c>
      <c r="O425">
        <v>4134</v>
      </c>
      <c r="P425">
        <v>4363</v>
      </c>
    </row>
    <row r="426" spans="1:16" x14ac:dyDescent="0.3">
      <c r="A426">
        <v>425</v>
      </c>
      <c r="B426" s="1">
        <v>40968</v>
      </c>
      <c r="C426">
        <v>1</v>
      </c>
      <c r="D426">
        <v>1</v>
      </c>
      <c r="E426">
        <v>2</v>
      </c>
      <c r="F426">
        <v>0</v>
      </c>
      <c r="G426">
        <v>3</v>
      </c>
      <c r="H426">
        <v>1</v>
      </c>
      <c r="I426">
        <v>2</v>
      </c>
      <c r="J426">
        <v>0.34434799999999999</v>
      </c>
      <c r="K426">
        <v>0.34847</v>
      </c>
      <c r="L426">
        <v>0.80478300000000003</v>
      </c>
      <c r="M426">
        <v>0.179117</v>
      </c>
      <c r="N426">
        <v>65</v>
      </c>
      <c r="O426">
        <v>1769</v>
      </c>
      <c r="P426">
        <v>1834</v>
      </c>
    </row>
    <row r="427" spans="1:16" x14ac:dyDescent="0.3">
      <c r="A427">
        <v>426</v>
      </c>
      <c r="B427" s="1">
        <v>40969</v>
      </c>
      <c r="C427">
        <v>1</v>
      </c>
      <c r="D427">
        <v>1</v>
      </c>
      <c r="E427">
        <v>3</v>
      </c>
      <c r="F427">
        <v>0</v>
      </c>
      <c r="G427">
        <v>4</v>
      </c>
      <c r="H427">
        <v>1</v>
      </c>
      <c r="I427">
        <v>1</v>
      </c>
      <c r="J427">
        <v>0.48583300000000001</v>
      </c>
      <c r="K427">
        <v>0.47537099999999999</v>
      </c>
      <c r="L427">
        <v>0.61541699999999999</v>
      </c>
      <c r="M427">
        <v>0.22698699999999999</v>
      </c>
      <c r="N427">
        <v>325</v>
      </c>
      <c r="O427">
        <v>4665</v>
      </c>
      <c r="P427">
        <v>4990</v>
      </c>
    </row>
    <row r="428" spans="1:16" x14ac:dyDescent="0.3">
      <c r="A428">
        <v>427</v>
      </c>
      <c r="B428" s="1">
        <v>40970</v>
      </c>
      <c r="C428">
        <v>1</v>
      </c>
      <c r="D428">
        <v>1</v>
      </c>
      <c r="E428">
        <v>3</v>
      </c>
      <c r="F428">
        <v>0</v>
      </c>
      <c r="G428">
        <v>5</v>
      </c>
      <c r="H428">
        <v>1</v>
      </c>
      <c r="I428">
        <v>2</v>
      </c>
      <c r="J428">
        <v>0.35333300000000001</v>
      </c>
      <c r="K428">
        <v>0.359842</v>
      </c>
      <c r="L428">
        <v>0.65708299999999997</v>
      </c>
      <c r="M428">
        <v>0.14490400000000001</v>
      </c>
      <c r="N428">
        <v>246</v>
      </c>
      <c r="O428">
        <v>2948</v>
      </c>
      <c r="P428">
        <v>3194</v>
      </c>
    </row>
    <row r="429" spans="1:16" x14ac:dyDescent="0.3">
      <c r="A429">
        <v>428</v>
      </c>
      <c r="B429" s="1">
        <v>40971</v>
      </c>
      <c r="C429">
        <v>1</v>
      </c>
      <c r="D429">
        <v>1</v>
      </c>
      <c r="E429">
        <v>3</v>
      </c>
      <c r="F429">
        <v>0</v>
      </c>
      <c r="G429">
        <v>6</v>
      </c>
      <c r="H429">
        <v>0</v>
      </c>
      <c r="I429">
        <v>2</v>
      </c>
      <c r="J429">
        <v>0.41416700000000001</v>
      </c>
      <c r="K429">
        <v>0.41349200000000003</v>
      </c>
      <c r="L429">
        <v>0.62124999999999997</v>
      </c>
      <c r="M429">
        <v>0.161079</v>
      </c>
      <c r="N429">
        <v>956</v>
      </c>
      <c r="O429">
        <v>3110</v>
      </c>
      <c r="P429">
        <v>4066</v>
      </c>
    </row>
    <row r="430" spans="1:16" x14ac:dyDescent="0.3">
      <c r="A430">
        <v>429</v>
      </c>
      <c r="B430" s="1">
        <v>40972</v>
      </c>
      <c r="C430">
        <v>1</v>
      </c>
      <c r="D430">
        <v>1</v>
      </c>
      <c r="E430">
        <v>3</v>
      </c>
      <c r="F430">
        <v>0</v>
      </c>
      <c r="G430">
        <v>0</v>
      </c>
      <c r="H430">
        <v>0</v>
      </c>
      <c r="I430">
        <v>1</v>
      </c>
      <c r="J430">
        <v>0.32583299999999998</v>
      </c>
      <c r="K430">
        <v>0.30302099999999998</v>
      </c>
      <c r="L430">
        <v>0.403333</v>
      </c>
      <c r="M430">
        <v>0.33457100000000001</v>
      </c>
      <c r="N430">
        <v>710</v>
      </c>
      <c r="O430">
        <v>2713</v>
      </c>
      <c r="P430">
        <v>3423</v>
      </c>
    </row>
    <row r="431" spans="1:16" x14ac:dyDescent="0.3">
      <c r="A431">
        <v>430</v>
      </c>
      <c r="B431" s="1">
        <v>40973</v>
      </c>
      <c r="C431">
        <v>1</v>
      </c>
      <c r="D431">
        <v>1</v>
      </c>
      <c r="E431">
        <v>3</v>
      </c>
      <c r="F431">
        <v>0</v>
      </c>
      <c r="G431">
        <v>1</v>
      </c>
      <c r="H431">
        <v>1</v>
      </c>
      <c r="I431">
        <v>1</v>
      </c>
      <c r="J431">
        <v>0.24333299999999999</v>
      </c>
      <c r="K431">
        <v>0.241171</v>
      </c>
      <c r="L431">
        <v>0.50624999999999998</v>
      </c>
      <c r="M431">
        <v>0.22885800000000001</v>
      </c>
      <c r="N431">
        <v>203</v>
      </c>
      <c r="O431">
        <v>3130</v>
      </c>
      <c r="P431">
        <v>3333</v>
      </c>
    </row>
    <row r="432" spans="1:16" x14ac:dyDescent="0.3">
      <c r="A432">
        <v>431</v>
      </c>
      <c r="B432" s="1">
        <v>40974</v>
      </c>
      <c r="C432">
        <v>1</v>
      </c>
      <c r="D432">
        <v>1</v>
      </c>
      <c r="E432">
        <v>3</v>
      </c>
      <c r="F432">
        <v>0</v>
      </c>
      <c r="G432">
        <v>2</v>
      </c>
      <c r="H432">
        <v>1</v>
      </c>
      <c r="I432">
        <v>1</v>
      </c>
      <c r="J432">
        <v>0.25833299999999998</v>
      </c>
      <c r="K432">
        <v>0.25504199999999999</v>
      </c>
      <c r="L432">
        <v>0.45666699999999999</v>
      </c>
      <c r="M432">
        <v>0.200875</v>
      </c>
      <c r="N432">
        <v>221</v>
      </c>
      <c r="O432">
        <v>3735</v>
      </c>
      <c r="P432">
        <v>3956</v>
      </c>
    </row>
    <row r="433" spans="1:16" x14ac:dyDescent="0.3">
      <c r="A433">
        <v>432</v>
      </c>
      <c r="B433" s="1">
        <v>40975</v>
      </c>
      <c r="C433">
        <v>1</v>
      </c>
      <c r="D433">
        <v>1</v>
      </c>
      <c r="E433">
        <v>3</v>
      </c>
      <c r="F433">
        <v>0</v>
      </c>
      <c r="G433">
        <v>3</v>
      </c>
      <c r="H433">
        <v>1</v>
      </c>
      <c r="I433">
        <v>1</v>
      </c>
      <c r="J433">
        <v>0.404167</v>
      </c>
      <c r="K433">
        <v>0.3851</v>
      </c>
      <c r="L433">
        <v>0.51333300000000004</v>
      </c>
      <c r="M433">
        <v>0.345779</v>
      </c>
      <c r="N433">
        <v>432</v>
      </c>
      <c r="O433">
        <v>4484</v>
      </c>
      <c r="P433">
        <v>4916</v>
      </c>
    </row>
    <row r="434" spans="1:16" x14ac:dyDescent="0.3">
      <c r="A434">
        <v>433</v>
      </c>
      <c r="B434" s="1">
        <v>40976</v>
      </c>
      <c r="C434">
        <v>1</v>
      </c>
      <c r="D434">
        <v>1</v>
      </c>
      <c r="E434">
        <v>3</v>
      </c>
      <c r="F434">
        <v>0</v>
      </c>
      <c r="G434">
        <v>4</v>
      </c>
      <c r="H434">
        <v>1</v>
      </c>
      <c r="I434">
        <v>1</v>
      </c>
      <c r="J434">
        <v>0.52749999999999997</v>
      </c>
      <c r="K434">
        <v>0.52460399999999996</v>
      </c>
      <c r="L434">
        <v>0.5675</v>
      </c>
      <c r="M434">
        <v>0.44156299999999998</v>
      </c>
      <c r="N434">
        <v>486</v>
      </c>
      <c r="O434">
        <v>4896</v>
      </c>
      <c r="P434">
        <v>5382</v>
      </c>
    </row>
    <row r="435" spans="1:16" x14ac:dyDescent="0.3">
      <c r="A435">
        <v>434</v>
      </c>
      <c r="B435" s="1">
        <v>40977</v>
      </c>
      <c r="C435">
        <v>1</v>
      </c>
      <c r="D435">
        <v>1</v>
      </c>
      <c r="E435">
        <v>3</v>
      </c>
      <c r="F435">
        <v>0</v>
      </c>
      <c r="G435">
        <v>5</v>
      </c>
      <c r="H435">
        <v>1</v>
      </c>
      <c r="I435">
        <v>2</v>
      </c>
      <c r="J435">
        <v>0.410833</v>
      </c>
      <c r="K435">
        <v>0.39708300000000002</v>
      </c>
      <c r="L435">
        <v>0.40708299999999997</v>
      </c>
      <c r="M435">
        <v>0.4148</v>
      </c>
      <c r="N435">
        <v>447</v>
      </c>
      <c r="O435">
        <v>4122</v>
      </c>
      <c r="P435">
        <v>4569</v>
      </c>
    </row>
    <row r="436" spans="1:16" x14ac:dyDescent="0.3">
      <c r="A436">
        <v>435</v>
      </c>
      <c r="B436" s="1">
        <v>40978</v>
      </c>
      <c r="C436">
        <v>1</v>
      </c>
      <c r="D436">
        <v>1</v>
      </c>
      <c r="E436">
        <v>3</v>
      </c>
      <c r="F436">
        <v>0</v>
      </c>
      <c r="G436">
        <v>6</v>
      </c>
      <c r="H436">
        <v>0</v>
      </c>
      <c r="I436">
        <v>1</v>
      </c>
      <c r="J436">
        <v>0.28749999999999998</v>
      </c>
      <c r="K436">
        <v>0.27776699999999999</v>
      </c>
      <c r="L436">
        <v>0.35041699999999998</v>
      </c>
      <c r="M436">
        <v>0.22575000000000001</v>
      </c>
      <c r="N436">
        <v>968</v>
      </c>
      <c r="O436">
        <v>3150</v>
      </c>
      <c r="P436">
        <v>4118</v>
      </c>
    </row>
    <row r="437" spans="1:16" x14ac:dyDescent="0.3">
      <c r="A437">
        <v>436</v>
      </c>
      <c r="B437" s="1">
        <v>40979</v>
      </c>
      <c r="C437">
        <v>1</v>
      </c>
      <c r="D437">
        <v>1</v>
      </c>
      <c r="E437">
        <v>3</v>
      </c>
      <c r="F437">
        <v>0</v>
      </c>
      <c r="G437">
        <v>0</v>
      </c>
      <c r="H437">
        <v>0</v>
      </c>
      <c r="I437">
        <v>1</v>
      </c>
      <c r="J437">
        <v>0.36173899999999998</v>
      </c>
      <c r="K437">
        <v>0.35966999999999999</v>
      </c>
      <c r="L437">
        <v>0.47695700000000002</v>
      </c>
      <c r="M437">
        <v>0.22258700000000001</v>
      </c>
      <c r="N437">
        <v>1658</v>
      </c>
      <c r="O437">
        <v>3253</v>
      </c>
      <c r="P437">
        <v>4911</v>
      </c>
    </row>
    <row r="438" spans="1:16" x14ac:dyDescent="0.3">
      <c r="A438">
        <v>437</v>
      </c>
      <c r="B438" s="1">
        <v>40980</v>
      </c>
      <c r="C438">
        <v>1</v>
      </c>
      <c r="D438">
        <v>1</v>
      </c>
      <c r="E438">
        <v>3</v>
      </c>
      <c r="F438">
        <v>0</v>
      </c>
      <c r="G438">
        <v>1</v>
      </c>
      <c r="H438">
        <v>1</v>
      </c>
      <c r="I438">
        <v>1</v>
      </c>
      <c r="J438">
        <v>0.466667</v>
      </c>
      <c r="K438">
        <v>0.459592</v>
      </c>
      <c r="L438">
        <v>0.48916700000000002</v>
      </c>
      <c r="M438">
        <v>0.20771300000000001</v>
      </c>
      <c r="N438">
        <v>838</v>
      </c>
      <c r="O438">
        <v>4460</v>
      </c>
      <c r="P438">
        <v>5298</v>
      </c>
    </row>
    <row r="439" spans="1:16" x14ac:dyDescent="0.3">
      <c r="A439">
        <v>438</v>
      </c>
      <c r="B439" s="1">
        <v>40981</v>
      </c>
      <c r="C439">
        <v>1</v>
      </c>
      <c r="D439">
        <v>1</v>
      </c>
      <c r="E439">
        <v>3</v>
      </c>
      <c r="F439">
        <v>0</v>
      </c>
      <c r="G439">
        <v>2</v>
      </c>
      <c r="H439">
        <v>1</v>
      </c>
      <c r="I439">
        <v>1</v>
      </c>
      <c r="J439">
        <v>0.56499999999999995</v>
      </c>
      <c r="K439">
        <v>0.54292899999999999</v>
      </c>
      <c r="L439">
        <v>0.61750000000000005</v>
      </c>
      <c r="M439">
        <v>0.23694999999999999</v>
      </c>
      <c r="N439">
        <v>762</v>
      </c>
      <c r="O439">
        <v>5085</v>
      </c>
      <c r="P439">
        <v>5847</v>
      </c>
    </row>
    <row r="440" spans="1:16" x14ac:dyDescent="0.3">
      <c r="A440">
        <v>439</v>
      </c>
      <c r="B440" s="1">
        <v>40982</v>
      </c>
      <c r="C440">
        <v>1</v>
      </c>
      <c r="D440">
        <v>1</v>
      </c>
      <c r="E440">
        <v>3</v>
      </c>
      <c r="F440">
        <v>0</v>
      </c>
      <c r="G440">
        <v>3</v>
      </c>
      <c r="H440">
        <v>1</v>
      </c>
      <c r="I440">
        <v>1</v>
      </c>
      <c r="J440">
        <v>0.57250000000000001</v>
      </c>
      <c r="K440">
        <v>0.54861700000000002</v>
      </c>
      <c r="L440">
        <v>0.50708299999999995</v>
      </c>
      <c r="M440">
        <v>0.115062</v>
      </c>
      <c r="N440">
        <v>997</v>
      </c>
      <c r="O440">
        <v>5315</v>
      </c>
      <c r="P440">
        <v>6312</v>
      </c>
    </row>
    <row r="441" spans="1:16" x14ac:dyDescent="0.3">
      <c r="A441">
        <v>440</v>
      </c>
      <c r="B441" s="1">
        <v>40983</v>
      </c>
      <c r="C441">
        <v>1</v>
      </c>
      <c r="D441">
        <v>1</v>
      </c>
      <c r="E441">
        <v>3</v>
      </c>
      <c r="F441">
        <v>0</v>
      </c>
      <c r="G441">
        <v>4</v>
      </c>
      <c r="H441">
        <v>1</v>
      </c>
      <c r="I441">
        <v>1</v>
      </c>
      <c r="J441">
        <v>0.5575</v>
      </c>
      <c r="K441">
        <v>0.53282499999999999</v>
      </c>
      <c r="L441">
        <v>0.57958299999999996</v>
      </c>
      <c r="M441">
        <v>0.14988299999999999</v>
      </c>
      <c r="N441">
        <v>1005</v>
      </c>
      <c r="O441">
        <v>5187</v>
      </c>
      <c r="P441">
        <v>6192</v>
      </c>
    </row>
    <row r="442" spans="1:16" x14ac:dyDescent="0.3">
      <c r="A442">
        <v>441</v>
      </c>
      <c r="B442" s="1">
        <v>40984</v>
      </c>
      <c r="C442">
        <v>1</v>
      </c>
      <c r="D442">
        <v>1</v>
      </c>
      <c r="E442">
        <v>3</v>
      </c>
      <c r="F442">
        <v>0</v>
      </c>
      <c r="G442">
        <v>5</v>
      </c>
      <c r="H442">
        <v>1</v>
      </c>
      <c r="I442">
        <v>2</v>
      </c>
      <c r="J442">
        <v>0.43583300000000003</v>
      </c>
      <c r="K442">
        <v>0.43622899999999998</v>
      </c>
      <c r="L442">
        <v>0.84208300000000003</v>
      </c>
      <c r="M442">
        <v>0.113192</v>
      </c>
      <c r="N442">
        <v>548</v>
      </c>
      <c r="O442">
        <v>3830</v>
      </c>
      <c r="P442">
        <v>4378</v>
      </c>
    </row>
    <row r="443" spans="1:16" x14ac:dyDescent="0.3">
      <c r="A443">
        <v>442</v>
      </c>
      <c r="B443" s="1">
        <v>40985</v>
      </c>
      <c r="C443">
        <v>1</v>
      </c>
      <c r="D443">
        <v>1</v>
      </c>
      <c r="E443">
        <v>3</v>
      </c>
      <c r="F443">
        <v>0</v>
      </c>
      <c r="G443">
        <v>6</v>
      </c>
      <c r="H443">
        <v>0</v>
      </c>
      <c r="I443">
        <v>2</v>
      </c>
      <c r="J443">
        <v>0.51416700000000004</v>
      </c>
      <c r="K443">
        <v>0.50504599999999999</v>
      </c>
      <c r="L443">
        <v>0.75583299999999998</v>
      </c>
      <c r="M443">
        <v>0.110704</v>
      </c>
      <c r="N443">
        <v>3155</v>
      </c>
      <c r="O443">
        <v>4681</v>
      </c>
      <c r="P443">
        <v>7836</v>
      </c>
    </row>
    <row r="444" spans="1:16" x14ac:dyDescent="0.3">
      <c r="A444">
        <v>443</v>
      </c>
      <c r="B444" s="1">
        <v>40986</v>
      </c>
      <c r="C444">
        <v>1</v>
      </c>
      <c r="D444">
        <v>1</v>
      </c>
      <c r="E444">
        <v>3</v>
      </c>
      <c r="F444">
        <v>0</v>
      </c>
      <c r="G444">
        <v>0</v>
      </c>
      <c r="H444">
        <v>0</v>
      </c>
      <c r="I444">
        <v>2</v>
      </c>
      <c r="J444">
        <v>0.47249999999999998</v>
      </c>
      <c r="K444">
        <v>0.46400000000000002</v>
      </c>
      <c r="L444">
        <v>0.81</v>
      </c>
      <c r="M444">
        <v>0.126883</v>
      </c>
      <c r="N444">
        <v>2207</v>
      </c>
      <c r="O444">
        <v>3685</v>
      </c>
      <c r="P444">
        <v>5892</v>
      </c>
    </row>
    <row r="445" spans="1:16" x14ac:dyDescent="0.3">
      <c r="A445">
        <v>444</v>
      </c>
      <c r="B445" s="1">
        <v>40987</v>
      </c>
      <c r="C445">
        <v>1</v>
      </c>
      <c r="D445">
        <v>1</v>
      </c>
      <c r="E445">
        <v>3</v>
      </c>
      <c r="F445">
        <v>0</v>
      </c>
      <c r="G445">
        <v>1</v>
      </c>
      <c r="H445">
        <v>1</v>
      </c>
      <c r="I445">
        <v>1</v>
      </c>
      <c r="J445">
        <v>0.54500000000000004</v>
      </c>
      <c r="K445">
        <v>0.53282099999999999</v>
      </c>
      <c r="L445">
        <v>0.72875000000000001</v>
      </c>
      <c r="M445">
        <v>0.16231699999999999</v>
      </c>
      <c r="N445">
        <v>982</v>
      </c>
      <c r="O445">
        <v>5171</v>
      </c>
      <c r="P445">
        <v>6153</v>
      </c>
    </row>
    <row r="446" spans="1:16" x14ac:dyDescent="0.3">
      <c r="A446">
        <v>445</v>
      </c>
      <c r="B446" s="1">
        <v>40988</v>
      </c>
      <c r="C446">
        <v>1</v>
      </c>
      <c r="D446">
        <v>1</v>
      </c>
      <c r="E446">
        <v>3</v>
      </c>
      <c r="F446">
        <v>0</v>
      </c>
      <c r="G446">
        <v>2</v>
      </c>
      <c r="H446">
        <v>1</v>
      </c>
      <c r="I446">
        <v>1</v>
      </c>
      <c r="J446">
        <v>0.56083300000000003</v>
      </c>
      <c r="K446">
        <v>0.53853300000000004</v>
      </c>
      <c r="L446">
        <v>0.807917</v>
      </c>
      <c r="M446">
        <v>0.121271</v>
      </c>
      <c r="N446">
        <v>1051</v>
      </c>
      <c r="O446">
        <v>5042</v>
      </c>
      <c r="P446">
        <v>6093</v>
      </c>
    </row>
    <row r="447" spans="1:16" x14ac:dyDescent="0.3">
      <c r="A447">
        <v>446</v>
      </c>
      <c r="B447" s="1">
        <v>40989</v>
      </c>
      <c r="C447">
        <v>2</v>
      </c>
      <c r="D447">
        <v>1</v>
      </c>
      <c r="E447">
        <v>3</v>
      </c>
      <c r="F447">
        <v>0</v>
      </c>
      <c r="G447">
        <v>3</v>
      </c>
      <c r="H447">
        <v>1</v>
      </c>
      <c r="I447">
        <v>2</v>
      </c>
      <c r="J447">
        <v>0.531667</v>
      </c>
      <c r="K447">
        <v>0.51325799999999999</v>
      </c>
      <c r="L447">
        <v>0.82125000000000004</v>
      </c>
      <c r="M447">
        <v>8.9558299999999993E-2</v>
      </c>
      <c r="N447">
        <v>1122</v>
      </c>
      <c r="O447">
        <v>5108</v>
      </c>
      <c r="P447">
        <v>6230</v>
      </c>
    </row>
    <row r="448" spans="1:16" x14ac:dyDescent="0.3">
      <c r="A448">
        <v>447</v>
      </c>
      <c r="B448" s="1">
        <v>40990</v>
      </c>
      <c r="C448">
        <v>2</v>
      </c>
      <c r="D448">
        <v>1</v>
      </c>
      <c r="E448">
        <v>3</v>
      </c>
      <c r="F448">
        <v>0</v>
      </c>
      <c r="G448">
        <v>4</v>
      </c>
      <c r="H448">
        <v>1</v>
      </c>
      <c r="I448">
        <v>1</v>
      </c>
      <c r="J448">
        <v>0.55416699999999997</v>
      </c>
      <c r="K448">
        <v>0.53156700000000001</v>
      </c>
      <c r="L448">
        <v>0.83125000000000004</v>
      </c>
      <c r="M448">
        <v>0.117562</v>
      </c>
      <c r="N448">
        <v>1334</v>
      </c>
      <c r="O448">
        <v>5537</v>
      </c>
      <c r="P448">
        <v>6871</v>
      </c>
    </row>
    <row r="449" spans="1:16" x14ac:dyDescent="0.3">
      <c r="A449">
        <v>448</v>
      </c>
      <c r="B449" s="1">
        <v>40991</v>
      </c>
      <c r="C449">
        <v>2</v>
      </c>
      <c r="D449">
        <v>1</v>
      </c>
      <c r="E449">
        <v>3</v>
      </c>
      <c r="F449">
        <v>0</v>
      </c>
      <c r="G449">
        <v>5</v>
      </c>
      <c r="H449">
        <v>1</v>
      </c>
      <c r="I449">
        <v>2</v>
      </c>
      <c r="J449">
        <v>0.60166699999999995</v>
      </c>
      <c r="K449">
        <v>0.57006699999999999</v>
      </c>
      <c r="L449">
        <v>0.69416699999999998</v>
      </c>
      <c r="M449">
        <v>0.1163</v>
      </c>
      <c r="N449">
        <v>2469</v>
      </c>
      <c r="O449">
        <v>5893</v>
      </c>
      <c r="P449">
        <v>8362</v>
      </c>
    </row>
    <row r="450" spans="1:16" x14ac:dyDescent="0.3">
      <c r="A450">
        <v>449</v>
      </c>
      <c r="B450" s="1">
        <v>40992</v>
      </c>
      <c r="C450">
        <v>2</v>
      </c>
      <c r="D450">
        <v>1</v>
      </c>
      <c r="E450">
        <v>3</v>
      </c>
      <c r="F450">
        <v>0</v>
      </c>
      <c r="G450">
        <v>6</v>
      </c>
      <c r="H450">
        <v>0</v>
      </c>
      <c r="I450">
        <v>2</v>
      </c>
      <c r="J450">
        <v>0.50249999999999995</v>
      </c>
      <c r="K450">
        <v>0.48673300000000003</v>
      </c>
      <c r="L450">
        <v>0.88541700000000001</v>
      </c>
      <c r="M450">
        <v>0.19278300000000001</v>
      </c>
      <c r="N450">
        <v>1033</v>
      </c>
      <c r="O450">
        <v>2339</v>
      </c>
      <c r="P450">
        <v>3372</v>
      </c>
    </row>
    <row r="451" spans="1:16" x14ac:dyDescent="0.3">
      <c r="A451">
        <v>450</v>
      </c>
      <c r="B451" s="1">
        <v>40993</v>
      </c>
      <c r="C451">
        <v>2</v>
      </c>
      <c r="D451">
        <v>1</v>
      </c>
      <c r="E451">
        <v>3</v>
      </c>
      <c r="F451">
        <v>0</v>
      </c>
      <c r="G451">
        <v>0</v>
      </c>
      <c r="H451">
        <v>0</v>
      </c>
      <c r="I451">
        <v>2</v>
      </c>
      <c r="J451">
        <v>0.4375</v>
      </c>
      <c r="K451">
        <v>0.43748799999999999</v>
      </c>
      <c r="L451">
        <v>0.88083299999999998</v>
      </c>
      <c r="M451">
        <v>0.220775</v>
      </c>
      <c r="N451">
        <v>1532</v>
      </c>
      <c r="O451">
        <v>3464</v>
      </c>
      <c r="P451">
        <v>4996</v>
      </c>
    </row>
    <row r="452" spans="1:16" x14ac:dyDescent="0.3">
      <c r="A452">
        <v>451</v>
      </c>
      <c r="B452" s="1">
        <v>40994</v>
      </c>
      <c r="C452">
        <v>2</v>
      </c>
      <c r="D452">
        <v>1</v>
      </c>
      <c r="E452">
        <v>3</v>
      </c>
      <c r="F452">
        <v>0</v>
      </c>
      <c r="G452">
        <v>1</v>
      </c>
      <c r="H452">
        <v>1</v>
      </c>
      <c r="I452">
        <v>1</v>
      </c>
      <c r="J452">
        <v>0.44583299999999998</v>
      </c>
      <c r="K452">
        <v>0.43874999999999997</v>
      </c>
      <c r="L452">
        <v>0.47791699999999998</v>
      </c>
      <c r="M452">
        <v>0.38682100000000003</v>
      </c>
      <c r="N452">
        <v>795</v>
      </c>
      <c r="O452">
        <v>4763</v>
      </c>
      <c r="P452">
        <v>5558</v>
      </c>
    </row>
    <row r="453" spans="1:16" x14ac:dyDescent="0.3">
      <c r="A453">
        <v>452</v>
      </c>
      <c r="B453" s="1">
        <v>40995</v>
      </c>
      <c r="C453">
        <v>2</v>
      </c>
      <c r="D453">
        <v>1</v>
      </c>
      <c r="E453">
        <v>3</v>
      </c>
      <c r="F453">
        <v>0</v>
      </c>
      <c r="G453">
        <v>2</v>
      </c>
      <c r="H453">
        <v>1</v>
      </c>
      <c r="I453">
        <v>1</v>
      </c>
      <c r="J453">
        <v>0.32333299999999998</v>
      </c>
      <c r="K453">
        <v>0.31565399999999999</v>
      </c>
      <c r="L453">
        <v>0.28999999999999998</v>
      </c>
      <c r="M453">
        <v>0.187192</v>
      </c>
      <c r="N453">
        <v>531</v>
      </c>
      <c r="O453">
        <v>4571</v>
      </c>
      <c r="P453">
        <v>5102</v>
      </c>
    </row>
    <row r="454" spans="1:16" x14ac:dyDescent="0.3">
      <c r="A454">
        <v>453</v>
      </c>
      <c r="B454" s="1">
        <v>40996</v>
      </c>
      <c r="C454">
        <v>2</v>
      </c>
      <c r="D454">
        <v>1</v>
      </c>
      <c r="E454">
        <v>3</v>
      </c>
      <c r="F454">
        <v>0</v>
      </c>
      <c r="G454">
        <v>3</v>
      </c>
      <c r="H454">
        <v>1</v>
      </c>
      <c r="I454">
        <v>1</v>
      </c>
      <c r="J454">
        <v>0.48416700000000001</v>
      </c>
      <c r="K454">
        <v>0.47094999999999998</v>
      </c>
      <c r="L454">
        <v>0.48125000000000001</v>
      </c>
      <c r="M454">
        <v>0.29167100000000001</v>
      </c>
      <c r="N454">
        <v>674</v>
      </c>
      <c r="O454">
        <v>5024</v>
      </c>
      <c r="P454">
        <v>5698</v>
      </c>
    </row>
    <row r="455" spans="1:16" x14ac:dyDescent="0.3">
      <c r="A455">
        <v>454</v>
      </c>
      <c r="B455" s="1">
        <v>40997</v>
      </c>
      <c r="C455">
        <v>2</v>
      </c>
      <c r="D455">
        <v>1</v>
      </c>
      <c r="E455">
        <v>3</v>
      </c>
      <c r="F455">
        <v>0</v>
      </c>
      <c r="G455">
        <v>4</v>
      </c>
      <c r="H455">
        <v>1</v>
      </c>
      <c r="I455">
        <v>1</v>
      </c>
      <c r="J455">
        <v>0.49416700000000002</v>
      </c>
      <c r="K455">
        <v>0.48230400000000001</v>
      </c>
      <c r="L455">
        <v>0.43916699999999997</v>
      </c>
      <c r="M455">
        <v>0.31964999999999999</v>
      </c>
      <c r="N455">
        <v>834</v>
      </c>
      <c r="O455">
        <v>5299</v>
      </c>
      <c r="P455">
        <v>6133</v>
      </c>
    </row>
    <row r="456" spans="1:16" x14ac:dyDescent="0.3">
      <c r="A456">
        <v>455</v>
      </c>
      <c r="B456" s="1">
        <v>40998</v>
      </c>
      <c r="C456">
        <v>2</v>
      </c>
      <c r="D456">
        <v>1</v>
      </c>
      <c r="E456">
        <v>3</v>
      </c>
      <c r="F456">
        <v>0</v>
      </c>
      <c r="G456">
        <v>5</v>
      </c>
      <c r="H456">
        <v>1</v>
      </c>
      <c r="I456">
        <v>2</v>
      </c>
      <c r="J456">
        <v>0.37</v>
      </c>
      <c r="K456">
        <v>0.37562099999999998</v>
      </c>
      <c r="L456">
        <v>0.58083300000000004</v>
      </c>
      <c r="M456">
        <v>0.138067</v>
      </c>
      <c r="N456">
        <v>796</v>
      </c>
      <c r="O456">
        <v>4663</v>
      </c>
      <c r="P456">
        <v>5459</v>
      </c>
    </row>
    <row r="457" spans="1:16" x14ac:dyDescent="0.3">
      <c r="A457">
        <v>456</v>
      </c>
      <c r="B457" s="1">
        <v>40999</v>
      </c>
      <c r="C457">
        <v>2</v>
      </c>
      <c r="D457">
        <v>1</v>
      </c>
      <c r="E457">
        <v>3</v>
      </c>
      <c r="F457">
        <v>0</v>
      </c>
      <c r="G457">
        <v>6</v>
      </c>
      <c r="H457">
        <v>0</v>
      </c>
      <c r="I457">
        <v>2</v>
      </c>
      <c r="J457">
        <v>0.42416700000000002</v>
      </c>
      <c r="K457">
        <v>0.42170800000000003</v>
      </c>
      <c r="L457">
        <v>0.73833300000000002</v>
      </c>
      <c r="M457">
        <v>0.25061699999999998</v>
      </c>
      <c r="N457">
        <v>2301</v>
      </c>
      <c r="O457">
        <v>3934</v>
      </c>
      <c r="P457">
        <v>6235</v>
      </c>
    </row>
    <row r="458" spans="1:16" x14ac:dyDescent="0.3">
      <c r="A458">
        <v>457</v>
      </c>
      <c r="B458" s="1">
        <v>41000</v>
      </c>
      <c r="C458">
        <v>2</v>
      </c>
      <c r="D458">
        <v>1</v>
      </c>
      <c r="E458">
        <v>4</v>
      </c>
      <c r="F458">
        <v>0</v>
      </c>
      <c r="G458">
        <v>0</v>
      </c>
      <c r="H458">
        <v>0</v>
      </c>
      <c r="I458">
        <v>2</v>
      </c>
      <c r="J458">
        <v>0.42583300000000002</v>
      </c>
      <c r="K458">
        <v>0.41728700000000002</v>
      </c>
      <c r="L458">
        <v>0.67625000000000002</v>
      </c>
      <c r="M458">
        <v>0.172267</v>
      </c>
      <c r="N458">
        <v>2347</v>
      </c>
      <c r="O458">
        <v>3694</v>
      </c>
      <c r="P458">
        <v>6041</v>
      </c>
    </row>
    <row r="459" spans="1:16" x14ac:dyDescent="0.3">
      <c r="A459">
        <v>458</v>
      </c>
      <c r="B459" s="1">
        <v>41001</v>
      </c>
      <c r="C459">
        <v>2</v>
      </c>
      <c r="D459">
        <v>1</v>
      </c>
      <c r="E459">
        <v>4</v>
      </c>
      <c r="F459">
        <v>0</v>
      </c>
      <c r="G459">
        <v>1</v>
      </c>
      <c r="H459">
        <v>1</v>
      </c>
      <c r="I459">
        <v>1</v>
      </c>
      <c r="J459">
        <v>0.43391299999999999</v>
      </c>
      <c r="K459">
        <v>0.42751299999999998</v>
      </c>
      <c r="L459">
        <v>0.50434800000000002</v>
      </c>
      <c r="M459">
        <v>0.312139</v>
      </c>
      <c r="N459">
        <v>1208</v>
      </c>
      <c r="O459">
        <v>4728</v>
      </c>
      <c r="P459">
        <v>5936</v>
      </c>
    </row>
    <row r="460" spans="1:16" x14ac:dyDescent="0.3">
      <c r="A460">
        <v>459</v>
      </c>
      <c r="B460" s="1">
        <v>41002</v>
      </c>
      <c r="C460">
        <v>2</v>
      </c>
      <c r="D460">
        <v>1</v>
      </c>
      <c r="E460">
        <v>4</v>
      </c>
      <c r="F460">
        <v>0</v>
      </c>
      <c r="G460">
        <v>2</v>
      </c>
      <c r="H460">
        <v>1</v>
      </c>
      <c r="I460">
        <v>1</v>
      </c>
      <c r="J460">
        <v>0.466667</v>
      </c>
      <c r="K460">
        <v>0.46148299999999998</v>
      </c>
      <c r="L460">
        <v>0.39666699999999999</v>
      </c>
      <c r="M460">
        <v>0.100133</v>
      </c>
      <c r="N460">
        <v>1348</v>
      </c>
      <c r="O460">
        <v>5424</v>
      </c>
      <c r="P460">
        <v>6772</v>
      </c>
    </row>
    <row r="461" spans="1:16" x14ac:dyDescent="0.3">
      <c r="A461">
        <v>460</v>
      </c>
      <c r="B461" s="1">
        <v>41003</v>
      </c>
      <c r="C461">
        <v>2</v>
      </c>
      <c r="D461">
        <v>1</v>
      </c>
      <c r="E461">
        <v>4</v>
      </c>
      <c r="F461">
        <v>0</v>
      </c>
      <c r="G461">
        <v>3</v>
      </c>
      <c r="H461">
        <v>1</v>
      </c>
      <c r="I461">
        <v>1</v>
      </c>
      <c r="J461">
        <v>0.54166700000000001</v>
      </c>
      <c r="K461">
        <v>0.53344999999999998</v>
      </c>
      <c r="L461">
        <v>0.46958299999999997</v>
      </c>
      <c r="M461">
        <v>0.180975</v>
      </c>
      <c r="N461">
        <v>1058</v>
      </c>
      <c r="O461">
        <v>5378</v>
      </c>
      <c r="P461">
        <v>6436</v>
      </c>
    </row>
    <row r="462" spans="1:16" x14ac:dyDescent="0.3">
      <c r="A462">
        <v>461</v>
      </c>
      <c r="B462" s="1">
        <v>41004</v>
      </c>
      <c r="C462">
        <v>2</v>
      </c>
      <c r="D462">
        <v>1</v>
      </c>
      <c r="E462">
        <v>4</v>
      </c>
      <c r="F462">
        <v>0</v>
      </c>
      <c r="G462">
        <v>4</v>
      </c>
      <c r="H462">
        <v>1</v>
      </c>
      <c r="I462">
        <v>1</v>
      </c>
      <c r="J462">
        <v>0.435</v>
      </c>
      <c r="K462">
        <v>0.43116300000000002</v>
      </c>
      <c r="L462">
        <v>0.37416700000000003</v>
      </c>
      <c r="M462">
        <v>0.219529</v>
      </c>
      <c r="N462">
        <v>1192</v>
      </c>
      <c r="O462">
        <v>5265</v>
      </c>
      <c r="P462">
        <v>6457</v>
      </c>
    </row>
    <row r="463" spans="1:16" x14ac:dyDescent="0.3">
      <c r="A463">
        <v>462</v>
      </c>
      <c r="B463" s="1">
        <v>41005</v>
      </c>
      <c r="C463">
        <v>2</v>
      </c>
      <c r="D463">
        <v>1</v>
      </c>
      <c r="E463">
        <v>4</v>
      </c>
      <c r="F463">
        <v>0</v>
      </c>
      <c r="G463">
        <v>5</v>
      </c>
      <c r="H463">
        <v>1</v>
      </c>
      <c r="I463">
        <v>1</v>
      </c>
      <c r="J463">
        <v>0.403333</v>
      </c>
      <c r="K463">
        <v>0.39076699999999998</v>
      </c>
      <c r="L463">
        <v>0.377083</v>
      </c>
      <c r="M463">
        <v>0.30038799999999999</v>
      </c>
      <c r="N463">
        <v>1807</v>
      </c>
      <c r="O463">
        <v>4653</v>
      </c>
      <c r="P463">
        <v>6460</v>
      </c>
    </row>
    <row r="464" spans="1:16" x14ac:dyDescent="0.3">
      <c r="A464">
        <v>463</v>
      </c>
      <c r="B464" s="1">
        <v>41006</v>
      </c>
      <c r="C464">
        <v>2</v>
      </c>
      <c r="D464">
        <v>1</v>
      </c>
      <c r="E464">
        <v>4</v>
      </c>
      <c r="F464">
        <v>0</v>
      </c>
      <c r="G464">
        <v>6</v>
      </c>
      <c r="H464">
        <v>0</v>
      </c>
      <c r="I464">
        <v>1</v>
      </c>
      <c r="J464">
        <v>0.4375</v>
      </c>
      <c r="K464">
        <v>0.42612899999999998</v>
      </c>
      <c r="L464">
        <v>0.25416699999999998</v>
      </c>
      <c r="M464">
        <v>0.27487099999999998</v>
      </c>
      <c r="N464">
        <v>3252</v>
      </c>
      <c r="O464">
        <v>3605</v>
      </c>
      <c r="P464">
        <v>6857</v>
      </c>
    </row>
    <row r="465" spans="1:16" x14ac:dyDescent="0.3">
      <c r="A465">
        <v>464</v>
      </c>
      <c r="B465" s="1">
        <v>41007</v>
      </c>
      <c r="C465">
        <v>2</v>
      </c>
      <c r="D465">
        <v>1</v>
      </c>
      <c r="E465">
        <v>4</v>
      </c>
      <c r="F465">
        <v>0</v>
      </c>
      <c r="G465">
        <v>0</v>
      </c>
      <c r="H465">
        <v>0</v>
      </c>
      <c r="I465">
        <v>1</v>
      </c>
      <c r="J465">
        <v>0.5</v>
      </c>
      <c r="K465">
        <v>0.492425</v>
      </c>
      <c r="L465">
        <v>0.27583299999999999</v>
      </c>
      <c r="M465">
        <v>0.232596</v>
      </c>
      <c r="N465">
        <v>2230</v>
      </c>
      <c r="O465">
        <v>2939</v>
      </c>
      <c r="P465">
        <v>5169</v>
      </c>
    </row>
    <row r="466" spans="1:16" x14ac:dyDescent="0.3">
      <c r="A466">
        <v>465</v>
      </c>
      <c r="B466" s="1">
        <v>41008</v>
      </c>
      <c r="C466">
        <v>2</v>
      </c>
      <c r="D466">
        <v>1</v>
      </c>
      <c r="E466">
        <v>4</v>
      </c>
      <c r="F466">
        <v>0</v>
      </c>
      <c r="G466">
        <v>1</v>
      </c>
      <c r="H466">
        <v>1</v>
      </c>
      <c r="I466">
        <v>1</v>
      </c>
      <c r="J466">
        <v>0.48916700000000002</v>
      </c>
      <c r="K466">
        <v>0.47663800000000001</v>
      </c>
      <c r="L466">
        <v>0.3175</v>
      </c>
      <c r="M466">
        <v>0.35819600000000001</v>
      </c>
      <c r="N466">
        <v>905</v>
      </c>
      <c r="O466">
        <v>4680</v>
      </c>
      <c r="P466">
        <v>5585</v>
      </c>
    </row>
    <row r="467" spans="1:16" x14ac:dyDescent="0.3">
      <c r="A467">
        <v>466</v>
      </c>
      <c r="B467" s="1">
        <v>41009</v>
      </c>
      <c r="C467">
        <v>2</v>
      </c>
      <c r="D467">
        <v>1</v>
      </c>
      <c r="E467">
        <v>4</v>
      </c>
      <c r="F467">
        <v>0</v>
      </c>
      <c r="G467">
        <v>2</v>
      </c>
      <c r="H467">
        <v>1</v>
      </c>
      <c r="I467">
        <v>1</v>
      </c>
      <c r="J467">
        <v>0.44666699999999998</v>
      </c>
      <c r="K467">
        <v>0.43623299999999998</v>
      </c>
      <c r="L467">
        <v>0.435</v>
      </c>
      <c r="M467">
        <v>0.24937500000000001</v>
      </c>
      <c r="N467">
        <v>819</v>
      </c>
      <c r="O467">
        <v>5099</v>
      </c>
      <c r="P467">
        <v>5918</v>
      </c>
    </row>
    <row r="468" spans="1:16" x14ac:dyDescent="0.3">
      <c r="A468">
        <v>467</v>
      </c>
      <c r="B468" s="1">
        <v>41010</v>
      </c>
      <c r="C468">
        <v>2</v>
      </c>
      <c r="D468">
        <v>1</v>
      </c>
      <c r="E468">
        <v>4</v>
      </c>
      <c r="F468">
        <v>0</v>
      </c>
      <c r="G468">
        <v>3</v>
      </c>
      <c r="H468">
        <v>1</v>
      </c>
      <c r="I468">
        <v>1</v>
      </c>
      <c r="J468">
        <v>0.34869600000000001</v>
      </c>
      <c r="K468">
        <v>0.33727400000000002</v>
      </c>
      <c r="L468">
        <v>0.46956500000000001</v>
      </c>
      <c r="M468">
        <v>0.29527399999999998</v>
      </c>
      <c r="N468">
        <v>482</v>
      </c>
      <c r="O468">
        <v>4380</v>
      </c>
      <c r="P468">
        <v>4862</v>
      </c>
    </row>
    <row r="469" spans="1:16" x14ac:dyDescent="0.3">
      <c r="A469">
        <v>468</v>
      </c>
      <c r="B469" s="1">
        <v>41011</v>
      </c>
      <c r="C469">
        <v>2</v>
      </c>
      <c r="D469">
        <v>1</v>
      </c>
      <c r="E469">
        <v>4</v>
      </c>
      <c r="F469">
        <v>0</v>
      </c>
      <c r="G469">
        <v>4</v>
      </c>
      <c r="H469">
        <v>1</v>
      </c>
      <c r="I469">
        <v>1</v>
      </c>
      <c r="J469">
        <v>0.39750000000000002</v>
      </c>
      <c r="K469">
        <v>0.387604</v>
      </c>
      <c r="L469">
        <v>0.46625</v>
      </c>
      <c r="M469">
        <v>0.29042899999999999</v>
      </c>
      <c r="N469">
        <v>663</v>
      </c>
      <c r="O469">
        <v>4746</v>
      </c>
      <c r="P469">
        <v>5409</v>
      </c>
    </row>
    <row r="470" spans="1:16" x14ac:dyDescent="0.3">
      <c r="A470">
        <v>469</v>
      </c>
      <c r="B470" s="1">
        <v>41012</v>
      </c>
      <c r="C470">
        <v>2</v>
      </c>
      <c r="D470">
        <v>1</v>
      </c>
      <c r="E470">
        <v>4</v>
      </c>
      <c r="F470">
        <v>0</v>
      </c>
      <c r="G470">
        <v>5</v>
      </c>
      <c r="H470">
        <v>1</v>
      </c>
      <c r="I470">
        <v>1</v>
      </c>
      <c r="J470">
        <v>0.4425</v>
      </c>
      <c r="K470">
        <v>0.43180800000000003</v>
      </c>
      <c r="L470">
        <v>0.408333</v>
      </c>
      <c r="M470">
        <v>0.155471</v>
      </c>
      <c r="N470">
        <v>1252</v>
      </c>
      <c r="O470">
        <v>5146</v>
      </c>
      <c r="P470">
        <v>6398</v>
      </c>
    </row>
    <row r="471" spans="1:16" x14ac:dyDescent="0.3">
      <c r="A471">
        <v>470</v>
      </c>
      <c r="B471" s="1">
        <v>41013</v>
      </c>
      <c r="C471">
        <v>2</v>
      </c>
      <c r="D471">
        <v>1</v>
      </c>
      <c r="E471">
        <v>4</v>
      </c>
      <c r="F471">
        <v>0</v>
      </c>
      <c r="G471">
        <v>6</v>
      </c>
      <c r="H471">
        <v>0</v>
      </c>
      <c r="I471">
        <v>1</v>
      </c>
      <c r="J471">
        <v>0.495</v>
      </c>
      <c r="K471">
        <v>0.48799599999999999</v>
      </c>
      <c r="L471">
        <v>0.50291699999999995</v>
      </c>
      <c r="M471">
        <v>0.190917</v>
      </c>
      <c r="N471">
        <v>2795</v>
      </c>
      <c r="O471">
        <v>4665</v>
      </c>
      <c r="P471">
        <v>7460</v>
      </c>
    </row>
    <row r="472" spans="1:16" x14ac:dyDescent="0.3">
      <c r="A472">
        <v>471</v>
      </c>
      <c r="B472" s="1">
        <v>41014</v>
      </c>
      <c r="C472">
        <v>2</v>
      </c>
      <c r="D472">
        <v>1</v>
      </c>
      <c r="E472">
        <v>4</v>
      </c>
      <c r="F472">
        <v>0</v>
      </c>
      <c r="G472">
        <v>0</v>
      </c>
      <c r="H472">
        <v>0</v>
      </c>
      <c r="I472">
        <v>1</v>
      </c>
      <c r="J472">
        <v>0.60666699999999996</v>
      </c>
      <c r="K472">
        <v>0.57387500000000002</v>
      </c>
      <c r="L472">
        <v>0.50791699999999995</v>
      </c>
      <c r="M472">
        <v>0.225129</v>
      </c>
      <c r="N472">
        <v>2846</v>
      </c>
      <c r="O472">
        <v>4286</v>
      </c>
      <c r="P472">
        <v>7132</v>
      </c>
    </row>
    <row r="473" spans="1:16" x14ac:dyDescent="0.3">
      <c r="A473">
        <v>472</v>
      </c>
      <c r="B473" s="1">
        <v>41015</v>
      </c>
      <c r="C473">
        <v>2</v>
      </c>
      <c r="D473">
        <v>1</v>
      </c>
      <c r="E473">
        <v>4</v>
      </c>
      <c r="F473">
        <v>1</v>
      </c>
      <c r="G473">
        <v>1</v>
      </c>
      <c r="H473">
        <v>0</v>
      </c>
      <c r="I473">
        <v>1</v>
      </c>
      <c r="J473">
        <v>0.66416699999999995</v>
      </c>
      <c r="K473">
        <v>0.61492500000000005</v>
      </c>
      <c r="L473">
        <v>0.56166700000000003</v>
      </c>
      <c r="M473">
        <v>0.284829</v>
      </c>
      <c r="N473">
        <v>1198</v>
      </c>
      <c r="O473">
        <v>5172</v>
      </c>
      <c r="P473">
        <v>6370</v>
      </c>
    </row>
    <row r="474" spans="1:16" x14ac:dyDescent="0.3">
      <c r="A474">
        <v>473</v>
      </c>
      <c r="B474" s="1">
        <v>41016</v>
      </c>
      <c r="C474">
        <v>2</v>
      </c>
      <c r="D474">
        <v>1</v>
      </c>
      <c r="E474">
        <v>4</v>
      </c>
      <c r="F474">
        <v>0</v>
      </c>
      <c r="G474">
        <v>2</v>
      </c>
      <c r="H474">
        <v>1</v>
      </c>
      <c r="I474">
        <v>1</v>
      </c>
      <c r="J474">
        <v>0.60833300000000001</v>
      </c>
      <c r="K474">
        <v>0.59848699999999999</v>
      </c>
      <c r="L474">
        <v>0.39041700000000001</v>
      </c>
      <c r="M474">
        <v>0.27362900000000001</v>
      </c>
      <c r="N474">
        <v>989</v>
      </c>
      <c r="O474">
        <v>5702</v>
      </c>
      <c r="P474">
        <v>6691</v>
      </c>
    </row>
    <row r="475" spans="1:16" x14ac:dyDescent="0.3">
      <c r="A475">
        <v>474</v>
      </c>
      <c r="B475" s="1">
        <v>41017</v>
      </c>
      <c r="C475">
        <v>2</v>
      </c>
      <c r="D475">
        <v>1</v>
      </c>
      <c r="E475">
        <v>4</v>
      </c>
      <c r="F475">
        <v>0</v>
      </c>
      <c r="G475">
        <v>3</v>
      </c>
      <c r="H475">
        <v>1</v>
      </c>
      <c r="I475">
        <v>2</v>
      </c>
      <c r="J475">
        <v>0.46333299999999999</v>
      </c>
      <c r="K475">
        <v>0.457038</v>
      </c>
      <c r="L475">
        <v>0.56916699999999998</v>
      </c>
      <c r="M475">
        <v>0.16791200000000001</v>
      </c>
      <c r="N475">
        <v>347</v>
      </c>
      <c r="O475">
        <v>4020</v>
      </c>
      <c r="P475">
        <v>4367</v>
      </c>
    </row>
    <row r="476" spans="1:16" x14ac:dyDescent="0.3">
      <c r="A476">
        <v>475</v>
      </c>
      <c r="B476" s="1">
        <v>41018</v>
      </c>
      <c r="C476">
        <v>2</v>
      </c>
      <c r="D476">
        <v>1</v>
      </c>
      <c r="E476">
        <v>4</v>
      </c>
      <c r="F476">
        <v>0</v>
      </c>
      <c r="G476">
        <v>4</v>
      </c>
      <c r="H476">
        <v>1</v>
      </c>
      <c r="I476">
        <v>1</v>
      </c>
      <c r="J476">
        <v>0.49833300000000003</v>
      </c>
      <c r="K476">
        <v>0.49304599999999998</v>
      </c>
      <c r="L476">
        <v>0.61250000000000004</v>
      </c>
      <c r="M476">
        <v>6.5929199999999993E-2</v>
      </c>
      <c r="N476">
        <v>846</v>
      </c>
      <c r="O476">
        <v>5719</v>
      </c>
      <c r="P476">
        <v>6565</v>
      </c>
    </row>
    <row r="477" spans="1:16" x14ac:dyDescent="0.3">
      <c r="A477">
        <v>476</v>
      </c>
      <c r="B477" s="1">
        <v>41019</v>
      </c>
      <c r="C477">
        <v>2</v>
      </c>
      <c r="D477">
        <v>1</v>
      </c>
      <c r="E477">
        <v>4</v>
      </c>
      <c r="F477">
        <v>0</v>
      </c>
      <c r="G477">
        <v>5</v>
      </c>
      <c r="H477">
        <v>1</v>
      </c>
      <c r="I477">
        <v>1</v>
      </c>
      <c r="J477">
        <v>0.526667</v>
      </c>
      <c r="K477">
        <v>0.51577499999999998</v>
      </c>
      <c r="L477">
        <v>0.69458299999999995</v>
      </c>
      <c r="M477">
        <v>0.149871</v>
      </c>
      <c r="N477">
        <v>1340</v>
      </c>
      <c r="O477">
        <v>5950</v>
      </c>
      <c r="P477">
        <v>7290</v>
      </c>
    </row>
    <row r="478" spans="1:16" x14ac:dyDescent="0.3">
      <c r="A478">
        <v>477</v>
      </c>
      <c r="B478" s="1">
        <v>41020</v>
      </c>
      <c r="C478">
        <v>2</v>
      </c>
      <c r="D478">
        <v>1</v>
      </c>
      <c r="E478">
        <v>4</v>
      </c>
      <c r="F478">
        <v>0</v>
      </c>
      <c r="G478">
        <v>6</v>
      </c>
      <c r="H478">
        <v>0</v>
      </c>
      <c r="I478">
        <v>1</v>
      </c>
      <c r="J478">
        <v>0.56999999999999995</v>
      </c>
      <c r="K478">
        <v>0.54292099999999999</v>
      </c>
      <c r="L478">
        <v>0.682917</v>
      </c>
      <c r="M478">
        <v>0.28358699999999998</v>
      </c>
      <c r="N478">
        <v>2541</v>
      </c>
      <c r="O478">
        <v>4083</v>
      </c>
      <c r="P478">
        <v>6624</v>
      </c>
    </row>
    <row r="479" spans="1:16" x14ac:dyDescent="0.3">
      <c r="A479">
        <v>478</v>
      </c>
      <c r="B479" s="1">
        <v>41021</v>
      </c>
      <c r="C479">
        <v>2</v>
      </c>
      <c r="D479">
        <v>1</v>
      </c>
      <c r="E479">
        <v>4</v>
      </c>
      <c r="F479">
        <v>0</v>
      </c>
      <c r="G479">
        <v>0</v>
      </c>
      <c r="H479">
        <v>0</v>
      </c>
      <c r="I479">
        <v>3</v>
      </c>
      <c r="J479">
        <v>0.39666699999999999</v>
      </c>
      <c r="K479">
        <v>0.38950400000000002</v>
      </c>
      <c r="L479">
        <v>0.83541699999999997</v>
      </c>
      <c r="M479">
        <v>0.34454600000000002</v>
      </c>
      <c r="N479">
        <v>120</v>
      </c>
      <c r="O479">
        <v>907</v>
      </c>
      <c r="P479">
        <v>1027</v>
      </c>
    </row>
    <row r="480" spans="1:16" x14ac:dyDescent="0.3">
      <c r="A480">
        <v>479</v>
      </c>
      <c r="B480" s="1">
        <v>41022</v>
      </c>
      <c r="C480">
        <v>2</v>
      </c>
      <c r="D480">
        <v>1</v>
      </c>
      <c r="E480">
        <v>4</v>
      </c>
      <c r="F480">
        <v>0</v>
      </c>
      <c r="G480">
        <v>1</v>
      </c>
      <c r="H480">
        <v>1</v>
      </c>
      <c r="I480">
        <v>2</v>
      </c>
      <c r="J480">
        <v>0.32166699999999998</v>
      </c>
      <c r="K480">
        <v>0.30112499999999998</v>
      </c>
      <c r="L480">
        <v>0.76666699999999999</v>
      </c>
      <c r="M480">
        <v>0.30349599999999999</v>
      </c>
      <c r="N480">
        <v>195</v>
      </c>
      <c r="O480">
        <v>3019</v>
      </c>
      <c r="P480">
        <v>3214</v>
      </c>
    </row>
    <row r="481" spans="1:16" x14ac:dyDescent="0.3">
      <c r="A481">
        <v>480</v>
      </c>
      <c r="B481" s="1">
        <v>41023</v>
      </c>
      <c r="C481">
        <v>2</v>
      </c>
      <c r="D481">
        <v>1</v>
      </c>
      <c r="E481">
        <v>4</v>
      </c>
      <c r="F481">
        <v>0</v>
      </c>
      <c r="G481">
        <v>2</v>
      </c>
      <c r="H481">
        <v>1</v>
      </c>
      <c r="I481">
        <v>1</v>
      </c>
      <c r="J481">
        <v>0.41333300000000001</v>
      </c>
      <c r="K481">
        <v>0.405283</v>
      </c>
      <c r="L481">
        <v>0.45416699999999999</v>
      </c>
      <c r="M481">
        <v>0.24938299999999999</v>
      </c>
      <c r="N481">
        <v>518</v>
      </c>
      <c r="O481">
        <v>5115</v>
      </c>
      <c r="P481">
        <v>5633</v>
      </c>
    </row>
    <row r="482" spans="1:16" x14ac:dyDescent="0.3">
      <c r="A482">
        <v>481</v>
      </c>
      <c r="B482" s="1">
        <v>41024</v>
      </c>
      <c r="C482">
        <v>2</v>
      </c>
      <c r="D482">
        <v>1</v>
      </c>
      <c r="E482">
        <v>4</v>
      </c>
      <c r="F482">
        <v>0</v>
      </c>
      <c r="G482">
        <v>3</v>
      </c>
      <c r="H482">
        <v>1</v>
      </c>
      <c r="I482">
        <v>1</v>
      </c>
      <c r="J482">
        <v>0.47666700000000001</v>
      </c>
      <c r="K482">
        <v>0.47031699999999999</v>
      </c>
      <c r="L482">
        <v>0.42791699999999999</v>
      </c>
      <c r="M482">
        <v>0.11879199999999999</v>
      </c>
      <c r="N482">
        <v>655</v>
      </c>
      <c r="O482">
        <v>5541</v>
      </c>
      <c r="P482">
        <v>6196</v>
      </c>
    </row>
    <row r="483" spans="1:16" x14ac:dyDescent="0.3">
      <c r="A483">
        <v>482</v>
      </c>
      <c r="B483" s="1">
        <v>41025</v>
      </c>
      <c r="C483">
        <v>2</v>
      </c>
      <c r="D483">
        <v>1</v>
      </c>
      <c r="E483">
        <v>4</v>
      </c>
      <c r="F483">
        <v>0</v>
      </c>
      <c r="G483">
        <v>4</v>
      </c>
      <c r="H483">
        <v>1</v>
      </c>
      <c r="I483">
        <v>2</v>
      </c>
      <c r="J483">
        <v>0.49833300000000003</v>
      </c>
      <c r="K483">
        <v>0.48358299999999999</v>
      </c>
      <c r="L483">
        <v>0.75666699999999998</v>
      </c>
      <c r="M483">
        <v>0.176625</v>
      </c>
      <c r="N483">
        <v>475</v>
      </c>
      <c r="O483">
        <v>4551</v>
      </c>
      <c r="P483">
        <v>5026</v>
      </c>
    </row>
    <row r="484" spans="1:16" x14ac:dyDescent="0.3">
      <c r="A484">
        <v>483</v>
      </c>
      <c r="B484" s="1">
        <v>41026</v>
      </c>
      <c r="C484">
        <v>2</v>
      </c>
      <c r="D484">
        <v>1</v>
      </c>
      <c r="E484">
        <v>4</v>
      </c>
      <c r="F484">
        <v>0</v>
      </c>
      <c r="G484">
        <v>5</v>
      </c>
      <c r="H484">
        <v>1</v>
      </c>
      <c r="I484">
        <v>1</v>
      </c>
      <c r="J484">
        <v>0.45750000000000002</v>
      </c>
      <c r="K484">
        <v>0.45263700000000001</v>
      </c>
      <c r="L484">
        <v>0.40083299999999999</v>
      </c>
      <c r="M484">
        <v>0.34763300000000003</v>
      </c>
      <c r="N484">
        <v>1014</v>
      </c>
      <c r="O484">
        <v>5219</v>
      </c>
      <c r="P484">
        <v>6233</v>
      </c>
    </row>
    <row r="485" spans="1:16" x14ac:dyDescent="0.3">
      <c r="A485">
        <v>484</v>
      </c>
      <c r="B485" s="1">
        <v>41027</v>
      </c>
      <c r="C485">
        <v>2</v>
      </c>
      <c r="D485">
        <v>1</v>
      </c>
      <c r="E485">
        <v>4</v>
      </c>
      <c r="F485">
        <v>0</v>
      </c>
      <c r="G485">
        <v>6</v>
      </c>
      <c r="H485">
        <v>0</v>
      </c>
      <c r="I485">
        <v>2</v>
      </c>
      <c r="J485">
        <v>0.37666699999999997</v>
      </c>
      <c r="K485">
        <v>0.37750400000000001</v>
      </c>
      <c r="L485">
        <v>0.48958299999999999</v>
      </c>
      <c r="M485">
        <v>0.12997500000000001</v>
      </c>
      <c r="N485">
        <v>1120</v>
      </c>
      <c r="O485">
        <v>3100</v>
      </c>
      <c r="P485">
        <v>4220</v>
      </c>
    </row>
    <row r="486" spans="1:16" x14ac:dyDescent="0.3">
      <c r="A486">
        <v>485</v>
      </c>
      <c r="B486" s="1">
        <v>41028</v>
      </c>
      <c r="C486">
        <v>2</v>
      </c>
      <c r="D486">
        <v>1</v>
      </c>
      <c r="E486">
        <v>4</v>
      </c>
      <c r="F486">
        <v>0</v>
      </c>
      <c r="G486">
        <v>0</v>
      </c>
      <c r="H486">
        <v>0</v>
      </c>
      <c r="I486">
        <v>1</v>
      </c>
      <c r="J486">
        <v>0.45833299999999999</v>
      </c>
      <c r="K486">
        <v>0.45012099999999999</v>
      </c>
      <c r="L486">
        <v>0.58708300000000002</v>
      </c>
      <c r="M486">
        <v>0.116908</v>
      </c>
      <c r="N486">
        <v>2229</v>
      </c>
      <c r="O486">
        <v>4075</v>
      </c>
      <c r="P486">
        <v>6304</v>
      </c>
    </row>
    <row r="487" spans="1:16" x14ac:dyDescent="0.3">
      <c r="A487">
        <v>486</v>
      </c>
      <c r="B487" s="1">
        <v>41029</v>
      </c>
      <c r="C487">
        <v>2</v>
      </c>
      <c r="D487">
        <v>1</v>
      </c>
      <c r="E487">
        <v>4</v>
      </c>
      <c r="F487">
        <v>0</v>
      </c>
      <c r="G487">
        <v>1</v>
      </c>
      <c r="H487">
        <v>1</v>
      </c>
      <c r="I487">
        <v>2</v>
      </c>
      <c r="J487">
        <v>0.464167</v>
      </c>
      <c r="K487">
        <v>0.45769599999999999</v>
      </c>
      <c r="L487">
        <v>0.56999999999999995</v>
      </c>
      <c r="M487">
        <v>0.17163800000000001</v>
      </c>
      <c r="N487">
        <v>665</v>
      </c>
      <c r="O487">
        <v>4907</v>
      </c>
      <c r="P487">
        <v>5572</v>
      </c>
    </row>
    <row r="488" spans="1:16" x14ac:dyDescent="0.3">
      <c r="A488">
        <v>487</v>
      </c>
      <c r="B488" s="1">
        <v>41030</v>
      </c>
      <c r="C488">
        <v>2</v>
      </c>
      <c r="D488">
        <v>1</v>
      </c>
      <c r="E488">
        <v>5</v>
      </c>
      <c r="F488">
        <v>0</v>
      </c>
      <c r="G488">
        <v>2</v>
      </c>
      <c r="H488">
        <v>1</v>
      </c>
      <c r="I488">
        <v>2</v>
      </c>
      <c r="J488">
        <v>0.61333300000000002</v>
      </c>
      <c r="K488">
        <v>0.57702100000000001</v>
      </c>
      <c r="L488">
        <v>0.65958300000000003</v>
      </c>
      <c r="M488">
        <v>0.15609600000000001</v>
      </c>
      <c r="N488">
        <v>653</v>
      </c>
      <c r="O488">
        <v>5087</v>
      </c>
      <c r="P488">
        <v>5740</v>
      </c>
    </row>
    <row r="489" spans="1:16" x14ac:dyDescent="0.3">
      <c r="A489">
        <v>488</v>
      </c>
      <c r="B489" s="1">
        <v>41031</v>
      </c>
      <c r="C489">
        <v>2</v>
      </c>
      <c r="D489">
        <v>1</v>
      </c>
      <c r="E489">
        <v>5</v>
      </c>
      <c r="F489">
        <v>0</v>
      </c>
      <c r="G489">
        <v>3</v>
      </c>
      <c r="H489">
        <v>1</v>
      </c>
      <c r="I489">
        <v>1</v>
      </c>
      <c r="J489">
        <v>0.56416699999999997</v>
      </c>
      <c r="K489">
        <v>0.53789600000000004</v>
      </c>
      <c r="L489">
        <v>0.79708299999999999</v>
      </c>
      <c r="M489">
        <v>0.13805799999999999</v>
      </c>
      <c r="N489">
        <v>667</v>
      </c>
      <c r="O489">
        <v>5502</v>
      </c>
      <c r="P489">
        <v>6169</v>
      </c>
    </row>
    <row r="490" spans="1:16" x14ac:dyDescent="0.3">
      <c r="A490">
        <v>489</v>
      </c>
      <c r="B490" s="1">
        <v>41032</v>
      </c>
      <c r="C490">
        <v>2</v>
      </c>
      <c r="D490">
        <v>1</v>
      </c>
      <c r="E490">
        <v>5</v>
      </c>
      <c r="F490">
        <v>0</v>
      </c>
      <c r="G490">
        <v>4</v>
      </c>
      <c r="H490">
        <v>1</v>
      </c>
      <c r="I490">
        <v>2</v>
      </c>
      <c r="J490">
        <v>0.56000000000000005</v>
      </c>
      <c r="K490">
        <v>0.537242</v>
      </c>
      <c r="L490">
        <v>0.76833300000000004</v>
      </c>
      <c r="M490">
        <v>0.13369600000000001</v>
      </c>
      <c r="N490">
        <v>764</v>
      </c>
      <c r="O490">
        <v>5657</v>
      </c>
      <c r="P490">
        <v>6421</v>
      </c>
    </row>
    <row r="491" spans="1:16" x14ac:dyDescent="0.3">
      <c r="A491">
        <v>490</v>
      </c>
      <c r="B491" s="1">
        <v>41033</v>
      </c>
      <c r="C491">
        <v>2</v>
      </c>
      <c r="D491">
        <v>1</v>
      </c>
      <c r="E491">
        <v>5</v>
      </c>
      <c r="F491">
        <v>0</v>
      </c>
      <c r="G491">
        <v>5</v>
      </c>
      <c r="H491">
        <v>1</v>
      </c>
      <c r="I491">
        <v>1</v>
      </c>
      <c r="J491">
        <v>0.62749999999999995</v>
      </c>
      <c r="K491">
        <v>0.59091700000000003</v>
      </c>
      <c r="L491">
        <v>0.73541699999999999</v>
      </c>
      <c r="M491">
        <v>0.162938</v>
      </c>
      <c r="N491">
        <v>1069</v>
      </c>
      <c r="O491">
        <v>5227</v>
      </c>
      <c r="P491">
        <v>6296</v>
      </c>
    </row>
    <row r="492" spans="1:16" x14ac:dyDescent="0.3">
      <c r="A492">
        <v>491</v>
      </c>
      <c r="B492" s="1">
        <v>41034</v>
      </c>
      <c r="C492">
        <v>2</v>
      </c>
      <c r="D492">
        <v>1</v>
      </c>
      <c r="E492">
        <v>5</v>
      </c>
      <c r="F492">
        <v>0</v>
      </c>
      <c r="G492">
        <v>6</v>
      </c>
      <c r="H492">
        <v>0</v>
      </c>
      <c r="I492">
        <v>2</v>
      </c>
      <c r="J492">
        <v>0.62166699999999997</v>
      </c>
      <c r="K492">
        <v>0.58460800000000002</v>
      </c>
      <c r="L492">
        <v>0.75666699999999998</v>
      </c>
      <c r="M492">
        <v>0.15299199999999999</v>
      </c>
      <c r="N492">
        <v>2496</v>
      </c>
      <c r="O492">
        <v>4387</v>
      </c>
      <c r="P492">
        <v>6883</v>
      </c>
    </row>
    <row r="493" spans="1:16" x14ac:dyDescent="0.3">
      <c r="A493">
        <v>492</v>
      </c>
      <c r="B493" s="1">
        <v>41035</v>
      </c>
      <c r="C493">
        <v>2</v>
      </c>
      <c r="D493">
        <v>1</v>
      </c>
      <c r="E493">
        <v>5</v>
      </c>
      <c r="F493">
        <v>0</v>
      </c>
      <c r="G493">
        <v>0</v>
      </c>
      <c r="H493">
        <v>0</v>
      </c>
      <c r="I493">
        <v>2</v>
      </c>
      <c r="J493">
        <v>0.5625</v>
      </c>
      <c r="K493">
        <v>0.54673700000000003</v>
      </c>
      <c r="L493">
        <v>0.74</v>
      </c>
      <c r="M493">
        <v>0.14987900000000001</v>
      </c>
      <c r="N493">
        <v>2135</v>
      </c>
      <c r="O493">
        <v>4224</v>
      </c>
      <c r="P493">
        <v>6359</v>
      </c>
    </row>
    <row r="494" spans="1:16" x14ac:dyDescent="0.3">
      <c r="A494">
        <v>493</v>
      </c>
      <c r="B494" s="1">
        <v>41036</v>
      </c>
      <c r="C494">
        <v>2</v>
      </c>
      <c r="D494">
        <v>1</v>
      </c>
      <c r="E494">
        <v>5</v>
      </c>
      <c r="F494">
        <v>0</v>
      </c>
      <c r="G494">
        <v>1</v>
      </c>
      <c r="H494">
        <v>1</v>
      </c>
      <c r="I494">
        <v>2</v>
      </c>
      <c r="J494">
        <v>0.53749999999999998</v>
      </c>
      <c r="K494">
        <v>0.527142</v>
      </c>
      <c r="L494">
        <v>0.66416699999999995</v>
      </c>
      <c r="M494">
        <v>0.23072100000000001</v>
      </c>
      <c r="N494">
        <v>1008</v>
      </c>
      <c r="O494">
        <v>5265</v>
      </c>
      <c r="P494">
        <v>6273</v>
      </c>
    </row>
    <row r="495" spans="1:16" x14ac:dyDescent="0.3">
      <c r="A495">
        <v>494</v>
      </c>
      <c r="B495" s="1">
        <v>41037</v>
      </c>
      <c r="C495">
        <v>2</v>
      </c>
      <c r="D495">
        <v>1</v>
      </c>
      <c r="E495">
        <v>5</v>
      </c>
      <c r="F495">
        <v>0</v>
      </c>
      <c r="G495">
        <v>2</v>
      </c>
      <c r="H495">
        <v>1</v>
      </c>
      <c r="I495">
        <v>2</v>
      </c>
      <c r="J495">
        <v>0.58166700000000005</v>
      </c>
      <c r="K495">
        <v>0.55747100000000005</v>
      </c>
      <c r="L495">
        <v>0.68583300000000003</v>
      </c>
      <c r="M495">
        <v>0.29602899999999999</v>
      </c>
      <c r="N495">
        <v>738</v>
      </c>
      <c r="O495">
        <v>4990</v>
      </c>
      <c r="P495">
        <v>5728</v>
      </c>
    </row>
    <row r="496" spans="1:16" x14ac:dyDescent="0.3">
      <c r="A496">
        <v>495</v>
      </c>
      <c r="B496" s="1">
        <v>41038</v>
      </c>
      <c r="C496">
        <v>2</v>
      </c>
      <c r="D496">
        <v>1</v>
      </c>
      <c r="E496">
        <v>5</v>
      </c>
      <c r="F496">
        <v>0</v>
      </c>
      <c r="G496">
        <v>3</v>
      </c>
      <c r="H496">
        <v>1</v>
      </c>
      <c r="I496">
        <v>2</v>
      </c>
      <c r="J496">
        <v>0.57499999999999996</v>
      </c>
      <c r="K496">
        <v>0.55302499999999999</v>
      </c>
      <c r="L496">
        <v>0.74416700000000002</v>
      </c>
      <c r="M496">
        <v>0.21641199999999999</v>
      </c>
      <c r="N496">
        <v>620</v>
      </c>
      <c r="O496">
        <v>4097</v>
      </c>
      <c r="P496">
        <v>4717</v>
      </c>
    </row>
    <row r="497" spans="1:16" x14ac:dyDescent="0.3">
      <c r="A497">
        <v>496</v>
      </c>
      <c r="B497" s="1">
        <v>41039</v>
      </c>
      <c r="C497">
        <v>2</v>
      </c>
      <c r="D497">
        <v>1</v>
      </c>
      <c r="E497">
        <v>5</v>
      </c>
      <c r="F497">
        <v>0</v>
      </c>
      <c r="G497">
        <v>4</v>
      </c>
      <c r="H497">
        <v>1</v>
      </c>
      <c r="I497">
        <v>1</v>
      </c>
      <c r="J497">
        <v>0.50583299999999998</v>
      </c>
      <c r="K497">
        <v>0.49178300000000003</v>
      </c>
      <c r="L497">
        <v>0.55208299999999999</v>
      </c>
      <c r="M497">
        <v>0.31406299999999998</v>
      </c>
      <c r="N497">
        <v>1026</v>
      </c>
      <c r="O497">
        <v>5546</v>
      </c>
      <c r="P497">
        <v>6572</v>
      </c>
    </row>
    <row r="498" spans="1:16" x14ac:dyDescent="0.3">
      <c r="A498">
        <v>497</v>
      </c>
      <c r="B498" s="1">
        <v>41040</v>
      </c>
      <c r="C498">
        <v>2</v>
      </c>
      <c r="D498">
        <v>1</v>
      </c>
      <c r="E498">
        <v>5</v>
      </c>
      <c r="F498">
        <v>0</v>
      </c>
      <c r="G498">
        <v>5</v>
      </c>
      <c r="H498">
        <v>1</v>
      </c>
      <c r="I498">
        <v>1</v>
      </c>
      <c r="J498">
        <v>0.53333299999999995</v>
      </c>
      <c r="K498">
        <v>0.52083299999999999</v>
      </c>
      <c r="L498">
        <v>0.36041699999999999</v>
      </c>
      <c r="M498">
        <v>0.23693700000000001</v>
      </c>
      <c r="N498">
        <v>1319</v>
      </c>
      <c r="O498">
        <v>5711</v>
      </c>
      <c r="P498">
        <v>7030</v>
      </c>
    </row>
    <row r="499" spans="1:16" x14ac:dyDescent="0.3">
      <c r="A499">
        <v>498</v>
      </c>
      <c r="B499" s="1">
        <v>41041</v>
      </c>
      <c r="C499">
        <v>2</v>
      </c>
      <c r="D499">
        <v>1</v>
      </c>
      <c r="E499">
        <v>5</v>
      </c>
      <c r="F499">
        <v>0</v>
      </c>
      <c r="G499">
        <v>6</v>
      </c>
      <c r="H499">
        <v>0</v>
      </c>
      <c r="I499">
        <v>1</v>
      </c>
      <c r="J499">
        <v>0.56416699999999997</v>
      </c>
      <c r="K499">
        <v>0.544817</v>
      </c>
      <c r="L499">
        <v>0.48041699999999998</v>
      </c>
      <c r="M499">
        <v>0.12313300000000001</v>
      </c>
      <c r="N499">
        <v>2622</v>
      </c>
      <c r="O499">
        <v>4807</v>
      </c>
      <c r="P499">
        <v>7429</v>
      </c>
    </row>
    <row r="500" spans="1:16" x14ac:dyDescent="0.3">
      <c r="A500">
        <v>499</v>
      </c>
      <c r="B500" s="1">
        <v>41042</v>
      </c>
      <c r="C500">
        <v>2</v>
      </c>
      <c r="D500">
        <v>1</v>
      </c>
      <c r="E500">
        <v>5</v>
      </c>
      <c r="F500">
        <v>0</v>
      </c>
      <c r="G500">
        <v>0</v>
      </c>
      <c r="H500">
        <v>0</v>
      </c>
      <c r="I500">
        <v>1</v>
      </c>
      <c r="J500">
        <v>0.61250000000000004</v>
      </c>
      <c r="K500">
        <v>0.58523800000000004</v>
      </c>
      <c r="L500">
        <v>0.57625000000000004</v>
      </c>
      <c r="M500">
        <v>0.22511700000000001</v>
      </c>
      <c r="N500">
        <v>2172</v>
      </c>
      <c r="O500">
        <v>3946</v>
      </c>
      <c r="P500">
        <v>6118</v>
      </c>
    </row>
    <row r="501" spans="1:16" x14ac:dyDescent="0.3">
      <c r="A501">
        <v>500</v>
      </c>
      <c r="B501" s="1">
        <v>41043</v>
      </c>
      <c r="C501">
        <v>2</v>
      </c>
      <c r="D501">
        <v>1</v>
      </c>
      <c r="E501">
        <v>5</v>
      </c>
      <c r="F501">
        <v>0</v>
      </c>
      <c r="G501">
        <v>1</v>
      </c>
      <c r="H501">
        <v>1</v>
      </c>
      <c r="I501">
        <v>2</v>
      </c>
      <c r="J501">
        <v>0.57333299999999998</v>
      </c>
      <c r="K501">
        <v>0.54990000000000006</v>
      </c>
      <c r="L501">
        <v>0.78958300000000003</v>
      </c>
      <c r="M501">
        <v>0.21269199999999999</v>
      </c>
      <c r="N501">
        <v>342</v>
      </c>
      <c r="O501">
        <v>2501</v>
      </c>
      <c r="P501">
        <v>2843</v>
      </c>
    </row>
    <row r="502" spans="1:16" x14ac:dyDescent="0.3">
      <c r="A502">
        <v>501</v>
      </c>
      <c r="B502" s="1">
        <v>41044</v>
      </c>
      <c r="C502">
        <v>2</v>
      </c>
      <c r="D502">
        <v>1</v>
      </c>
      <c r="E502">
        <v>5</v>
      </c>
      <c r="F502">
        <v>0</v>
      </c>
      <c r="G502">
        <v>2</v>
      </c>
      <c r="H502">
        <v>1</v>
      </c>
      <c r="I502">
        <v>2</v>
      </c>
      <c r="J502">
        <v>0.61166699999999996</v>
      </c>
      <c r="K502">
        <v>0.57640400000000003</v>
      </c>
      <c r="L502">
        <v>0.79458300000000004</v>
      </c>
      <c r="M502">
        <v>0.147392</v>
      </c>
      <c r="N502">
        <v>625</v>
      </c>
      <c r="O502">
        <v>4490</v>
      </c>
      <c r="P502">
        <v>5115</v>
      </c>
    </row>
    <row r="503" spans="1:16" x14ac:dyDescent="0.3">
      <c r="A503">
        <v>502</v>
      </c>
      <c r="B503" s="1">
        <v>41045</v>
      </c>
      <c r="C503">
        <v>2</v>
      </c>
      <c r="D503">
        <v>1</v>
      </c>
      <c r="E503">
        <v>5</v>
      </c>
      <c r="F503">
        <v>0</v>
      </c>
      <c r="G503">
        <v>3</v>
      </c>
      <c r="H503">
        <v>1</v>
      </c>
      <c r="I503">
        <v>1</v>
      </c>
      <c r="J503">
        <v>0.63666699999999998</v>
      </c>
      <c r="K503">
        <v>0.59597500000000003</v>
      </c>
      <c r="L503">
        <v>0.69791700000000001</v>
      </c>
      <c r="M503">
        <v>0.122512</v>
      </c>
      <c r="N503">
        <v>991</v>
      </c>
      <c r="O503">
        <v>6433</v>
      </c>
      <c r="P503">
        <v>7424</v>
      </c>
    </row>
    <row r="504" spans="1:16" x14ac:dyDescent="0.3">
      <c r="A504">
        <v>503</v>
      </c>
      <c r="B504" s="1">
        <v>41046</v>
      </c>
      <c r="C504">
        <v>2</v>
      </c>
      <c r="D504">
        <v>1</v>
      </c>
      <c r="E504">
        <v>5</v>
      </c>
      <c r="F504">
        <v>0</v>
      </c>
      <c r="G504">
        <v>4</v>
      </c>
      <c r="H504">
        <v>1</v>
      </c>
      <c r="I504">
        <v>1</v>
      </c>
      <c r="J504">
        <v>0.593333</v>
      </c>
      <c r="K504">
        <v>0.57261300000000004</v>
      </c>
      <c r="L504">
        <v>0.52</v>
      </c>
      <c r="M504">
        <v>0.22947500000000001</v>
      </c>
      <c r="N504">
        <v>1242</v>
      </c>
      <c r="O504">
        <v>6142</v>
      </c>
      <c r="P504">
        <v>7384</v>
      </c>
    </row>
    <row r="505" spans="1:16" x14ac:dyDescent="0.3">
      <c r="A505">
        <v>504</v>
      </c>
      <c r="B505" s="1">
        <v>41047</v>
      </c>
      <c r="C505">
        <v>2</v>
      </c>
      <c r="D505">
        <v>1</v>
      </c>
      <c r="E505">
        <v>5</v>
      </c>
      <c r="F505">
        <v>0</v>
      </c>
      <c r="G505">
        <v>5</v>
      </c>
      <c r="H505">
        <v>1</v>
      </c>
      <c r="I505">
        <v>1</v>
      </c>
      <c r="J505">
        <v>0.56416699999999997</v>
      </c>
      <c r="K505">
        <v>0.55112099999999997</v>
      </c>
      <c r="L505">
        <v>0.52333300000000005</v>
      </c>
      <c r="M505">
        <v>0.13681699999999999</v>
      </c>
      <c r="N505">
        <v>1521</v>
      </c>
      <c r="O505">
        <v>6118</v>
      </c>
      <c r="P505">
        <v>7639</v>
      </c>
    </row>
    <row r="506" spans="1:16" x14ac:dyDescent="0.3">
      <c r="A506">
        <v>505</v>
      </c>
      <c r="B506" s="1">
        <v>41048</v>
      </c>
      <c r="C506">
        <v>2</v>
      </c>
      <c r="D506">
        <v>1</v>
      </c>
      <c r="E506">
        <v>5</v>
      </c>
      <c r="F506">
        <v>0</v>
      </c>
      <c r="G506">
        <v>6</v>
      </c>
      <c r="H506">
        <v>0</v>
      </c>
      <c r="I506">
        <v>1</v>
      </c>
      <c r="J506">
        <v>0.6</v>
      </c>
      <c r="K506">
        <v>0.56690799999999997</v>
      </c>
      <c r="L506">
        <v>0.45624999999999999</v>
      </c>
      <c r="M506">
        <v>8.3974999999999994E-2</v>
      </c>
      <c r="N506">
        <v>3410</v>
      </c>
      <c r="O506">
        <v>4884</v>
      </c>
      <c r="P506">
        <v>8294</v>
      </c>
    </row>
    <row r="507" spans="1:16" x14ac:dyDescent="0.3">
      <c r="A507">
        <v>506</v>
      </c>
      <c r="B507" s="1">
        <v>41049</v>
      </c>
      <c r="C507">
        <v>2</v>
      </c>
      <c r="D507">
        <v>1</v>
      </c>
      <c r="E507">
        <v>5</v>
      </c>
      <c r="F507">
        <v>0</v>
      </c>
      <c r="G507">
        <v>0</v>
      </c>
      <c r="H507">
        <v>0</v>
      </c>
      <c r="I507">
        <v>1</v>
      </c>
      <c r="J507">
        <v>0.62083299999999997</v>
      </c>
      <c r="K507">
        <v>0.58396700000000001</v>
      </c>
      <c r="L507">
        <v>0.53041700000000003</v>
      </c>
      <c r="M507">
        <v>0.25436700000000001</v>
      </c>
      <c r="N507">
        <v>2704</v>
      </c>
      <c r="O507">
        <v>4425</v>
      </c>
      <c r="P507">
        <v>7129</v>
      </c>
    </row>
    <row r="508" spans="1:16" x14ac:dyDescent="0.3">
      <c r="A508">
        <v>507</v>
      </c>
      <c r="B508" s="1">
        <v>41050</v>
      </c>
      <c r="C508">
        <v>2</v>
      </c>
      <c r="D508">
        <v>1</v>
      </c>
      <c r="E508">
        <v>5</v>
      </c>
      <c r="F508">
        <v>0</v>
      </c>
      <c r="G508">
        <v>1</v>
      </c>
      <c r="H508">
        <v>1</v>
      </c>
      <c r="I508">
        <v>2</v>
      </c>
      <c r="J508">
        <v>0.598333</v>
      </c>
      <c r="K508">
        <v>0.56566700000000003</v>
      </c>
      <c r="L508">
        <v>0.81125000000000003</v>
      </c>
      <c r="M508">
        <v>0.23320399999999999</v>
      </c>
      <c r="N508">
        <v>630</v>
      </c>
      <c r="O508">
        <v>3729</v>
      </c>
      <c r="P508">
        <v>4359</v>
      </c>
    </row>
    <row r="509" spans="1:16" x14ac:dyDescent="0.3">
      <c r="A509">
        <v>508</v>
      </c>
      <c r="B509" s="1">
        <v>41051</v>
      </c>
      <c r="C509">
        <v>2</v>
      </c>
      <c r="D509">
        <v>1</v>
      </c>
      <c r="E509">
        <v>5</v>
      </c>
      <c r="F509">
        <v>0</v>
      </c>
      <c r="G509">
        <v>2</v>
      </c>
      <c r="H509">
        <v>1</v>
      </c>
      <c r="I509">
        <v>2</v>
      </c>
      <c r="J509">
        <v>0.61499999999999999</v>
      </c>
      <c r="K509">
        <v>0.58082500000000004</v>
      </c>
      <c r="L509">
        <v>0.76583299999999999</v>
      </c>
      <c r="M509">
        <v>0.11816699999999999</v>
      </c>
      <c r="N509">
        <v>819</v>
      </c>
      <c r="O509">
        <v>5254</v>
      </c>
      <c r="P509">
        <v>6073</v>
      </c>
    </row>
    <row r="510" spans="1:16" x14ac:dyDescent="0.3">
      <c r="A510">
        <v>509</v>
      </c>
      <c r="B510" s="1">
        <v>41052</v>
      </c>
      <c r="C510">
        <v>2</v>
      </c>
      <c r="D510">
        <v>1</v>
      </c>
      <c r="E510">
        <v>5</v>
      </c>
      <c r="F510">
        <v>0</v>
      </c>
      <c r="G510">
        <v>3</v>
      </c>
      <c r="H510">
        <v>1</v>
      </c>
      <c r="I510">
        <v>2</v>
      </c>
      <c r="J510">
        <v>0.62166699999999997</v>
      </c>
      <c r="K510">
        <v>0.58461200000000002</v>
      </c>
      <c r="L510">
        <v>0.77458300000000002</v>
      </c>
      <c r="M510">
        <v>0.10199999999999999</v>
      </c>
      <c r="N510">
        <v>766</v>
      </c>
      <c r="O510">
        <v>4494</v>
      </c>
      <c r="P510">
        <v>5260</v>
      </c>
    </row>
    <row r="511" spans="1:16" x14ac:dyDescent="0.3">
      <c r="A511">
        <v>510</v>
      </c>
      <c r="B511" s="1">
        <v>41053</v>
      </c>
      <c r="C511">
        <v>2</v>
      </c>
      <c r="D511">
        <v>1</v>
      </c>
      <c r="E511">
        <v>5</v>
      </c>
      <c r="F511">
        <v>0</v>
      </c>
      <c r="G511">
        <v>4</v>
      </c>
      <c r="H511">
        <v>1</v>
      </c>
      <c r="I511">
        <v>1</v>
      </c>
      <c r="J511">
        <v>0.65500000000000003</v>
      </c>
      <c r="K511">
        <v>0.60670000000000002</v>
      </c>
      <c r="L511">
        <v>0.71666700000000005</v>
      </c>
      <c r="M511">
        <v>0.17289599999999999</v>
      </c>
      <c r="N511">
        <v>1059</v>
      </c>
      <c r="O511">
        <v>5711</v>
      </c>
      <c r="P511">
        <v>6770</v>
      </c>
    </row>
    <row r="512" spans="1:16" x14ac:dyDescent="0.3">
      <c r="A512">
        <v>511</v>
      </c>
      <c r="B512" s="1">
        <v>41054</v>
      </c>
      <c r="C512">
        <v>2</v>
      </c>
      <c r="D512">
        <v>1</v>
      </c>
      <c r="E512">
        <v>5</v>
      </c>
      <c r="F512">
        <v>0</v>
      </c>
      <c r="G512">
        <v>5</v>
      </c>
      <c r="H512">
        <v>1</v>
      </c>
      <c r="I512">
        <v>1</v>
      </c>
      <c r="J512">
        <v>0.68</v>
      </c>
      <c r="K512">
        <v>0.627529</v>
      </c>
      <c r="L512">
        <v>0.74708300000000005</v>
      </c>
      <c r="M512">
        <v>0.14055000000000001</v>
      </c>
      <c r="N512">
        <v>1417</v>
      </c>
      <c r="O512">
        <v>5317</v>
      </c>
      <c r="P512">
        <v>6734</v>
      </c>
    </row>
    <row r="513" spans="1:16" x14ac:dyDescent="0.3">
      <c r="A513">
        <v>512</v>
      </c>
      <c r="B513" s="1">
        <v>41055</v>
      </c>
      <c r="C513">
        <v>2</v>
      </c>
      <c r="D513">
        <v>1</v>
      </c>
      <c r="E513">
        <v>5</v>
      </c>
      <c r="F513">
        <v>0</v>
      </c>
      <c r="G513">
        <v>6</v>
      </c>
      <c r="H513">
        <v>0</v>
      </c>
      <c r="I513">
        <v>1</v>
      </c>
      <c r="J513">
        <v>0.6925</v>
      </c>
      <c r="K513">
        <v>0.64269600000000005</v>
      </c>
      <c r="L513">
        <v>0.73250000000000004</v>
      </c>
      <c r="M513">
        <v>0.198992</v>
      </c>
      <c r="N513">
        <v>2855</v>
      </c>
      <c r="O513">
        <v>3681</v>
      </c>
      <c r="P513">
        <v>6536</v>
      </c>
    </row>
    <row r="514" spans="1:16" x14ac:dyDescent="0.3">
      <c r="A514">
        <v>513</v>
      </c>
      <c r="B514" s="1">
        <v>41056</v>
      </c>
      <c r="C514">
        <v>2</v>
      </c>
      <c r="D514">
        <v>1</v>
      </c>
      <c r="E514">
        <v>5</v>
      </c>
      <c r="F514">
        <v>0</v>
      </c>
      <c r="G514">
        <v>0</v>
      </c>
      <c r="H514">
        <v>0</v>
      </c>
      <c r="I514">
        <v>1</v>
      </c>
      <c r="J514">
        <v>0.69</v>
      </c>
      <c r="K514">
        <v>0.64142500000000002</v>
      </c>
      <c r="L514">
        <v>0.69708300000000001</v>
      </c>
      <c r="M514">
        <v>0.215171</v>
      </c>
      <c r="N514">
        <v>3283</v>
      </c>
      <c r="O514">
        <v>3308</v>
      </c>
      <c r="P514">
        <v>6591</v>
      </c>
    </row>
    <row r="515" spans="1:16" x14ac:dyDescent="0.3">
      <c r="A515">
        <v>514</v>
      </c>
      <c r="B515" s="1">
        <v>41057</v>
      </c>
      <c r="C515">
        <v>2</v>
      </c>
      <c r="D515">
        <v>1</v>
      </c>
      <c r="E515">
        <v>5</v>
      </c>
      <c r="F515">
        <v>1</v>
      </c>
      <c r="G515">
        <v>1</v>
      </c>
      <c r="H515">
        <v>0</v>
      </c>
      <c r="I515">
        <v>1</v>
      </c>
      <c r="J515">
        <v>0.71250000000000002</v>
      </c>
      <c r="K515">
        <v>0.67930000000000001</v>
      </c>
      <c r="L515">
        <v>0.67625000000000002</v>
      </c>
      <c r="M515">
        <v>0.196521</v>
      </c>
      <c r="N515">
        <v>2557</v>
      </c>
      <c r="O515">
        <v>3486</v>
      </c>
      <c r="P515">
        <v>6043</v>
      </c>
    </row>
    <row r="516" spans="1:16" x14ac:dyDescent="0.3">
      <c r="A516">
        <v>515</v>
      </c>
      <c r="B516" s="1">
        <v>41058</v>
      </c>
      <c r="C516">
        <v>2</v>
      </c>
      <c r="D516">
        <v>1</v>
      </c>
      <c r="E516">
        <v>5</v>
      </c>
      <c r="F516">
        <v>0</v>
      </c>
      <c r="G516">
        <v>2</v>
      </c>
      <c r="H516">
        <v>1</v>
      </c>
      <c r="I516">
        <v>1</v>
      </c>
      <c r="J516">
        <v>0.72250000000000003</v>
      </c>
      <c r="K516">
        <v>0.67299200000000003</v>
      </c>
      <c r="L516">
        <v>0.68458300000000005</v>
      </c>
      <c r="M516">
        <v>0.2954</v>
      </c>
      <c r="N516">
        <v>880</v>
      </c>
      <c r="O516">
        <v>4863</v>
      </c>
      <c r="P516">
        <v>5743</v>
      </c>
    </row>
    <row r="517" spans="1:16" x14ac:dyDescent="0.3">
      <c r="A517">
        <v>516</v>
      </c>
      <c r="B517" s="1">
        <v>41059</v>
      </c>
      <c r="C517">
        <v>2</v>
      </c>
      <c r="D517">
        <v>1</v>
      </c>
      <c r="E517">
        <v>5</v>
      </c>
      <c r="F517">
        <v>0</v>
      </c>
      <c r="G517">
        <v>3</v>
      </c>
      <c r="H517">
        <v>1</v>
      </c>
      <c r="I517">
        <v>2</v>
      </c>
      <c r="J517">
        <v>0.656667</v>
      </c>
      <c r="K517">
        <v>0.61112900000000003</v>
      </c>
      <c r="L517">
        <v>0.67</v>
      </c>
      <c r="M517">
        <v>0.134329</v>
      </c>
      <c r="N517">
        <v>745</v>
      </c>
      <c r="O517">
        <v>6110</v>
      </c>
      <c r="P517">
        <v>6855</v>
      </c>
    </row>
    <row r="518" spans="1:16" x14ac:dyDescent="0.3">
      <c r="A518">
        <v>517</v>
      </c>
      <c r="B518" s="1">
        <v>41060</v>
      </c>
      <c r="C518">
        <v>2</v>
      </c>
      <c r="D518">
        <v>1</v>
      </c>
      <c r="E518">
        <v>5</v>
      </c>
      <c r="F518">
        <v>0</v>
      </c>
      <c r="G518">
        <v>4</v>
      </c>
      <c r="H518">
        <v>1</v>
      </c>
      <c r="I518">
        <v>1</v>
      </c>
      <c r="J518">
        <v>0.68</v>
      </c>
      <c r="K518">
        <v>0.63132900000000003</v>
      </c>
      <c r="L518">
        <v>0.49291699999999999</v>
      </c>
      <c r="M518">
        <v>0.19527900000000001</v>
      </c>
      <c r="N518">
        <v>1100</v>
      </c>
      <c r="O518">
        <v>6238</v>
      </c>
      <c r="P518">
        <v>7338</v>
      </c>
    </row>
    <row r="519" spans="1:16" x14ac:dyDescent="0.3">
      <c r="A519">
        <v>518</v>
      </c>
      <c r="B519" s="1">
        <v>41061</v>
      </c>
      <c r="C519">
        <v>2</v>
      </c>
      <c r="D519">
        <v>1</v>
      </c>
      <c r="E519">
        <v>6</v>
      </c>
      <c r="F519">
        <v>0</v>
      </c>
      <c r="G519">
        <v>5</v>
      </c>
      <c r="H519">
        <v>1</v>
      </c>
      <c r="I519">
        <v>2</v>
      </c>
      <c r="J519">
        <v>0.65416700000000005</v>
      </c>
      <c r="K519">
        <v>0.607962</v>
      </c>
      <c r="L519">
        <v>0.75541700000000001</v>
      </c>
      <c r="M519">
        <v>0.237563</v>
      </c>
      <c r="N519">
        <v>533</v>
      </c>
      <c r="O519">
        <v>3594</v>
      </c>
      <c r="P519">
        <v>4127</v>
      </c>
    </row>
    <row r="520" spans="1:16" x14ac:dyDescent="0.3">
      <c r="A520">
        <v>519</v>
      </c>
      <c r="B520" s="1">
        <v>41062</v>
      </c>
      <c r="C520">
        <v>2</v>
      </c>
      <c r="D520">
        <v>1</v>
      </c>
      <c r="E520">
        <v>6</v>
      </c>
      <c r="F520">
        <v>0</v>
      </c>
      <c r="G520">
        <v>6</v>
      </c>
      <c r="H520">
        <v>0</v>
      </c>
      <c r="I520">
        <v>1</v>
      </c>
      <c r="J520">
        <v>0.58333299999999999</v>
      </c>
      <c r="K520">
        <v>0.56628800000000001</v>
      </c>
      <c r="L520">
        <v>0.54916699999999996</v>
      </c>
      <c r="M520">
        <v>0.18656200000000001</v>
      </c>
      <c r="N520">
        <v>2795</v>
      </c>
      <c r="O520">
        <v>5325</v>
      </c>
      <c r="P520">
        <v>8120</v>
      </c>
    </row>
    <row r="521" spans="1:16" x14ac:dyDescent="0.3">
      <c r="A521">
        <v>520</v>
      </c>
      <c r="B521" s="1">
        <v>41063</v>
      </c>
      <c r="C521">
        <v>2</v>
      </c>
      <c r="D521">
        <v>1</v>
      </c>
      <c r="E521">
        <v>6</v>
      </c>
      <c r="F521">
        <v>0</v>
      </c>
      <c r="G521">
        <v>0</v>
      </c>
      <c r="H521">
        <v>0</v>
      </c>
      <c r="I521">
        <v>1</v>
      </c>
      <c r="J521">
        <v>0.60250000000000004</v>
      </c>
      <c r="K521">
        <v>0.57513300000000001</v>
      </c>
      <c r="L521">
        <v>0.49333300000000002</v>
      </c>
      <c r="M521">
        <v>0.184087</v>
      </c>
      <c r="N521">
        <v>2494</v>
      </c>
      <c r="O521">
        <v>5147</v>
      </c>
      <c r="P521">
        <v>7641</v>
      </c>
    </row>
    <row r="522" spans="1:16" x14ac:dyDescent="0.3">
      <c r="A522">
        <v>521</v>
      </c>
      <c r="B522" s="1">
        <v>41064</v>
      </c>
      <c r="C522">
        <v>2</v>
      </c>
      <c r="D522">
        <v>1</v>
      </c>
      <c r="E522">
        <v>6</v>
      </c>
      <c r="F522">
        <v>0</v>
      </c>
      <c r="G522">
        <v>1</v>
      </c>
      <c r="H522">
        <v>1</v>
      </c>
      <c r="I522">
        <v>1</v>
      </c>
      <c r="J522">
        <v>0.59750000000000003</v>
      </c>
      <c r="K522">
        <v>0.57828299999999999</v>
      </c>
      <c r="L522">
        <v>0.48708299999999999</v>
      </c>
      <c r="M522">
        <v>0.284833</v>
      </c>
      <c r="N522">
        <v>1071</v>
      </c>
      <c r="O522">
        <v>5927</v>
      </c>
      <c r="P522">
        <v>6998</v>
      </c>
    </row>
    <row r="523" spans="1:16" x14ac:dyDescent="0.3">
      <c r="A523">
        <v>522</v>
      </c>
      <c r="B523" s="1">
        <v>41065</v>
      </c>
      <c r="C523">
        <v>2</v>
      </c>
      <c r="D523">
        <v>1</v>
      </c>
      <c r="E523">
        <v>6</v>
      </c>
      <c r="F523">
        <v>0</v>
      </c>
      <c r="G523">
        <v>2</v>
      </c>
      <c r="H523">
        <v>1</v>
      </c>
      <c r="I523">
        <v>2</v>
      </c>
      <c r="J523">
        <v>0.54083300000000001</v>
      </c>
      <c r="K523">
        <v>0.52589200000000003</v>
      </c>
      <c r="L523">
        <v>0.61333300000000002</v>
      </c>
      <c r="M523">
        <v>0.20957500000000001</v>
      </c>
      <c r="N523">
        <v>968</v>
      </c>
      <c r="O523">
        <v>6033</v>
      </c>
      <c r="P523">
        <v>7001</v>
      </c>
    </row>
    <row r="524" spans="1:16" x14ac:dyDescent="0.3">
      <c r="A524">
        <v>523</v>
      </c>
      <c r="B524" s="1">
        <v>41066</v>
      </c>
      <c r="C524">
        <v>2</v>
      </c>
      <c r="D524">
        <v>1</v>
      </c>
      <c r="E524">
        <v>6</v>
      </c>
      <c r="F524">
        <v>0</v>
      </c>
      <c r="G524">
        <v>3</v>
      </c>
      <c r="H524">
        <v>1</v>
      </c>
      <c r="I524">
        <v>1</v>
      </c>
      <c r="J524">
        <v>0.55416699999999997</v>
      </c>
      <c r="K524">
        <v>0.542292</v>
      </c>
      <c r="L524">
        <v>0.61124999999999996</v>
      </c>
      <c r="M524">
        <v>7.7124999999999999E-2</v>
      </c>
      <c r="N524">
        <v>1027</v>
      </c>
      <c r="O524">
        <v>6028</v>
      </c>
      <c r="P524">
        <v>7055</v>
      </c>
    </row>
    <row r="525" spans="1:16" x14ac:dyDescent="0.3">
      <c r="A525">
        <v>524</v>
      </c>
      <c r="B525" s="1">
        <v>41067</v>
      </c>
      <c r="C525">
        <v>2</v>
      </c>
      <c r="D525">
        <v>1</v>
      </c>
      <c r="E525">
        <v>6</v>
      </c>
      <c r="F525">
        <v>0</v>
      </c>
      <c r="G525">
        <v>4</v>
      </c>
      <c r="H525">
        <v>1</v>
      </c>
      <c r="I525">
        <v>1</v>
      </c>
      <c r="J525">
        <v>0.60250000000000004</v>
      </c>
      <c r="K525">
        <v>0.569442</v>
      </c>
      <c r="L525">
        <v>0.567083</v>
      </c>
      <c r="M525">
        <v>0.15734999999999999</v>
      </c>
      <c r="N525">
        <v>1038</v>
      </c>
      <c r="O525">
        <v>6456</v>
      </c>
      <c r="P525">
        <v>7494</v>
      </c>
    </row>
    <row r="526" spans="1:16" x14ac:dyDescent="0.3">
      <c r="A526">
        <v>525</v>
      </c>
      <c r="B526" s="1">
        <v>41068</v>
      </c>
      <c r="C526">
        <v>2</v>
      </c>
      <c r="D526">
        <v>1</v>
      </c>
      <c r="E526">
        <v>6</v>
      </c>
      <c r="F526">
        <v>0</v>
      </c>
      <c r="G526">
        <v>5</v>
      </c>
      <c r="H526">
        <v>1</v>
      </c>
      <c r="I526">
        <v>1</v>
      </c>
      <c r="J526">
        <v>0.64916700000000005</v>
      </c>
      <c r="K526">
        <v>0.597862</v>
      </c>
      <c r="L526">
        <v>0.46791700000000003</v>
      </c>
      <c r="M526">
        <v>0.17538300000000001</v>
      </c>
      <c r="N526">
        <v>1488</v>
      </c>
      <c r="O526">
        <v>6248</v>
      </c>
      <c r="P526">
        <v>7736</v>
      </c>
    </row>
    <row r="527" spans="1:16" x14ac:dyDescent="0.3">
      <c r="A527">
        <v>526</v>
      </c>
      <c r="B527" s="1">
        <v>41069</v>
      </c>
      <c r="C527">
        <v>2</v>
      </c>
      <c r="D527">
        <v>1</v>
      </c>
      <c r="E527">
        <v>6</v>
      </c>
      <c r="F527">
        <v>0</v>
      </c>
      <c r="G527">
        <v>6</v>
      </c>
      <c r="H527">
        <v>0</v>
      </c>
      <c r="I527">
        <v>1</v>
      </c>
      <c r="J527">
        <v>0.71083300000000005</v>
      </c>
      <c r="K527">
        <v>0.64836700000000003</v>
      </c>
      <c r="L527">
        <v>0.437083</v>
      </c>
      <c r="M527">
        <v>0.144287</v>
      </c>
      <c r="N527">
        <v>2708</v>
      </c>
      <c r="O527">
        <v>4790</v>
      </c>
      <c r="P527">
        <v>7498</v>
      </c>
    </row>
    <row r="528" spans="1:16" x14ac:dyDescent="0.3">
      <c r="A528">
        <v>527</v>
      </c>
      <c r="B528" s="1">
        <v>41070</v>
      </c>
      <c r="C528">
        <v>2</v>
      </c>
      <c r="D528">
        <v>1</v>
      </c>
      <c r="E528">
        <v>6</v>
      </c>
      <c r="F528">
        <v>0</v>
      </c>
      <c r="G528">
        <v>0</v>
      </c>
      <c r="H528">
        <v>0</v>
      </c>
      <c r="I528">
        <v>1</v>
      </c>
      <c r="J528">
        <v>0.72666699999999995</v>
      </c>
      <c r="K528">
        <v>0.66351700000000002</v>
      </c>
      <c r="L528">
        <v>0.53833299999999995</v>
      </c>
      <c r="M528">
        <v>0.13372100000000001</v>
      </c>
      <c r="N528">
        <v>2224</v>
      </c>
      <c r="O528">
        <v>4374</v>
      </c>
      <c r="P528">
        <v>6598</v>
      </c>
    </row>
    <row r="529" spans="1:16" x14ac:dyDescent="0.3">
      <c r="A529">
        <v>528</v>
      </c>
      <c r="B529" s="1">
        <v>41071</v>
      </c>
      <c r="C529">
        <v>2</v>
      </c>
      <c r="D529">
        <v>1</v>
      </c>
      <c r="E529">
        <v>6</v>
      </c>
      <c r="F529">
        <v>0</v>
      </c>
      <c r="G529">
        <v>1</v>
      </c>
      <c r="H529">
        <v>1</v>
      </c>
      <c r="I529">
        <v>2</v>
      </c>
      <c r="J529">
        <v>0.72083299999999995</v>
      </c>
      <c r="K529">
        <v>0.659721</v>
      </c>
      <c r="L529">
        <v>0.58791700000000002</v>
      </c>
      <c r="M529">
        <v>0.20771300000000001</v>
      </c>
      <c r="N529">
        <v>1017</v>
      </c>
      <c r="O529">
        <v>5647</v>
      </c>
      <c r="P529">
        <v>6664</v>
      </c>
    </row>
    <row r="530" spans="1:16" x14ac:dyDescent="0.3">
      <c r="A530">
        <v>529</v>
      </c>
      <c r="B530" s="1">
        <v>41072</v>
      </c>
      <c r="C530">
        <v>2</v>
      </c>
      <c r="D530">
        <v>1</v>
      </c>
      <c r="E530">
        <v>6</v>
      </c>
      <c r="F530">
        <v>0</v>
      </c>
      <c r="G530">
        <v>2</v>
      </c>
      <c r="H530">
        <v>1</v>
      </c>
      <c r="I530">
        <v>2</v>
      </c>
      <c r="J530">
        <v>0.65333300000000005</v>
      </c>
      <c r="K530">
        <v>0.59787500000000005</v>
      </c>
      <c r="L530">
        <v>0.83333299999999999</v>
      </c>
      <c r="M530">
        <v>0.21454599999999999</v>
      </c>
      <c r="N530">
        <v>477</v>
      </c>
      <c r="O530">
        <v>4495</v>
      </c>
      <c r="P530">
        <v>4972</v>
      </c>
    </row>
    <row r="531" spans="1:16" x14ac:dyDescent="0.3">
      <c r="A531">
        <v>530</v>
      </c>
      <c r="B531" s="1">
        <v>41073</v>
      </c>
      <c r="C531">
        <v>2</v>
      </c>
      <c r="D531">
        <v>1</v>
      </c>
      <c r="E531">
        <v>6</v>
      </c>
      <c r="F531">
        <v>0</v>
      </c>
      <c r="G531">
        <v>3</v>
      </c>
      <c r="H531">
        <v>1</v>
      </c>
      <c r="I531">
        <v>1</v>
      </c>
      <c r="J531">
        <v>0.655833</v>
      </c>
      <c r="K531">
        <v>0.61111700000000002</v>
      </c>
      <c r="L531">
        <v>0.58208300000000002</v>
      </c>
      <c r="M531">
        <v>0.343279</v>
      </c>
      <c r="N531">
        <v>1173</v>
      </c>
      <c r="O531">
        <v>6248</v>
      </c>
      <c r="P531">
        <v>7421</v>
      </c>
    </row>
    <row r="532" spans="1:16" x14ac:dyDescent="0.3">
      <c r="A532">
        <v>531</v>
      </c>
      <c r="B532" s="1">
        <v>41074</v>
      </c>
      <c r="C532">
        <v>2</v>
      </c>
      <c r="D532">
        <v>1</v>
      </c>
      <c r="E532">
        <v>6</v>
      </c>
      <c r="F532">
        <v>0</v>
      </c>
      <c r="G532">
        <v>4</v>
      </c>
      <c r="H532">
        <v>1</v>
      </c>
      <c r="I532">
        <v>1</v>
      </c>
      <c r="J532">
        <v>0.64833300000000005</v>
      </c>
      <c r="K532">
        <v>0.62438300000000002</v>
      </c>
      <c r="L532">
        <v>0.56958299999999995</v>
      </c>
      <c r="M532">
        <v>0.25373299999999999</v>
      </c>
      <c r="N532">
        <v>1180</v>
      </c>
      <c r="O532">
        <v>6183</v>
      </c>
      <c r="P532">
        <v>7363</v>
      </c>
    </row>
    <row r="533" spans="1:16" x14ac:dyDescent="0.3">
      <c r="A533">
        <v>532</v>
      </c>
      <c r="B533" s="1">
        <v>41075</v>
      </c>
      <c r="C533">
        <v>2</v>
      </c>
      <c r="D533">
        <v>1</v>
      </c>
      <c r="E533">
        <v>6</v>
      </c>
      <c r="F533">
        <v>0</v>
      </c>
      <c r="G533">
        <v>5</v>
      </c>
      <c r="H533">
        <v>1</v>
      </c>
      <c r="I533">
        <v>1</v>
      </c>
      <c r="J533">
        <v>0.63916700000000004</v>
      </c>
      <c r="K533">
        <v>0.59975400000000001</v>
      </c>
      <c r="L533">
        <v>0.58958299999999997</v>
      </c>
      <c r="M533">
        <v>0.176617</v>
      </c>
      <c r="N533">
        <v>1563</v>
      </c>
      <c r="O533">
        <v>6102</v>
      </c>
      <c r="P533">
        <v>7665</v>
      </c>
    </row>
    <row r="534" spans="1:16" x14ac:dyDescent="0.3">
      <c r="A534">
        <v>533</v>
      </c>
      <c r="B534" s="1">
        <v>41076</v>
      </c>
      <c r="C534">
        <v>2</v>
      </c>
      <c r="D534">
        <v>1</v>
      </c>
      <c r="E534">
        <v>6</v>
      </c>
      <c r="F534">
        <v>0</v>
      </c>
      <c r="G534">
        <v>6</v>
      </c>
      <c r="H534">
        <v>0</v>
      </c>
      <c r="I534">
        <v>1</v>
      </c>
      <c r="J534">
        <v>0.63166699999999998</v>
      </c>
      <c r="K534">
        <v>0.59470800000000001</v>
      </c>
      <c r="L534">
        <v>0.50416700000000003</v>
      </c>
      <c r="M534">
        <v>0.16666700000000001</v>
      </c>
      <c r="N534">
        <v>2963</v>
      </c>
      <c r="O534">
        <v>4739</v>
      </c>
      <c r="P534">
        <v>7702</v>
      </c>
    </row>
    <row r="535" spans="1:16" x14ac:dyDescent="0.3">
      <c r="A535">
        <v>534</v>
      </c>
      <c r="B535" s="1">
        <v>41077</v>
      </c>
      <c r="C535">
        <v>2</v>
      </c>
      <c r="D535">
        <v>1</v>
      </c>
      <c r="E535">
        <v>6</v>
      </c>
      <c r="F535">
        <v>0</v>
      </c>
      <c r="G535">
        <v>0</v>
      </c>
      <c r="H535">
        <v>0</v>
      </c>
      <c r="I535">
        <v>1</v>
      </c>
      <c r="J535">
        <v>0.59250000000000003</v>
      </c>
      <c r="K535">
        <v>0.57197500000000001</v>
      </c>
      <c r="L535">
        <v>0.59875</v>
      </c>
      <c r="M535">
        <v>0.14490400000000001</v>
      </c>
      <c r="N535">
        <v>2634</v>
      </c>
      <c r="O535">
        <v>4344</v>
      </c>
      <c r="P535">
        <v>6978</v>
      </c>
    </row>
    <row r="536" spans="1:16" x14ac:dyDescent="0.3">
      <c r="A536">
        <v>535</v>
      </c>
      <c r="B536" s="1">
        <v>41078</v>
      </c>
      <c r="C536">
        <v>2</v>
      </c>
      <c r="D536">
        <v>1</v>
      </c>
      <c r="E536">
        <v>6</v>
      </c>
      <c r="F536">
        <v>0</v>
      </c>
      <c r="G536">
        <v>1</v>
      </c>
      <c r="H536">
        <v>1</v>
      </c>
      <c r="I536">
        <v>2</v>
      </c>
      <c r="J536">
        <v>0.56833299999999998</v>
      </c>
      <c r="K536">
        <v>0.54484200000000005</v>
      </c>
      <c r="L536">
        <v>0.77791699999999997</v>
      </c>
      <c r="M536">
        <v>0.17474600000000001</v>
      </c>
      <c r="N536">
        <v>653</v>
      </c>
      <c r="O536">
        <v>4446</v>
      </c>
      <c r="P536">
        <v>5099</v>
      </c>
    </row>
    <row r="537" spans="1:16" x14ac:dyDescent="0.3">
      <c r="A537">
        <v>536</v>
      </c>
      <c r="B537" s="1">
        <v>41079</v>
      </c>
      <c r="C537">
        <v>2</v>
      </c>
      <c r="D537">
        <v>1</v>
      </c>
      <c r="E537">
        <v>6</v>
      </c>
      <c r="F537">
        <v>0</v>
      </c>
      <c r="G537">
        <v>2</v>
      </c>
      <c r="H537">
        <v>1</v>
      </c>
      <c r="I537">
        <v>1</v>
      </c>
      <c r="J537">
        <v>0.68833299999999997</v>
      </c>
      <c r="K537">
        <v>0.65469200000000005</v>
      </c>
      <c r="L537">
        <v>0.69</v>
      </c>
      <c r="M537">
        <v>0.14801700000000001</v>
      </c>
      <c r="N537">
        <v>968</v>
      </c>
      <c r="O537">
        <v>5857</v>
      </c>
      <c r="P537">
        <v>6825</v>
      </c>
    </row>
    <row r="538" spans="1:16" x14ac:dyDescent="0.3">
      <c r="A538">
        <v>537</v>
      </c>
      <c r="B538" s="1">
        <v>41080</v>
      </c>
      <c r="C538">
        <v>2</v>
      </c>
      <c r="D538">
        <v>1</v>
      </c>
      <c r="E538">
        <v>6</v>
      </c>
      <c r="F538">
        <v>0</v>
      </c>
      <c r="G538">
        <v>3</v>
      </c>
      <c r="H538">
        <v>1</v>
      </c>
      <c r="I538">
        <v>1</v>
      </c>
      <c r="J538">
        <v>0.78249999999999997</v>
      </c>
      <c r="K538">
        <v>0.72097500000000003</v>
      </c>
      <c r="L538">
        <v>0.59208300000000003</v>
      </c>
      <c r="M538">
        <v>0.113812</v>
      </c>
      <c r="N538">
        <v>872</v>
      </c>
      <c r="O538">
        <v>5339</v>
      </c>
      <c r="P538">
        <v>6211</v>
      </c>
    </row>
    <row r="539" spans="1:16" x14ac:dyDescent="0.3">
      <c r="A539">
        <v>538</v>
      </c>
      <c r="B539" s="1">
        <v>41081</v>
      </c>
      <c r="C539">
        <v>3</v>
      </c>
      <c r="D539">
        <v>1</v>
      </c>
      <c r="E539">
        <v>6</v>
      </c>
      <c r="F539">
        <v>0</v>
      </c>
      <c r="G539">
        <v>4</v>
      </c>
      <c r="H539">
        <v>1</v>
      </c>
      <c r="I539">
        <v>1</v>
      </c>
      <c r="J539">
        <v>0.80583300000000002</v>
      </c>
      <c r="K539">
        <v>0.75254200000000004</v>
      </c>
      <c r="L539">
        <v>0.56791700000000001</v>
      </c>
      <c r="M539">
        <v>0.118787</v>
      </c>
      <c r="N539">
        <v>778</v>
      </c>
      <c r="O539">
        <v>5127</v>
      </c>
      <c r="P539">
        <v>5905</v>
      </c>
    </row>
    <row r="540" spans="1:16" x14ac:dyDescent="0.3">
      <c r="A540">
        <v>539</v>
      </c>
      <c r="B540" s="1">
        <v>41082</v>
      </c>
      <c r="C540">
        <v>3</v>
      </c>
      <c r="D540">
        <v>1</v>
      </c>
      <c r="E540">
        <v>6</v>
      </c>
      <c r="F540">
        <v>0</v>
      </c>
      <c r="G540">
        <v>5</v>
      </c>
      <c r="H540">
        <v>1</v>
      </c>
      <c r="I540">
        <v>1</v>
      </c>
      <c r="J540">
        <v>0.77749999999999997</v>
      </c>
      <c r="K540">
        <v>0.72412100000000001</v>
      </c>
      <c r="L540">
        <v>0.57374999999999998</v>
      </c>
      <c r="M540">
        <v>0.182842</v>
      </c>
      <c r="N540">
        <v>964</v>
      </c>
      <c r="O540">
        <v>4859</v>
      </c>
      <c r="P540">
        <v>5823</v>
      </c>
    </row>
    <row r="541" spans="1:16" x14ac:dyDescent="0.3">
      <c r="A541">
        <v>540</v>
      </c>
      <c r="B541" s="1">
        <v>41083</v>
      </c>
      <c r="C541">
        <v>3</v>
      </c>
      <c r="D541">
        <v>1</v>
      </c>
      <c r="E541">
        <v>6</v>
      </c>
      <c r="F541">
        <v>0</v>
      </c>
      <c r="G541">
        <v>6</v>
      </c>
      <c r="H541">
        <v>0</v>
      </c>
      <c r="I541">
        <v>1</v>
      </c>
      <c r="J541">
        <v>0.73166699999999996</v>
      </c>
      <c r="K541">
        <v>0.65279200000000004</v>
      </c>
      <c r="L541">
        <v>0.53458300000000003</v>
      </c>
      <c r="M541">
        <v>0.17972099999999999</v>
      </c>
      <c r="N541">
        <v>2657</v>
      </c>
      <c r="O541">
        <v>4801</v>
      </c>
      <c r="P541">
        <v>7458</v>
      </c>
    </row>
    <row r="542" spans="1:16" x14ac:dyDescent="0.3">
      <c r="A542">
        <v>541</v>
      </c>
      <c r="B542" s="1">
        <v>41084</v>
      </c>
      <c r="C542">
        <v>3</v>
      </c>
      <c r="D542">
        <v>1</v>
      </c>
      <c r="E542">
        <v>6</v>
      </c>
      <c r="F542">
        <v>0</v>
      </c>
      <c r="G542">
        <v>0</v>
      </c>
      <c r="H542">
        <v>0</v>
      </c>
      <c r="I542">
        <v>1</v>
      </c>
      <c r="J542">
        <v>0.74333300000000002</v>
      </c>
      <c r="K542">
        <v>0.67425400000000002</v>
      </c>
      <c r="L542">
        <v>0.47916700000000001</v>
      </c>
      <c r="M542">
        <v>0.14552499999999999</v>
      </c>
      <c r="N542">
        <v>2551</v>
      </c>
      <c r="O542">
        <v>4340</v>
      </c>
      <c r="P542">
        <v>6891</v>
      </c>
    </row>
    <row r="543" spans="1:16" x14ac:dyDescent="0.3">
      <c r="A543">
        <v>542</v>
      </c>
      <c r="B543" s="1">
        <v>41085</v>
      </c>
      <c r="C543">
        <v>3</v>
      </c>
      <c r="D543">
        <v>1</v>
      </c>
      <c r="E543">
        <v>6</v>
      </c>
      <c r="F543">
        <v>0</v>
      </c>
      <c r="G543">
        <v>1</v>
      </c>
      <c r="H543">
        <v>1</v>
      </c>
      <c r="I543">
        <v>1</v>
      </c>
      <c r="J543">
        <v>0.71583300000000005</v>
      </c>
      <c r="K543">
        <v>0.65404200000000001</v>
      </c>
      <c r="L543">
        <v>0.50416700000000003</v>
      </c>
      <c r="M543">
        <v>0.30038300000000001</v>
      </c>
      <c r="N543">
        <v>1139</v>
      </c>
      <c r="O543">
        <v>5640</v>
      </c>
      <c r="P543">
        <v>6779</v>
      </c>
    </row>
    <row r="544" spans="1:16" x14ac:dyDescent="0.3">
      <c r="A544">
        <v>543</v>
      </c>
      <c r="B544" s="1">
        <v>41086</v>
      </c>
      <c r="C544">
        <v>3</v>
      </c>
      <c r="D544">
        <v>1</v>
      </c>
      <c r="E544">
        <v>6</v>
      </c>
      <c r="F544">
        <v>0</v>
      </c>
      <c r="G544">
        <v>2</v>
      </c>
      <c r="H544">
        <v>1</v>
      </c>
      <c r="I544">
        <v>1</v>
      </c>
      <c r="J544">
        <v>0.63083299999999998</v>
      </c>
      <c r="K544">
        <v>0.59470400000000001</v>
      </c>
      <c r="L544">
        <v>0.37333300000000003</v>
      </c>
      <c r="M544">
        <v>0.34764200000000001</v>
      </c>
      <c r="N544">
        <v>1077</v>
      </c>
      <c r="O544">
        <v>6365</v>
      </c>
      <c r="P544">
        <v>7442</v>
      </c>
    </row>
    <row r="545" spans="1:16" x14ac:dyDescent="0.3">
      <c r="A545">
        <v>544</v>
      </c>
      <c r="B545" s="1">
        <v>41087</v>
      </c>
      <c r="C545">
        <v>3</v>
      </c>
      <c r="D545">
        <v>1</v>
      </c>
      <c r="E545">
        <v>6</v>
      </c>
      <c r="F545">
        <v>0</v>
      </c>
      <c r="G545">
        <v>3</v>
      </c>
      <c r="H545">
        <v>1</v>
      </c>
      <c r="I545">
        <v>1</v>
      </c>
      <c r="J545">
        <v>0.69750000000000001</v>
      </c>
      <c r="K545">
        <v>0.64079200000000003</v>
      </c>
      <c r="L545">
        <v>0.36</v>
      </c>
      <c r="M545">
        <v>0.27177499999999999</v>
      </c>
      <c r="N545">
        <v>1077</v>
      </c>
      <c r="O545">
        <v>6258</v>
      </c>
      <c r="P545">
        <v>7335</v>
      </c>
    </row>
    <row r="546" spans="1:16" x14ac:dyDescent="0.3">
      <c r="A546">
        <v>545</v>
      </c>
      <c r="B546" s="1">
        <v>41088</v>
      </c>
      <c r="C546">
        <v>3</v>
      </c>
      <c r="D546">
        <v>1</v>
      </c>
      <c r="E546">
        <v>6</v>
      </c>
      <c r="F546">
        <v>0</v>
      </c>
      <c r="G546">
        <v>4</v>
      </c>
      <c r="H546">
        <v>1</v>
      </c>
      <c r="I546">
        <v>1</v>
      </c>
      <c r="J546">
        <v>0.74916700000000003</v>
      </c>
      <c r="K546">
        <v>0.675512</v>
      </c>
      <c r="L546">
        <v>0.42249999999999999</v>
      </c>
      <c r="M546">
        <v>0.17165</v>
      </c>
      <c r="N546">
        <v>921</v>
      </c>
      <c r="O546">
        <v>5958</v>
      </c>
      <c r="P546">
        <v>6879</v>
      </c>
    </row>
    <row r="547" spans="1:16" x14ac:dyDescent="0.3">
      <c r="A547">
        <v>546</v>
      </c>
      <c r="B547" s="1">
        <v>41089</v>
      </c>
      <c r="C547">
        <v>3</v>
      </c>
      <c r="D547">
        <v>1</v>
      </c>
      <c r="E547">
        <v>6</v>
      </c>
      <c r="F547">
        <v>0</v>
      </c>
      <c r="G547">
        <v>5</v>
      </c>
      <c r="H547">
        <v>1</v>
      </c>
      <c r="I547">
        <v>1</v>
      </c>
      <c r="J547">
        <v>0.83416699999999999</v>
      </c>
      <c r="K547">
        <v>0.78661300000000001</v>
      </c>
      <c r="L547">
        <v>0.48875000000000002</v>
      </c>
      <c r="M547">
        <v>0.16541700000000001</v>
      </c>
      <c r="N547">
        <v>829</v>
      </c>
      <c r="O547">
        <v>4634</v>
      </c>
      <c r="P547">
        <v>5463</v>
      </c>
    </row>
    <row r="548" spans="1:16" x14ac:dyDescent="0.3">
      <c r="A548">
        <v>547</v>
      </c>
      <c r="B548" s="1">
        <v>41090</v>
      </c>
      <c r="C548">
        <v>3</v>
      </c>
      <c r="D548">
        <v>1</v>
      </c>
      <c r="E548">
        <v>6</v>
      </c>
      <c r="F548">
        <v>0</v>
      </c>
      <c r="G548">
        <v>6</v>
      </c>
      <c r="H548">
        <v>0</v>
      </c>
      <c r="I548">
        <v>1</v>
      </c>
      <c r="J548">
        <v>0.76500000000000001</v>
      </c>
      <c r="K548">
        <v>0.68750800000000001</v>
      </c>
      <c r="L548">
        <v>0.60124999999999995</v>
      </c>
      <c r="M548">
        <v>0.16107099999999999</v>
      </c>
      <c r="N548">
        <v>1455</v>
      </c>
      <c r="O548">
        <v>4232</v>
      </c>
      <c r="P548">
        <v>5687</v>
      </c>
    </row>
    <row r="549" spans="1:16" x14ac:dyDescent="0.3">
      <c r="A549">
        <v>548</v>
      </c>
      <c r="B549" s="1">
        <v>41091</v>
      </c>
      <c r="C549">
        <v>3</v>
      </c>
      <c r="D549">
        <v>1</v>
      </c>
      <c r="E549">
        <v>7</v>
      </c>
      <c r="F549">
        <v>0</v>
      </c>
      <c r="G549">
        <v>0</v>
      </c>
      <c r="H549">
        <v>0</v>
      </c>
      <c r="I549">
        <v>1</v>
      </c>
      <c r="J549">
        <v>0.81583300000000003</v>
      </c>
      <c r="K549">
        <v>0.75062899999999999</v>
      </c>
      <c r="L549">
        <v>0.51875000000000004</v>
      </c>
      <c r="M549">
        <v>0.16852900000000001</v>
      </c>
      <c r="N549">
        <v>1421</v>
      </c>
      <c r="O549">
        <v>4110</v>
      </c>
      <c r="P549">
        <v>5531</v>
      </c>
    </row>
    <row r="550" spans="1:16" x14ac:dyDescent="0.3">
      <c r="A550">
        <v>549</v>
      </c>
      <c r="B550" s="1">
        <v>41092</v>
      </c>
      <c r="C550">
        <v>3</v>
      </c>
      <c r="D550">
        <v>1</v>
      </c>
      <c r="E550">
        <v>7</v>
      </c>
      <c r="F550">
        <v>0</v>
      </c>
      <c r="G550">
        <v>1</v>
      </c>
      <c r="H550">
        <v>1</v>
      </c>
      <c r="I550">
        <v>1</v>
      </c>
      <c r="J550">
        <v>0.781667</v>
      </c>
      <c r="K550">
        <v>0.70203800000000005</v>
      </c>
      <c r="L550">
        <v>0.44708300000000001</v>
      </c>
      <c r="M550">
        <v>0.195267</v>
      </c>
      <c r="N550">
        <v>904</v>
      </c>
      <c r="O550">
        <v>5323</v>
      </c>
      <c r="P550">
        <v>6227</v>
      </c>
    </row>
    <row r="551" spans="1:16" x14ac:dyDescent="0.3">
      <c r="A551">
        <v>550</v>
      </c>
      <c r="B551" s="1">
        <v>41093</v>
      </c>
      <c r="C551">
        <v>3</v>
      </c>
      <c r="D551">
        <v>1</v>
      </c>
      <c r="E551">
        <v>7</v>
      </c>
      <c r="F551">
        <v>0</v>
      </c>
      <c r="G551">
        <v>2</v>
      </c>
      <c r="H551">
        <v>1</v>
      </c>
      <c r="I551">
        <v>1</v>
      </c>
      <c r="J551">
        <v>0.780833</v>
      </c>
      <c r="K551">
        <v>0.70265</v>
      </c>
      <c r="L551">
        <v>0.49208299999999999</v>
      </c>
      <c r="M551">
        <v>0.12623699999999999</v>
      </c>
      <c r="N551">
        <v>1052</v>
      </c>
      <c r="O551">
        <v>5608</v>
      </c>
      <c r="P551">
        <v>6660</v>
      </c>
    </row>
    <row r="552" spans="1:16" x14ac:dyDescent="0.3">
      <c r="A552">
        <v>551</v>
      </c>
      <c r="B552" s="1">
        <v>41094</v>
      </c>
      <c r="C552">
        <v>3</v>
      </c>
      <c r="D552">
        <v>1</v>
      </c>
      <c r="E552">
        <v>7</v>
      </c>
      <c r="F552">
        <v>1</v>
      </c>
      <c r="G552">
        <v>3</v>
      </c>
      <c r="H552">
        <v>0</v>
      </c>
      <c r="I552">
        <v>1</v>
      </c>
      <c r="J552">
        <v>0.78916699999999995</v>
      </c>
      <c r="K552">
        <v>0.73233700000000002</v>
      </c>
      <c r="L552">
        <v>0.53874999999999995</v>
      </c>
      <c r="M552">
        <v>0.13494999999999999</v>
      </c>
      <c r="N552">
        <v>2562</v>
      </c>
      <c r="O552">
        <v>4841</v>
      </c>
      <c r="P552">
        <v>7403</v>
      </c>
    </row>
    <row r="553" spans="1:16" x14ac:dyDescent="0.3">
      <c r="A553">
        <v>552</v>
      </c>
      <c r="B553" s="1">
        <v>41095</v>
      </c>
      <c r="C553">
        <v>3</v>
      </c>
      <c r="D553">
        <v>1</v>
      </c>
      <c r="E553">
        <v>7</v>
      </c>
      <c r="F553">
        <v>0</v>
      </c>
      <c r="G553">
        <v>4</v>
      </c>
      <c r="H553">
        <v>1</v>
      </c>
      <c r="I553">
        <v>1</v>
      </c>
      <c r="J553">
        <v>0.82750000000000001</v>
      </c>
      <c r="K553">
        <v>0.76136700000000002</v>
      </c>
      <c r="L553">
        <v>0.45791700000000002</v>
      </c>
      <c r="M553">
        <v>0.19402900000000001</v>
      </c>
      <c r="N553">
        <v>1405</v>
      </c>
      <c r="O553">
        <v>4836</v>
      </c>
      <c r="P553">
        <v>6241</v>
      </c>
    </row>
    <row r="554" spans="1:16" x14ac:dyDescent="0.3">
      <c r="A554">
        <v>553</v>
      </c>
      <c r="B554" s="1">
        <v>41096</v>
      </c>
      <c r="C554">
        <v>3</v>
      </c>
      <c r="D554">
        <v>1</v>
      </c>
      <c r="E554">
        <v>7</v>
      </c>
      <c r="F554">
        <v>0</v>
      </c>
      <c r="G554">
        <v>5</v>
      </c>
      <c r="H554">
        <v>1</v>
      </c>
      <c r="I554">
        <v>1</v>
      </c>
      <c r="J554">
        <v>0.82833299999999999</v>
      </c>
      <c r="K554">
        <v>0.75253300000000001</v>
      </c>
      <c r="L554">
        <v>0.45083299999999998</v>
      </c>
      <c r="M554">
        <v>0.14614199999999999</v>
      </c>
      <c r="N554">
        <v>1366</v>
      </c>
      <c r="O554">
        <v>4841</v>
      </c>
      <c r="P554">
        <v>6207</v>
      </c>
    </row>
    <row r="555" spans="1:16" x14ac:dyDescent="0.3">
      <c r="A555">
        <v>554</v>
      </c>
      <c r="B555" s="1">
        <v>41097</v>
      </c>
      <c r="C555">
        <v>3</v>
      </c>
      <c r="D555">
        <v>1</v>
      </c>
      <c r="E555">
        <v>7</v>
      </c>
      <c r="F555">
        <v>0</v>
      </c>
      <c r="G555">
        <v>6</v>
      </c>
      <c r="H555">
        <v>0</v>
      </c>
      <c r="I555">
        <v>1</v>
      </c>
      <c r="J555">
        <v>0.86166699999999996</v>
      </c>
      <c r="K555">
        <v>0.80491299999999999</v>
      </c>
      <c r="L555">
        <v>0.49208299999999999</v>
      </c>
      <c r="M555">
        <v>0.163554</v>
      </c>
      <c r="N555">
        <v>1448</v>
      </c>
      <c r="O555">
        <v>3392</v>
      </c>
      <c r="P555">
        <v>4840</v>
      </c>
    </row>
    <row r="556" spans="1:16" x14ac:dyDescent="0.3">
      <c r="A556">
        <v>555</v>
      </c>
      <c r="B556" s="1">
        <v>41098</v>
      </c>
      <c r="C556">
        <v>3</v>
      </c>
      <c r="D556">
        <v>1</v>
      </c>
      <c r="E556">
        <v>7</v>
      </c>
      <c r="F556">
        <v>0</v>
      </c>
      <c r="G556">
        <v>0</v>
      </c>
      <c r="H556">
        <v>0</v>
      </c>
      <c r="I556">
        <v>1</v>
      </c>
      <c r="J556">
        <v>0.82250000000000001</v>
      </c>
      <c r="K556">
        <v>0.79039599999999999</v>
      </c>
      <c r="L556">
        <v>0.57374999999999998</v>
      </c>
      <c r="M556">
        <v>0.12562899999999999</v>
      </c>
      <c r="N556">
        <v>1203</v>
      </c>
      <c r="O556">
        <v>3469</v>
      </c>
      <c r="P556">
        <v>4672</v>
      </c>
    </row>
    <row r="557" spans="1:16" x14ac:dyDescent="0.3">
      <c r="A557">
        <v>556</v>
      </c>
      <c r="B557" s="1">
        <v>41099</v>
      </c>
      <c r="C557">
        <v>3</v>
      </c>
      <c r="D557">
        <v>1</v>
      </c>
      <c r="E557">
        <v>7</v>
      </c>
      <c r="F557">
        <v>0</v>
      </c>
      <c r="G557">
        <v>1</v>
      </c>
      <c r="H557">
        <v>1</v>
      </c>
      <c r="I557">
        <v>2</v>
      </c>
      <c r="J557">
        <v>0.71083300000000005</v>
      </c>
      <c r="K557">
        <v>0.65405400000000002</v>
      </c>
      <c r="L557">
        <v>0.68333299999999997</v>
      </c>
      <c r="M557">
        <v>0.180975</v>
      </c>
      <c r="N557">
        <v>998</v>
      </c>
      <c r="O557">
        <v>5571</v>
      </c>
      <c r="P557">
        <v>6569</v>
      </c>
    </row>
    <row r="558" spans="1:16" x14ac:dyDescent="0.3">
      <c r="A558">
        <v>557</v>
      </c>
      <c r="B558" s="1">
        <v>41100</v>
      </c>
      <c r="C558">
        <v>3</v>
      </c>
      <c r="D558">
        <v>1</v>
      </c>
      <c r="E558">
        <v>7</v>
      </c>
      <c r="F558">
        <v>0</v>
      </c>
      <c r="G558">
        <v>2</v>
      </c>
      <c r="H558">
        <v>1</v>
      </c>
      <c r="I558">
        <v>2</v>
      </c>
      <c r="J558">
        <v>0.72083299999999995</v>
      </c>
      <c r="K558">
        <v>0.66479600000000005</v>
      </c>
      <c r="L558">
        <v>0.66749999999999998</v>
      </c>
      <c r="M558">
        <v>0.15173700000000001</v>
      </c>
      <c r="N558">
        <v>954</v>
      </c>
      <c r="O558">
        <v>5336</v>
      </c>
      <c r="P558">
        <v>6290</v>
      </c>
    </row>
    <row r="559" spans="1:16" x14ac:dyDescent="0.3">
      <c r="A559">
        <v>558</v>
      </c>
      <c r="B559" s="1">
        <v>41101</v>
      </c>
      <c r="C559">
        <v>3</v>
      </c>
      <c r="D559">
        <v>1</v>
      </c>
      <c r="E559">
        <v>7</v>
      </c>
      <c r="F559">
        <v>0</v>
      </c>
      <c r="G559">
        <v>3</v>
      </c>
      <c r="H559">
        <v>1</v>
      </c>
      <c r="I559">
        <v>1</v>
      </c>
      <c r="J559">
        <v>0.71666700000000005</v>
      </c>
      <c r="K559">
        <v>0.65027100000000004</v>
      </c>
      <c r="L559">
        <v>0.63333300000000003</v>
      </c>
      <c r="M559">
        <v>0.15173300000000001</v>
      </c>
      <c r="N559">
        <v>975</v>
      </c>
      <c r="O559">
        <v>6289</v>
      </c>
      <c r="P559">
        <v>7264</v>
      </c>
    </row>
    <row r="560" spans="1:16" x14ac:dyDescent="0.3">
      <c r="A560">
        <v>559</v>
      </c>
      <c r="B560" s="1">
        <v>41102</v>
      </c>
      <c r="C560">
        <v>3</v>
      </c>
      <c r="D560">
        <v>1</v>
      </c>
      <c r="E560">
        <v>7</v>
      </c>
      <c r="F560">
        <v>0</v>
      </c>
      <c r="G560">
        <v>4</v>
      </c>
      <c r="H560">
        <v>1</v>
      </c>
      <c r="I560">
        <v>1</v>
      </c>
      <c r="J560">
        <v>0.71583300000000005</v>
      </c>
      <c r="K560">
        <v>0.65468300000000001</v>
      </c>
      <c r="L560">
        <v>0.52958300000000003</v>
      </c>
      <c r="M560">
        <v>0.14677499999999999</v>
      </c>
      <c r="N560">
        <v>1032</v>
      </c>
      <c r="O560">
        <v>6414</v>
      </c>
      <c r="P560">
        <v>7446</v>
      </c>
    </row>
    <row r="561" spans="1:16" x14ac:dyDescent="0.3">
      <c r="A561">
        <v>560</v>
      </c>
      <c r="B561" s="1">
        <v>41103</v>
      </c>
      <c r="C561">
        <v>3</v>
      </c>
      <c r="D561">
        <v>1</v>
      </c>
      <c r="E561">
        <v>7</v>
      </c>
      <c r="F561">
        <v>0</v>
      </c>
      <c r="G561">
        <v>5</v>
      </c>
      <c r="H561">
        <v>1</v>
      </c>
      <c r="I561">
        <v>2</v>
      </c>
      <c r="J561">
        <v>0.73166699999999996</v>
      </c>
      <c r="K561">
        <v>0.667933</v>
      </c>
      <c r="L561">
        <v>0.48583300000000001</v>
      </c>
      <c r="M561">
        <v>8.0850000000000005E-2</v>
      </c>
      <c r="N561">
        <v>1511</v>
      </c>
      <c r="O561">
        <v>5988</v>
      </c>
      <c r="P561">
        <v>7499</v>
      </c>
    </row>
    <row r="562" spans="1:16" x14ac:dyDescent="0.3">
      <c r="A562">
        <v>561</v>
      </c>
      <c r="B562" s="1">
        <v>41104</v>
      </c>
      <c r="C562">
        <v>3</v>
      </c>
      <c r="D562">
        <v>1</v>
      </c>
      <c r="E562">
        <v>7</v>
      </c>
      <c r="F562">
        <v>0</v>
      </c>
      <c r="G562">
        <v>6</v>
      </c>
      <c r="H562">
        <v>0</v>
      </c>
      <c r="I562">
        <v>2</v>
      </c>
      <c r="J562">
        <v>0.70333299999999999</v>
      </c>
      <c r="K562">
        <v>0.66604200000000002</v>
      </c>
      <c r="L562">
        <v>0.69916699999999998</v>
      </c>
      <c r="M562">
        <v>0.143679</v>
      </c>
      <c r="N562">
        <v>2355</v>
      </c>
      <c r="O562">
        <v>4614</v>
      </c>
      <c r="P562">
        <v>6969</v>
      </c>
    </row>
    <row r="563" spans="1:16" x14ac:dyDescent="0.3">
      <c r="A563">
        <v>562</v>
      </c>
      <c r="B563" s="1">
        <v>41105</v>
      </c>
      <c r="C563">
        <v>3</v>
      </c>
      <c r="D563">
        <v>1</v>
      </c>
      <c r="E563">
        <v>7</v>
      </c>
      <c r="F563">
        <v>0</v>
      </c>
      <c r="G563">
        <v>0</v>
      </c>
      <c r="H563">
        <v>0</v>
      </c>
      <c r="I563">
        <v>1</v>
      </c>
      <c r="J563">
        <v>0.74583299999999997</v>
      </c>
      <c r="K563">
        <v>0.70519600000000005</v>
      </c>
      <c r="L563">
        <v>0.71791700000000003</v>
      </c>
      <c r="M563">
        <v>0.16666700000000001</v>
      </c>
      <c r="N563">
        <v>1920</v>
      </c>
      <c r="O563">
        <v>4111</v>
      </c>
      <c r="P563">
        <v>6031</v>
      </c>
    </row>
    <row r="564" spans="1:16" x14ac:dyDescent="0.3">
      <c r="A564">
        <v>563</v>
      </c>
      <c r="B564" s="1">
        <v>41106</v>
      </c>
      <c r="C564">
        <v>3</v>
      </c>
      <c r="D564">
        <v>1</v>
      </c>
      <c r="E564">
        <v>7</v>
      </c>
      <c r="F564">
        <v>0</v>
      </c>
      <c r="G564">
        <v>1</v>
      </c>
      <c r="H564">
        <v>1</v>
      </c>
      <c r="I564">
        <v>1</v>
      </c>
      <c r="J564">
        <v>0.76333300000000004</v>
      </c>
      <c r="K564">
        <v>0.72412500000000002</v>
      </c>
      <c r="L564">
        <v>0.64500000000000002</v>
      </c>
      <c r="M564">
        <v>0.164187</v>
      </c>
      <c r="N564">
        <v>1088</v>
      </c>
      <c r="O564">
        <v>5742</v>
      </c>
      <c r="P564">
        <v>6830</v>
      </c>
    </row>
    <row r="565" spans="1:16" x14ac:dyDescent="0.3">
      <c r="A565">
        <v>564</v>
      </c>
      <c r="B565" s="1">
        <v>41107</v>
      </c>
      <c r="C565">
        <v>3</v>
      </c>
      <c r="D565">
        <v>1</v>
      </c>
      <c r="E565">
        <v>7</v>
      </c>
      <c r="F565">
        <v>0</v>
      </c>
      <c r="G565">
        <v>2</v>
      </c>
      <c r="H565">
        <v>1</v>
      </c>
      <c r="I565">
        <v>1</v>
      </c>
      <c r="J565">
        <v>0.81833299999999998</v>
      </c>
      <c r="K565">
        <v>0.75568299999999999</v>
      </c>
      <c r="L565">
        <v>0.50583299999999998</v>
      </c>
      <c r="M565">
        <v>0.114429</v>
      </c>
      <c r="N565">
        <v>921</v>
      </c>
      <c r="O565">
        <v>5865</v>
      </c>
      <c r="P565">
        <v>6786</v>
      </c>
    </row>
    <row r="566" spans="1:16" x14ac:dyDescent="0.3">
      <c r="A566">
        <v>565</v>
      </c>
      <c r="B566" s="1">
        <v>41108</v>
      </c>
      <c r="C566">
        <v>3</v>
      </c>
      <c r="D566">
        <v>1</v>
      </c>
      <c r="E566">
        <v>7</v>
      </c>
      <c r="F566">
        <v>0</v>
      </c>
      <c r="G566">
        <v>3</v>
      </c>
      <c r="H566">
        <v>1</v>
      </c>
      <c r="I566">
        <v>1</v>
      </c>
      <c r="J566">
        <v>0.79333299999999995</v>
      </c>
      <c r="K566">
        <v>0.745583</v>
      </c>
      <c r="L566">
        <v>0.57708300000000001</v>
      </c>
      <c r="M566">
        <v>0.13744200000000001</v>
      </c>
      <c r="N566">
        <v>799</v>
      </c>
      <c r="O566">
        <v>4914</v>
      </c>
      <c r="P566">
        <v>5713</v>
      </c>
    </row>
    <row r="567" spans="1:16" x14ac:dyDescent="0.3">
      <c r="A567">
        <v>566</v>
      </c>
      <c r="B567" s="1">
        <v>41109</v>
      </c>
      <c r="C567">
        <v>3</v>
      </c>
      <c r="D567">
        <v>1</v>
      </c>
      <c r="E567">
        <v>7</v>
      </c>
      <c r="F567">
        <v>0</v>
      </c>
      <c r="G567">
        <v>4</v>
      </c>
      <c r="H567">
        <v>1</v>
      </c>
      <c r="I567">
        <v>1</v>
      </c>
      <c r="J567">
        <v>0.77</v>
      </c>
      <c r="K567">
        <v>0.714642</v>
      </c>
      <c r="L567">
        <v>0.60041699999999998</v>
      </c>
      <c r="M567">
        <v>0.16542899999999999</v>
      </c>
      <c r="N567">
        <v>888</v>
      </c>
      <c r="O567">
        <v>5703</v>
      </c>
      <c r="P567">
        <v>6591</v>
      </c>
    </row>
    <row r="568" spans="1:16" x14ac:dyDescent="0.3">
      <c r="A568">
        <v>567</v>
      </c>
      <c r="B568" s="1">
        <v>41110</v>
      </c>
      <c r="C568">
        <v>3</v>
      </c>
      <c r="D568">
        <v>1</v>
      </c>
      <c r="E568">
        <v>7</v>
      </c>
      <c r="F568">
        <v>0</v>
      </c>
      <c r="G568">
        <v>5</v>
      </c>
      <c r="H568">
        <v>1</v>
      </c>
      <c r="I568">
        <v>2</v>
      </c>
      <c r="J568">
        <v>0.66583300000000001</v>
      </c>
      <c r="K568">
        <v>0.61302500000000004</v>
      </c>
      <c r="L568">
        <v>0.844167</v>
      </c>
      <c r="M568">
        <v>0.20896700000000001</v>
      </c>
      <c r="N568">
        <v>747</v>
      </c>
      <c r="O568">
        <v>5123</v>
      </c>
      <c r="P568">
        <v>5870</v>
      </c>
    </row>
    <row r="569" spans="1:16" x14ac:dyDescent="0.3">
      <c r="A569">
        <v>568</v>
      </c>
      <c r="B569" s="1">
        <v>41111</v>
      </c>
      <c r="C569">
        <v>3</v>
      </c>
      <c r="D569">
        <v>1</v>
      </c>
      <c r="E569">
        <v>7</v>
      </c>
      <c r="F569">
        <v>0</v>
      </c>
      <c r="G569">
        <v>6</v>
      </c>
      <c r="H569">
        <v>0</v>
      </c>
      <c r="I569">
        <v>3</v>
      </c>
      <c r="J569">
        <v>0.59583299999999995</v>
      </c>
      <c r="K569">
        <v>0.54991199999999996</v>
      </c>
      <c r="L569">
        <v>0.86541699999999999</v>
      </c>
      <c r="M569">
        <v>0.21329999999999999</v>
      </c>
      <c r="N569">
        <v>1264</v>
      </c>
      <c r="O569">
        <v>3195</v>
      </c>
      <c r="P569">
        <v>4459</v>
      </c>
    </row>
    <row r="570" spans="1:16" x14ac:dyDescent="0.3">
      <c r="A570">
        <v>569</v>
      </c>
      <c r="B570" s="1">
        <v>41112</v>
      </c>
      <c r="C570">
        <v>3</v>
      </c>
      <c r="D570">
        <v>1</v>
      </c>
      <c r="E570">
        <v>7</v>
      </c>
      <c r="F570">
        <v>0</v>
      </c>
      <c r="G570">
        <v>0</v>
      </c>
      <c r="H570">
        <v>0</v>
      </c>
      <c r="I570">
        <v>2</v>
      </c>
      <c r="J570">
        <v>0.66749999999999998</v>
      </c>
      <c r="K570">
        <v>0.62312500000000004</v>
      </c>
      <c r="L570">
        <v>0.76249999999999996</v>
      </c>
      <c r="M570">
        <v>9.3920799999999999E-2</v>
      </c>
      <c r="N570">
        <v>2544</v>
      </c>
      <c r="O570">
        <v>4866</v>
      </c>
      <c r="P570">
        <v>7410</v>
      </c>
    </row>
    <row r="571" spans="1:16" x14ac:dyDescent="0.3">
      <c r="A571">
        <v>570</v>
      </c>
      <c r="B571" s="1">
        <v>41113</v>
      </c>
      <c r="C571">
        <v>3</v>
      </c>
      <c r="D571">
        <v>1</v>
      </c>
      <c r="E571">
        <v>7</v>
      </c>
      <c r="F571">
        <v>0</v>
      </c>
      <c r="G571">
        <v>1</v>
      </c>
      <c r="H571">
        <v>1</v>
      </c>
      <c r="I571">
        <v>1</v>
      </c>
      <c r="J571">
        <v>0.74166699999999997</v>
      </c>
      <c r="K571">
        <v>0.69001699999999999</v>
      </c>
      <c r="L571">
        <v>0.69416699999999998</v>
      </c>
      <c r="M571">
        <v>0.138683</v>
      </c>
      <c r="N571">
        <v>1135</v>
      </c>
      <c r="O571">
        <v>5831</v>
      </c>
      <c r="P571">
        <v>6966</v>
      </c>
    </row>
    <row r="572" spans="1:16" x14ac:dyDescent="0.3">
      <c r="A572">
        <v>571</v>
      </c>
      <c r="B572" s="1">
        <v>41114</v>
      </c>
      <c r="C572">
        <v>3</v>
      </c>
      <c r="D572">
        <v>1</v>
      </c>
      <c r="E572">
        <v>7</v>
      </c>
      <c r="F572">
        <v>0</v>
      </c>
      <c r="G572">
        <v>2</v>
      </c>
      <c r="H572">
        <v>1</v>
      </c>
      <c r="I572">
        <v>1</v>
      </c>
      <c r="J572">
        <v>0.75083299999999997</v>
      </c>
      <c r="K572">
        <v>0.70645000000000002</v>
      </c>
      <c r="L572">
        <v>0.65500000000000003</v>
      </c>
      <c r="M572">
        <v>0.211454</v>
      </c>
      <c r="N572">
        <v>1140</v>
      </c>
      <c r="O572">
        <v>6452</v>
      </c>
      <c r="P572">
        <v>7592</v>
      </c>
    </row>
    <row r="573" spans="1:16" x14ac:dyDescent="0.3">
      <c r="A573">
        <v>572</v>
      </c>
      <c r="B573" s="1">
        <v>41115</v>
      </c>
      <c r="C573">
        <v>3</v>
      </c>
      <c r="D573">
        <v>1</v>
      </c>
      <c r="E573">
        <v>7</v>
      </c>
      <c r="F573">
        <v>0</v>
      </c>
      <c r="G573">
        <v>3</v>
      </c>
      <c r="H573">
        <v>1</v>
      </c>
      <c r="I573">
        <v>1</v>
      </c>
      <c r="J573">
        <v>0.72416700000000001</v>
      </c>
      <c r="K573">
        <v>0.65405400000000002</v>
      </c>
      <c r="L573">
        <v>0.45</v>
      </c>
      <c r="M573">
        <v>0.1648</v>
      </c>
      <c r="N573">
        <v>1383</v>
      </c>
      <c r="O573">
        <v>6790</v>
      </c>
      <c r="P573">
        <v>8173</v>
      </c>
    </row>
    <row r="574" spans="1:16" x14ac:dyDescent="0.3">
      <c r="A574">
        <v>573</v>
      </c>
      <c r="B574" s="1">
        <v>41116</v>
      </c>
      <c r="C574">
        <v>3</v>
      </c>
      <c r="D574">
        <v>1</v>
      </c>
      <c r="E574">
        <v>7</v>
      </c>
      <c r="F574">
        <v>0</v>
      </c>
      <c r="G574">
        <v>4</v>
      </c>
      <c r="H574">
        <v>1</v>
      </c>
      <c r="I574">
        <v>1</v>
      </c>
      <c r="J574">
        <v>0.776667</v>
      </c>
      <c r="K574">
        <v>0.739263</v>
      </c>
      <c r="L574">
        <v>0.59666699999999995</v>
      </c>
      <c r="M574">
        <v>0.28481299999999998</v>
      </c>
      <c r="N574">
        <v>1036</v>
      </c>
      <c r="O574">
        <v>5825</v>
      </c>
      <c r="P574">
        <v>6861</v>
      </c>
    </row>
    <row r="575" spans="1:16" x14ac:dyDescent="0.3">
      <c r="A575">
        <v>574</v>
      </c>
      <c r="B575" s="1">
        <v>41117</v>
      </c>
      <c r="C575">
        <v>3</v>
      </c>
      <c r="D575">
        <v>1</v>
      </c>
      <c r="E575">
        <v>7</v>
      </c>
      <c r="F575">
        <v>0</v>
      </c>
      <c r="G575">
        <v>5</v>
      </c>
      <c r="H575">
        <v>1</v>
      </c>
      <c r="I575">
        <v>1</v>
      </c>
      <c r="J575">
        <v>0.781667</v>
      </c>
      <c r="K575">
        <v>0.73421700000000001</v>
      </c>
      <c r="L575">
        <v>0.59458299999999997</v>
      </c>
      <c r="M575">
        <v>0.15299199999999999</v>
      </c>
      <c r="N575">
        <v>1259</v>
      </c>
      <c r="O575">
        <v>5645</v>
      </c>
      <c r="P575">
        <v>6904</v>
      </c>
    </row>
    <row r="576" spans="1:16" x14ac:dyDescent="0.3">
      <c r="A576">
        <v>575</v>
      </c>
      <c r="B576" s="1">
        <v>41118</v>
      </c>
      <c r="C576">
        <v>3</v>
      </c>
      <c r="D576">
        <v>1</v>
      </c>
      <c r="E576">
        <v>7</v>
      </c>
      <c r="F576">
        <v>0</v>
      </c>
      <c r="G576">
        <v>6</v>
      </c>
      <c r="H576">
        <v>0</v>
      </c>
      <c r="I576">
        <v>1</v>
      </c>
      <c r="J576">
        <v>0.75583299999999998</v>
      </c>
      <c r="K576">
        <v>0.697604</v>
      </c>
      <c r="L576">
        <v>0.61333300000000002</v>
      </c>
      <c r="M576">
        <v>0.15734999999999999</v>
      </c>
      <c r="N576">
        <v>2234</v>
      </c>
      <c r="O576">
        <v>4451</v>
      </c>
      <c r="P576">
        <v>6685</v>
      </c>
    </row>
    <row r="577" spans="1:16" x14ac:dyDescent="0.3">
      <c r="A577">
        <v>576</v>
      </c>
      <c r="B577" s="1">
        <v>41119</v>
      </c>
      <c r="C577">
        <v>3</v>
      </c>
      <c r="D577">
        <v>1</v>
      </c>
      <c r="E577">
        <v>7</v>
      </c>
      <c r="F577">
        <v>0</v>
      </c>
      <c r="G577">
        <v>0</v>
      </c>
      <c r="H577">
        <v>0</v>
      </c>
      <c r="I577">
        <v>1</v>
      </c>
      <c r="J577">
        <v>0.72166699999999995</v>
      </c>
      <c r="K577">
        <v>0.667933</v>
      </c>
      <c r="L577">
        <v>0.62375000000000003</v>
      </c>
      <c r="M577">
        <v>0.17039599999999999</v>
      </c>
      <c r="N577">
        <v>2153</v>
      </c>
      <c r="O577">
        <v>4444</v>
      </c>
      <c r="P577">
        <v>6597</v>
      </c>
    </row>
    <row r="578" spans="1:16" x14ac:dyDescent="0.3">
      <c r="A578">
        <v>577</v>
      </c>
      <c r="B578" s="1">
        <v>41120</v>
      </c>
      <c r="C578">
        <v>3</v>
      </c>
      <c r="D578">
        <v>1</v>
      </c>
      <c r="E578">
        <v>7</v>
      </c>
      <c r="F578">
        <v>0</v>
      </c>
      <c r="G578">
        <v>1</v>
      </c>
      <c r="H578">
        <v>1</v>
      </c>
      <c r="I578">
        <v>1</v>
      </c>
      <c r="J578">
        <v>0.73083299999999995</v>
      </c>
      <c r="K578">
        <v>0.68498700000000001</v>
      </c>
      <c r="L578">
        <v>0.66874999999999996</v>
      </c>
      <c r="M578">
        <v>0.153617</v>
      </c>
      <c r="N578">
        <v>1040</v>
      </c>
      <c r="O578">
        <v>6065</v>
      </c>
      <c r="P578">
        <v>7105</v>
      </c>
    </row>
    <row r="579" spans="1:16" x14ac:dyDescent="0.3">
      <c r="A579">
        <v>578</v>
      </c>
      <c r="B579" s="1">
        <v>41121</v>
      </c>
      <c r="C579">
        <v>3</v>
      </c>
      <c r="D579">
        <v>1</v>
      </c>
      <c r="E579">
        <v>7</v>
      </c>
      <c r="F579">
        <v>0</v>
      </c>
      <c r="G579">
        <v>2</v>
      </c>
      <c r="H579">
        <v>1</v>
      </c>
      <c r="I579">
        <v>1</v>
      </c>
      <c r="J579">
        <v>0.71333299999999999</v>
      </c>
      <c r="K579">
        <v>0.66289600000000004</v>
      </c>
      <c r="L579">
        <v>0.70416699999999999</v>
      </c>
      <c r="M579">
        <v>0.16542499999999999</v>
      </c>
      <c r="N579">
        <v>968</v>
      </c>
      <c r="O579">
        <v>6248</v>
      </c>
      <c r="P579">
        <v>7216</v>
      </c>
    </row>
    <row r="580" spans="1:16" x14ac:dyDescent="0.3">
      <c r="A580">
        <v>579</v>
      </c>
      <c r="B580" s="1">
        <v>41122</v>
      </c>
      <c r="C580">
        <v>3</v>
      </c>
      <c r="D580">
        <v>1</v>
      </c>
      <c r="E580">
        <v>8</v>
      </c>
      <c r="F580">
        <v>0</v>
      </c>
      <c r="G580">
        <v>3</v>
      </c>
      <c r="H580">
        <v>1</v>
      </c>
      <c r="I580">
        <v>1</v>
      </c>
      <c r="J580">
        <v>0.71750000000000003</v>
      </c>
      <c r="K580">
        <v>0.66730800000000001</v>
      </c>
      <c r="L580">
        <v>0.67749999999999999</v>
      </c>
      <c r="M580">
        <v>0.141179</v>
      </c>
      <c r="N580">
        <v>1074</v>
      </c>
      <c r="O580">
        <v>6506</v>
      </c>
      <c r="P580">
        <v>7580</v>
      </c>
    </row>
    <row r="581" spans="1:16" x14ac:dyDescent="0.3">
      <c r="A581">
        <v>580</v>
      </c>
      <c r="B581" s="1">
        <v>41123</v>
      </c>
      <c r="C581">
        <v>3</v>
      </c>
      <c r="D581">
        <v>1</v>
      </c>
      <c r="E581">
        <v>8</v>
      </c>
      <c r="F581">
        <v>0</v>
      </c>
      <c r="G581">
        <v>4</v>
      </c>
      <c r="H581">
        <v>1</v>
      </c>
      <c r="I581">
        <v>1</v>
      </c>
      <c r="J581">
        <v>0.75249999999999995</v>
      </c>
      <c r="K581">
        <v>0.70708800000000005</v>
      </c>
      <c r="L581">
        <v>0.65958300000000003</v>
      </c>
      <c r="M581">
        <v>0.129354</v>
      </c>
      <c r="N581">
        <v>983</v>
      </c>
      <c r="O581">
        <v>6278</v>
      </c>
      <c r="P581">
        <v>7261</v>
      </c>
    </row>
    <row r="582" spans="1:16" x14ac:dyDescent="0.3">
      <c r="A582">
        <v>581</v>
      </c>
      <c r="B582" s="1">
        <v>41124</v>
      </c>
      <c r="C582">
        <v>3</v>
      </c>
      <c r="D582">
        <v>1</v>
      </c>
      <c r="E582">
        <v>8</v>
      </c>
      <c r="F582">
        <v>0</v>
      </c>
      <c r="G582">
        <v>5</v>
      </c>
      <c r="H582">
        <v>1</v>
      </c>
      <c r="I582">
        <v>2</v>
      </c>
      <c r="J582">
        <v>0.76583299999999999</v>
      </c>
      <c r="K582">
        <v>0.72286700000000004</v>
      </c>
      <c r="L582">
        <v>0.64249999999999996</v>
      </c>
      <c r="M582">
        <v>0.21579200000000001</v>
      </c>
      <c r="N582">
        <v>1328</v>
      </c>
      <c r="O582">
        <v>5847</v>
      </c>
      <c r="P582">
        <v>7175</v>
      </c>
    </row>
    <row r="583" spans="1:16" x14ac:dyDescent="0.3">
      <c r="A583">
        <v>582</v>
      </c>
      <c r="B583" s="1">
        <v>41125</v>
      </c>
      <c r="C583">
        <v>3</v>
      </c>
      <c r="D583">
        <v>1</v>
      </c>
      <c r="E583">
        <v>8</v>
      </c>
      <c r="F583">
        <v>0</v>
      </c>
      <c r="G583">
        <v>6</v>
      </c>
      <c r="H583">
        <v>0</v>
      </c>
      <c r="I583">
        <v>1</v>
      </c>
      <c r="J583">
        <v>0.79333299999999995</v>
      </c>
      <c r="K583">
        <v>0.75126700000000002</v>
      </c>
      <c r="L583">
        <v>0.61333300000000002</v>
      </c>
      <c r="M583">
        <v>0.25745800000000002</v>
      </c>
      <c r="N583">
        <v>2345</v>
      </c>
      <c r="O583">
        <v>4479</v>
      </c>
      <c r="P583">
        <v>6824</v>
      </c>
    </row>
    <row r="584" spans="1:16" x14ac:dyDescent="0.3">
      <c r="A584">
        <v>583</v>
      </c>
      <c r="B584" s="1">
        <v>41126</v>
      </c>
      <c r="C584">
        <v>3</v>
      </c>
      <c r="D584">
        <v>1</v>
      </c>
      <c r="E584">
        <v>8</v>
      </c>
      <c r="F584">
        <v>0</v>
      </c>
      <c r="G584">
        <v>0</v>
      </c>
      <c r="H584">
        <v>0</v>
      </c>
      <c r="I584">
        <v>1</v>
      </c>
      <c r="J584">
        <v>0.76916700000000005</v>
      </c>
      <c r="K584">
        <v>0.73107900000000003</v>
      </c>
      <c r="L584">
        <v>0.65249999999999997</v>
      </c>
      <c r="M584">
        <v>0.29042099999999998</v>
      </c>
      <c r="N584">
        <v>1707</v>
      </c>
      <c r="O584">
        <v>3757</v>
      </c>
      <c r="P584">
        <v>5464</v>
      </c>
    </row>
    <row r="585" spans="1:16" x14ac:dyDescent="0.3">
      <c r="A585">
        <v>584</v>
      </c>
      <c r="B585" s="1">
        <v>41127</v>
      </c>
      <c r="C585">
        <v>3</v>
      </c>
      <c r="D585">
        <v>1</v>
      </c>
      <c r="E585">
        <v>8</v>
      </c>
      <c r="F585">
        <v>0</v>
      </c>
      <c r="G585">
        <v>1</v>
      </c>
      <c r="H585">
        <v>1</v>
      </c>
      <c r="I585">
        <v>2</v>
      </c>
      <c r="J585">
        <v>0.75249999999999995</v>
      </c>
      <c r="K585">
        <v>0.71024600000000004</v>
      </c>
      <c r="L585">
        <v>0.65416700000000005</v>
      </c>
      <c r="M585">
        <v>0.129354</v>
      </c>
      <c r="N585">
        <v>1233</v>
      </c>
      <c r="O585">
        <v>5780</v>
      </c>
      <c r="P585">
        <v>7013</v>
      </c>
    </row>
    <row r="586" spans="1:16" x14ac:dyDescent="0.3">
      <c r="A586">
        <v>585</v>
      </c>
      <c r="B586" s="1">
        <v>41128</v>
      </c>
      <c r="C586">
        <v>3</v>
      </c>
      <c r="D586">
        <v>1</v>
      </c>
      <c r="E586">
        <v>8</v>
      </c>
      <c r="F586">
        <v>0</v>
      </c>
      <c r="G586">
        <v>2</v>
      </c>
      <c r="H586">
        <v>1</v>
      </c>
      <c r="I586">
        <v>2</v>
      </c>
      <c r="J586">
        <v>0.73583299999999996</v>
      </c>
      <c r="K586">
        <v>0.69762100000000005</v>
      </c>
      <c r="L586">
        <v>0.70374999999999999</v>
      </c>
      <c r="M586">
        <v>0.116908</v>
      </c>
      <c r="N586">
        <v>1278</v>
      </c>
      <c r="O586">
        <v>5995</v>
      </c>
      <c r="P586">
        <v>7273</v>
      </c>
    </row>
    <row r="587" spans="1:16" x14ac:dyDescent="0.3">
      <c r="A587">
        <v>586</v>
      </c>
      <c r="B587" s="1">
        <v>41129</v>
      </c>
      <c r="C587">
        <v>3</v>
      </c>
      <c r="D587">
        <v>1</v>
      </c>
      <c r="E587">
        <v>8</v>
      </c>
      <c r="F587">
        <v>0</v>
      </c>
      <c r="G587">
        <v>3</v>
      </c>
      <c r="H587">
        <v>1</v>
      </c>
      <c r="I587">
        <v>2</v>
      </c>
      <c r="J587">
        <v>0.75</v>
      </c>
      <c r="K587">
        <v>0.70771700000000004</v>
      </c>
      <c r="L587">
        <v>0.67291699999999999</v>
      </c>
      <c r="M587">
        <v>0.11070000000000001</v>
      </c>
      <c r="N587">
        <v>1263</v>
      </c>
      <c r="O587">
        <v>6271</v>
      </c>
      <c r="P587">
        <v>7534</v>
      </c>
    </row>
    <row r="588" spans="1:16" x14ac:dyDescent="0.3">
      <c r="A588">
        <v>587</v>
      </c>
      <c r="B588" s="1">
        <v>41130</v>
      </c>
      <c r="C588">
        <v>3</v>
      </c>
      <c r="D588">
        <v>1</v>
      </c>
      <c r="E588">
        <v>8</v>
      </c>
      <c r="F588">
        <v>0</v>
      </c>
      <c r="G588">
        <v>4</v>
      </c>
      <c r="H588">
        <v>1</v>
      </c>
      <c r="I588">
        <v>1</v>
      </c>
      <c r="J588">
        <v>0.75583299999999998</v>
      </c>
      <c r="K588">
        <v>0.69950800000000002</v>
      </c>
      <c r="L588">
        <v>0.620417</v>
      </c>
      <c r="M588">
        <v>0.15609999999999999</v>
      </c>
      <c r="N588">
        <v>1196</v>
      </c>
      <c r="O588">
        <v>6090</v>
      </c>
      <c r="P588">
        <v>7286</v>
      </c>
    </row>
    <row r="589" spans="1:16" x14ac:dyDescent="0.3">
      <c r="A589">
        <v>588</v>
      </c>
      <c r="B589" s="1">
        <v>41131</v>
      </c>
      <c r="C589">
        <v>3</v>
      </c>
      <c r="D589">
        <v>1</v>
      </c>
      <c r="E589">
        <v>8</v>
      </c>
      <c r="F589">
        <v>0</v>
      </c>
      <c r="G589">
        <v>5</v>
      </c>
      <c r="H589">
        <v>1</v>
      </c>
      <c r="I589">
        <v>2</v>
      </c>
      <c r="J589">
        <v>0.71583300000000005</v>
      </c>
      <c r="K589">
        <v>0.66794200000000004</v>
      </c>
      <c r="L589">
        <v>0.71583300000000005</v>
      </c>
      <c r="M589">
        <v>0.238813</v>
      </c>
      <c r="N589">
        <v>1065</v>
      </c>
      <c r="O589">
        <v>4721</v>
      </c>
      <c r="P589">
        <v>5786</v>
      </c>
    </row>
    <row r="590" spans="1:16" x14ac:dyDescent="0.3">
      <c r="A590">
        <v>589</v>
      </c>
      <c r="B590" s="1">
        <v>41132</v>
      </c>
      <c r="C590">
        <v>3</v>
      </c>
      <c r="D590">
        <v>1</v>
      </c>
      <c r="E590">
        <v>8</v>
      </c>
      <c r="F590">
        <v>0</v>
      </c>
      <c r="G590">
        <v>6</v>
      </c>
      <c r="H590">
        <v>0</v>
      </c>
      <c r="I590">
        <v>2</v>
      </c>
      <c r="J590">
        <v>0.6925</v>
      </c>
      <c r="K590">
        <v>0.63826700000000003</v>
      </c>
      <c r="L590">
        <v>0.73291700000000004</v>
      </c>
      <c r="M590">
        <v>0.206479</v>
      </c>
      <c r="N590">
        <v>2247</v>
      </c>
      <c r="O590">
        <v>4052</v>
      </c>
      <c r="P590">
        <v>6299</v>
      </c>
    </row>
    <row r="591" spans="1:16" x14ac:dyDescent="0.3">
      <c r="A591">
        <v>590</v>
      </c>
      <c r="B591" s="1">
        <v>41133</v>
      </c>
      <c r="C591">
        <v>3</v>
      </c>
      <c r="D591">
        <v>1</v>
      </c>
      <c r="E591">
        <v>8</v>
      </c>
      <c r="F591">
        <v>0</v>
      </c>
      <c r="G591">
        <v>0</v>
      </c>
      <c r="H591">
        <v>0</v>
      </c>
      <c r="I591">
        <v>1</v>
      </c>
      <c r="J591">
        <v>0.70083300000000004</v>
      </c>
      <c r="K591">
        <v>0.64457900000000001</v>
      </c>
      <c r="L591">
        <v>0.53041700000000003</v>
      </c>
      <c r="M591">
        <v>0.122512</v>
      </c>
      <c r="N591">
        <v>2182</v>
      </c>
      <c r="O591">
        <v>4362</v>
      </c>
      <c r="P591">
        <v>6544</v>
      </c>
    </row>
    <row r="592" spans="1:16" x14ac:dyDescent="0.3">
      <c r="A592">
        <v>591</v>
      </c>
      <c r="B592" s="1">
        <v>41134</v>
      </c>
      <c r="C592">
        <v>3</v>
      </c>
      <c r="D592">
        <v>1</v>
      </c>
      <c r="E592">
        <v>8</v>
      </c>
      <c r="F592">
        <v>0</v>
      </c>
      <c r="G592">
        <v>1</v>
      </c>
      <c r="H592">
        <v>1</v>
      </c>
      <c r="I592">
        <v>1</v>
      </c>
      <c r="J592">
        <v>0.72083299999999995</v>
      </c>
      <c r="K592">
        <v>0.66225400000000001</v>
      </c>
      <c r="L592">
        <v>0.54541700000000004</v>
      </c>
      <c r="M592">
        <v>0.136212</v>
      </c>
      <c r="N592">
        <v>1207</v>
      </c>
      <c r="O592">
        <v>5676</v>
      </c>
      <c r="P592">
        <v>6883</v>
      </c>
    </row>
    <row r="593" spans="1:16" x14ac:dyDescent="0.3">
      <c r="A593">
        <v>592</v>
      </c>
      <c r="B593" s="1">
        <v>41135</v>
      </c>
      <c r="C593">
        <v>3</v>
      </c>
      <c r="D593">
        <v>1</v>
      </c>
      <c r="E593">
        <v>8</v>
      </c>
      <c r="F593">
        <v>0</v>
      </c>
      <c r="G593">
        <v>2</v>
      </c>
      <c r="H593">
        <v>1</v>
      </c>
      <c r="I593">
        <v>1</v>
      </c>
      <c r="J593">
        <v>0.72666699999999995</v>
      </c>
      <c r="K593">
        <v>0.67677900000000002</v>
      </c>
      <c r="L593">
        <v>0.68666700000000003</v>
      </c>
      <c r="M593">
        <v>0.169158</v>
      </c>
      <c r="N593">
        <v>1128</v>
      </c>
      <c r="O593">
        <v>5656</v>
      </c>
      <c r="P593">
        <v>6784</v>
      </c>
    </row>
    <row r="594" spans="1:16" x14ac:dyDescent="0.3">
      <c r="A594">
        <v>593</v>
      </c>
      <c r="B594" s="1">
        <v>41136</v>
      </c>
      <c r="C594">
        <v>3</v>
      </c>
      <c r="D594">
        <v>1</v>
      </c>
      <c r="E594">
        <v>8</v>
      </c>
      <c r="F594">
        <v>0</v>
      </c>
      <c r="G594">
        <v>3</v>
      </c>
      <c r="H594">
        <v>1</v>
      </c>
      <c r="I594">
        <v>1</v>
      </c>
      <c r="J594">
        <v>0.70666700000000005</v>
      </c>
      <c r="K594">
        <v>0.65403699999999998</v>
      </c>
      <c r="L594">
        <v>0.61958299999999999</v>
      </c>
      <c r="M594">
        <v>0.16977100000000001</v>
      </c>
      <c r="N594">
        <v>1198</v>
      </c>
      <c r="O594">
        <v>6149</v>
      </c>
      <c r="P594">
        <v>7347</v>
      </c>
    </row>
    <row r="595" spans="1:16" x14ac:dyDescent="0.3">
      <c r="A595">
        <v>594</v>
      </c>
      <c r="B595" s="1">
        <v>41137</v>
      </c>
      <c r="C595">
        <v>3</v>
      </c>
      <c r="D595">
        <v>1</v>
      </c>
      <c r="E595">
        <v>8</v>
      </c>
      <c r="F595">
        <v>0</v>
      </c>
      <c r="G595">
        <v>4</v>
      </c>
      <c r="H595">
        <v>1</v>
      </c>
      <c r="I595">
        <v>1</v>
      </c>
      <c r="J595">
        <v>0.719167</v>
      </c>
      <c r="K595">
        <v>0.65468800000000005</v>
      </c>
      <c r="L595">
        <v>0.51916700000000005</v>
      </c>
      <c r="M595">
        <v>0.14179600000000001</v>
      </c>
      <c r="N595">
        <v>1338</v>
      </c>
      <c r="O595">
        <v>6267</v>
      </c>
      <c r="P595">
        <v>7605</v>
      </c>
    </row>
    <row r="596" spans="1:16" x14ac:dyDescent="0.3">
      <c r="A596">
        <v>595</v>
      </c>
      <c r="B596" s="1">
        <v>41138</v>
      </c>
      <c r="C596">
        <v>3</v>
      </c>
      <c r="D596">
        <v>1</v>
      </c>
      <c r="E596">
        <v>8</v>
      </c>
      <c r="F596">
        <v>0</v>
      </c>
      <c r="G596">
        <v>5</v>
      </c>
      <c r="H596">
        <v>1</v>
      </c>
      <c r="I596">
        <v>1</v>
      </c>
      <c r="J596">
        <v>0.723333</v>
      </c>
      <c r="K596">
        <v>0.2424</v>
      </c>
      <c r="L596">
        <v>0.57083300000000003</v>
      </c>
      <c r="M596">
        <v>0.231354</v>
      </c>
      <c r="N596">
        <v>1483</v>
      </c>
      <c r="O596">
        <v>5665</v>
      </c>
      <c r="P596">
        <v>7148</v>
      </c>
    </row>
    <row r="597" spans="1:16" x14ac:dyDescent="0.3">
      <c r="A597">
        <v>596</v>
      </c>
      <c r="B597" s="1">
        <v>41139</v>
      </c>
      <c r="C597">
        <v>3</v>
      </c>
      <c r="D597">
        <v>1</v>
      </c>
      <c r="E597">
        <v>8</v>
      </c>
      <c r="F597">
        <v>0</v>
      </c>
      <c r="G597">
        <v>6</v>
      </c>
      <c r="H597">
        <v>0</v>
      </c>
      <c r="I597">
        <v>1</v>
      </c>
      <c r="J597">
        <v>0.67833299999999996</v>
      </c>
      <c r="K597">
        <v>0.61807100000000004</v>
      </c>
      <c r="L597">
        <v>0.60333300000000001</v>
      </c>
      <c r="M597">
        <v>0.177867</v>
      </c>
      <c r="N597">
        <v>2827</v>
      </c>
      <c r="O597">
        <v>5038</v>
      </c>
      <c r="P597">
        <v>7865</v>
      </c>
    </row>
    <row r="598" spans="1:16" x14ac:dyDescent="0.3">
      <c r="A598">
        <v>597</v>
      </c>
      <c r="B598" s="1">
        <v>41140</v>
      </c>
      <c r="C598">
        <v>3</v>
      </c>
      <c r="D598">
        <v>1</v>
      </c>
      <c r="E598">
        <v>8</v>
      </c>
      <c r="F598">
        <v>0</v>
      </c>
      <c r="G598">
        <v>0</v>
      </c>
      <c r="H598">
        <v>0</v>
      </c>
      <c r="I598">
        <v>2</v>
      </c>
      <c r="J598">
        <v>0.63583299999999998</v>
      </c>
      <c r="K598">
        <v>0.60355400000000003</v>
      </c>
      <c r="L598">
        <v>0.71166700000000005</v>
      </c>
      <c r="M598">
        <v>8.6449999999999999E-2</v>
      </c>
      <c r="N598">
        <v>1208</v>
      </c>
      <c r="O598">
        <v>3341</v>
      </c>
      <c r="P598">
        <v>4549</v>
      </c>
    </row>
    <row r="599" spans="1:16" x14ac:dyDescent="0.3">
      <c r="A599">
        <v>598</v>
      </c>
      <c r="B599" s="1">
        <v>41141</v>
      </c>
      <c r="C599">
        <v>3</v>
      </c>
      <c r="D599">
        <v>1</v>
      </c>
      <c r="E599">
        <v>8</v>
      </c>
      <c r="F599">
        <v>0</v>
      </c>
      <c r="G599">
        <v>1</v>
      </c>
      <c r="H599">
        <v>1</v>
      </c>
      <c r="I599">
        <v>2</v>
      </c>
      <c r="J599">
        <v>0.63583299999999998</v>
      </c>
      <c r="K599">
        <v>0.59596700000000002</v>
      </c>
      <c r="L599">
        <v>0.73416700000000001</v>
      </c>
      <c r="M599">
        <v>0.12997900000000001</v>
      </c>
      <c r="N599">
        <v>1026</v>
      </c>
      <c r="O599">
        <v>5504</v>
      </c>
      <c r="P599">
        <v>6530</v>
      </c>
    </row>
    <row r="600" spans="1:16" x14ac:dyDescent="0.3">
      <c r="A600">
        <v>599</v>
      </c>
      <c r="B600" s="1">
        <v>41142</v>
      </c>
      <c r="C600">
        <v>3</v>
      </c>
      <c r="D600">
        <v>1</v>
      </c>
      <c r="E600">
        <v>8</v>
      </c>
      <c r="F600">
        <v>0</v>
      </c>
      <c r="G600">
        <v>2</v>
      </c>
      <c r="H600">
        <v>1</v>
      </c>
      <c r="I600">
        <v>1</v>
      </c>
      <c r="J600">
        <v>0.64916700000000005</v>
      </c>
      <c r="K600">
        <v>0.60102500000000003</v>
      </c>
      <c r="L600">
        <v>0.67374999999999996</v>
      </c>
      <c r="M600">
        <v>7.2770799999999997E-2</v>
      </c>
      <c r="N600">
        <v>1081</v>
      </c>
      <c r="O600">
        <v>5925</v>
      </c>
      <c r="P600">
        <v>7006</v>
      </c>
    </row>
    <row r="601" spans="1:16" x14ac:dyDescent="0.3">
      <c r="A601">
        <v>600</v>
      </c>
      <c r="B601" s="1">
        <v>41143</v>
      </c>
      <c r="C601">
        <v>3</v>
      </c>
      <c r="D601">
        <v>1</v>
      </c>
      <c r="E601">
        <v>8</v>
      </c>
      <c r="F601">
        <v>0</v>
      </c>
      <c r="G601">
        <v>3</v>
      </c>
      <c r="H601">
        <v>1</v>
      </c>
      <c r="I601">
        <v>1</v>
      </c>
      <c r="J601">
        <v>0.66749999999999998</v>
      </c>
      <c r="K601">
        <v>0.62185400000000002</v>
      </c>
      <c r="L601">
        <v>0.67708299999999999</v>
      </c>
      <c r="M601">
        <v>7.0283300000000007E-2</v>
      </c>
      <c r="N601">
        <v>1094</v>
      </c>
      <c r="O601">
        <v>6281</v>
      </c>
      <c r="P601">
        <v>7375</v>
      </c>
    </row>
    <row r="602" spans="1:16" x14ac:dyDescent="0.3">
      <c r="A602">
        <v>601</v>
      </c>
      <c r="B602" s="1">
        <v>41144</v>
      </c>
      <c r="C602">
        <v>3</v>
      </c>
      <c r="D602">
        <v>1</v>
      </c>
      <c r="E602">
        <v>8</v>
      </c>
      <c r="F602">
        <v>0</v>
      </c>
      <c r="G602">
        <v>4</v>
      </c>
      <c r="H602">
        <v>1</v>
      </c>
      <c r="I602">
        <v>1</v>
      </c>
      <c r="J602">
        <v>0.69583300000000003</v>
      </c>
      <c r="K602">
        <v>0.63700800000000002</v>
      </c>
      <c r="L602">
        <v>0.63583299999999998</v>
      </c>
      <c r="M602">
        <v>8.4595799999999999E-2</v>
      </c>
      <c r="N602">
        <v>1363</v>
      </c>
      <c r="O602">
        <v>6402</v>
      </c>
      <c r="P602">
        <v>7765</v>
      </c>
    </row>
    <row r="603" spans="1:16" x14ac:dyDescent="0.3">
      <c r="A603">
        <v>602</v>
      </c>
      <c r="B603" s="1">
        <v>41145</v>
      </c>
      <c r="C603">
        <v>3</v>
      </c>
      <c r="D603">
        <v>1</v>
      </c>
      <c r="E603">
        <v>8</v>
      </c>
      <c r="F603">
        <v>0</v>
      </c>
      <c r="G603">
        <v>5</v>
      </c>
      <c r="H603">
        <v>1</v>
      </c>
      <c r="I603">
        <v>2</v>
      </c>
      <c r="J603">
        <v>0.70250000000000001</v>
      </c>
      <c r="K603">
        <v>0.64710000000000001</v>
      </c>
      <c r="L603">
        <v>0.61499999999999999</v>
      </c>
      <c r="M603">
        <v>7.2145799999999996E-2</v>
      </c>
      <c r="N603">
        <v>1325</v>
      </c>
      <c r="O603">
        <v>6257</v>
      </c>
      <c r="P603">
        <v>7582</v>
      </c>
    </row>
    <row r="604" spans="1:16" x14ac:dyDescent="0.3">
      <c r="A604">
        <v>603</v>
      </c>
      <c r="B604" s="1">
        <v>41146</v>
      </c>
      <c r="C604">
        <v>3</v>
      </c>
      <c r="D604">
        <v>1</v>
      </c>
      <c r="E604">
        <v>8</v>
      </c>
      <c r="F604">
        <v>0</v>
      </c>
      <c r="G604">
        <v>6</v>
      </c>
      <c r="H604">
        <v>0</v>
      </c>
      <c r="I604">
        <v>2</v>
      </c>
      <c r="J604">
        <v>0.66166700000000001</v>
      </c>
      <c r="K604">
        <v>0.61869600000000002</v>
      </c>
      <c r="L604">
        <v>0.71291700000000002</v>
      </c>
      <c r="M604">
        <v>0.24440799999999999</v>
      </c>
      <c r="N604">
        <v>1829</v>
      </c>
      <c r="O604">
        <v>4224</v>
      </c>
      <c r="P604">
        <v>6053</v>
      </c>
    </row>
    <row r="605" spans="1:16" x14ac:dyDescent="0.3">
      <c r="A605">
        <v>604</v>
      </c>
      <c r="B605" s="1">
        <v>41147</v>
      </c>
      <c r="C605">
        <v>3</v>
      </c>
      <c r="D605">
        <v>1</v>
      </c>
      <c r="E605">
        <v>8</v>
      </c>
      <c r="F605">
        <v>0</v>
      </c>
      <c r="G605">
        <v>0</v>
      </c>
      <c r="H605">
        <v>0</v>
      </c>
      <c r="I605">
        <v>2</v>
      </c>
      <c r="J605">
        <v>0.65333300000000005</v>
      </c>
      <c r="K605">
        <v>0.59599599999999997</v>
      </c>
      <c r="L605">
        <v>0.84583299999999995</v>
      </c>
      <c r="M605">
        <v>0.22885800000000001</v>
      </c>
      <c r="N605">
        <v>1483</v>
      </c>
      <c r="O605">
        <v>3772</v>
      </c>
      <c r="P605">
        <v>5255</v>
      </c>
    </row>
    <row r="606" spans="1:16" x14ac:dyDescent="0.3">
      <c r="A606">
        <v>605</v>
      </c>
      <c r="B606" s="1">
        <v>41148</v>
      </c>
      <c r="C606">
        <v>3</v>
      </c>
      <c r="D606">
        <v>1</v>
      </c>
      <c r="E606">
        <v>8</v>
      </c>
      <c r="F606">
        <v>0</v>
      </c>
      <c r="G606">
        <v>1</v>
      </c>
      <c r="H606">
        <v>1</v>
      </c>
      <c r="I606">
        <v>1</v>
      </c>
      <c r="J606">
        <v>0.70333299999999999</v>
      </c>
      <c r="K606">
        <v>0.65468800000000005</v>
      </c>
      <c r="L606">
        <v>0.73041699999999998</v>
      </c>
      <c r="M606">
        <v>0.12873299999999999</v>
      </c>
      <c r="N606">
        <v>989</v>
      </c>
      <c r="O606">
        <v>5928</v>
      </c>
      <c r="P606">
        <v>6917</v>
      </c>
    </row>
    <row r="607" spans="1:16" x14ac:dyDescent="0.3">
      <c r="A607">
        <v>606</v>
      </c>
      <c r="B607" s="1">
        <v>41149</v>
      </c>
      <c r="C607">
        <v>3</v>
      </c>
      <c r="D607">
        <v>1</v>
      </c>
      <c r="E607">
        <v>8</v>
      </c>
      <c r="F607">
        <v>0</v>
      </c>
      <c r="G607">
        <v>2</v>
      </c>
      <c r="H607">
        <v>1</v>
      </c>
      <c r="I607">
        <v>1</v>
      </c>
      <c r="J607">
        <v>0.72833300000000001</v>
      </c>
      <c r="K607">
        <v>0.66605000000000003</v>
      </c>
      <c r="L607">
        <v>0.62</v>
      </c>
      <c r="M607">
        <v>0.19092500000000001</v>
      </c>
      <c r="N607">
        <v>935</v>
      </c>
      <c r="O607">
        <v>6105</v>
      </c>
      <c r="P607">
        <v>7040</v>
      </c>
    </row>
    <row r="608" spans="1:16" x14ac:dyDescent="0.3">
      <c r="A608">
        <v>607</v>
      </c>
      <c r="B608" s="1">
        <v>41150</v>
      </c>
      <c r="C608">
        <v>3</v>
      </c>
      <c r="D608">
        <v>1</v>
      </c>
      <c r="E608">
        <v>8</v>
      </c>
      <c r="F608">
        <v>0</v>
      </c>
      <c r="G608">
        <v>3</v>
      </c>
      <c r="H608">
        <v>1</v>
      </c>
      <c r="I608">
        <v>1</v>
      </c>
      <c r="J608">
        <v>0.68500000000000005</v>
      </c>
      <c r="K608">
        <v>0.63573299999999999</v>
      </c>
      <c r="L608">
        <v>0.55208299999999999</v>
      </c>
      <c r="M608">
        <v>0.112562</v>
      </c>
      <c r="N608">
        <v>1177</v>
      </c>
      <c r="O608">
        <v>6520</v>
      </c>
      <c r="P608">
        <v>7697</v>
      </c>
    </row>
    <row r="609" spans="1:16" x14ac:dyDescent="0.3">
      <c r="A609">
        <v>608</v>
      </c>
      <c r="B609" s="1">
        <v>41151</v>
      </c>
      <c r="C609">
        <v>3</v>
      </c>
      <c r="D609">
        <v>1</v>
      </c>
      <c r="E609">
        <v>8</v>
      </c>
      <c r="F609">
        <v>0</v>
      </c>
      <c r="G609">
        <v>4</v>
      </c>
      <c r="H609">
        <v>1</v>
      </c>
      <c r="I609">
        <v>1</v>
      </c>
      <c r="J609">
        <v>0.70666700000000005</v>
      </c>
      <c r="K609">
        <v>0.652779</v>
      </c>
      <c r="L609">
        <v>0.59041699999999997</v>
      </c>
      <c r="M609">
        <v>7.7116699999999996E-2</v>
      </c>
      <c r="N609">
        <v>1172</v>
      </c>
      <c r="O609">
        <v>6541</v>
      </c>
      <c r="P609">
        <v>7713</v>
      </c>
    </row>
    <row r="610" spans="1:16" x14ac:dyDescent="0.3">
      <c r="A610">
        <v>609</v>
      </c>
      <c r="B610" s="1">
        <v>41152</v>
      </c>
      <c r="C610">
        <v>3</v>
      </c>
      <c r="D610">
        <v>1</v>
      </c>
      <c r="E610">
        <v>8</v>
      </c>
      <c r="F610">
        <v>0</v>
      </c>
      <c r="G610">
        <v>5</v>
      </c>
      <c r="H610">
        <v>1</v>
      </c>
      <c r="I610">
        <v>1</v>
      </c>
      <c r="J610">
        <v>0.76416700000000004</v>
      </c>
      <c r="K610">
        <v>0.68940000000000001</v>
      </c>
      <c r="L610">
        <v>0.58750000000000002</v>
      </c>
      <c r="M610">
        <v>0.16853299999999999</v>
      </c>
      <c r="N610">
        <v>1433</v>
      </c>
      <c r="O610">
        <v>5917</v>
      </c>
      <c r="P610">
        <v>7350</v>
      </c>
    </row>
    <row r="611" spans="1:16" x14ac:dyDescent="0.3">
      <c r="A611">
        <v>610</v>
      </c>
      <c r="B611" s="1">
        <v>41153</v>
      </c>
      <c r="C611">
        <v>3</v>
      </c>
      <c r="D611">
        <v>1</v>
      </c>
      <c r="E611">
        <v>9</v>
      </c>
      <c r="F611">
        <v>0</v>
      </c>
      <c r="G611">
        <v>6</v>
      </c>
      <c r="H611">
        <v>0</v>
      </c>
      <c r="I611">
        <v>2</v>
      </c>
      <c r="J611">
        <v>0.75333300000000003</v>
      </c>
      <c r="K611">
        <v>0.702654</v>
      </c>
      <c r="L611">
        <v>0.63833300000000004</v>
      </c>
      <c r="M611">
        <v>0.113187</v>
      </c>
      <c r="N611">
        <v>2352</v>
      </c>
      <c r="O611">
        <v>3788</v>
      </c>
      <c r="P611">
        <v>6140</v>
      </c>
    </row>
    <row r="612" spans="1:16" x14ac:dyDescent="0.3">
      <c r="A612">
        <v>611</v>
      </c>
      <c r="B612" s="1">
        <v>41154</v>
      </c>
      <c r="C612">
        <v>3</v>
      </c>
      <c r="D612">
        <v>1</v>
      </c>
      <c r="E612">
        <v>9</v>
      </c>
      <c r="F612">
        <v>0</v>
      </c>
      <c r="G612">
        <v>0</v>
      </c>
      <c r="H612">
        <v>0</v>
      </c>
      <c r="I612">
        <v>2</v>
      </c>
      <c r="J612">
        <v>0.69666700000000004</v>
      </c>
      <c r="K612">
        <v>0.64900000000000002</v>
      </c>
      <c r="L612">
        <v>0.81499999999999995</v>
      </c>
      <c r="M612">
        <v>6.4070799999999997E-2</v>
      </c>
      <c r="N612">
        <v>2613</v>
      </c>
      <c r="O612">
        <v>3197</v>
      </c>
      <c r="P612">
        <v>5810</v>
      </c>
    </row>
    <row r="613" spans="1:16" x14ac:dyDescent="0.3">
      <c r="A613">
        <v>612</v>
      </c>
      <c r="B613" s="1">
        <v>41155</v>
      </c>
      <c r="C613">
        <v>3</v>
      </c>
      <c r="D613">
        <v>1</v>
      </c>
      <c r="E613">
        <v>9</v>
      </c>
      <c r="F613">
        <v>1</v>
      </c>
      <c r="G613">
        <v>1</v>
      </c>
      <c r="H613">
        <v>0</v>
      </c>
      <c r="I613">
        <v>1</v>
      </c>
      <c r="J613">
        <v>0.70750000000000002</v>
      </c>
      <c r="K613">
        <v>0.66162900000000002</v>
      </c>
      <c r="L613">
        <v>0.79083300000000001</v>
      </c>
      <c r="M613">
        <v>0.15112100000000001</v>
      </c>
      <c r="N613">
        <v>1965</v>
      </c>
      <c r="O613">
        <v>4069</v>
      </c>
      <c r="P613">
        <v>6034</v>
      </c>
    </row>
    <row r="614" spans="1:16" x14ac:dyDescent="0.3">
      <c r="A614">
        <v>613</v>
      </c>
      <c r="B614" s="1">
        <v>41156</v>
      </c>
      <c r="C614">
        <v>3</v>
      </c>
      <c r="D614">
        <v>1</v>
      </c>
      <c r="E614">
        <v>9</v>
      </c>
      <c r="F614">
        <v>0</v>
      </c>
      <c r="G614">
        <v>2</v>
      </c>
      <c r="H614">
        <v>1</v>
      </c>
      <c r="I614">
        <v>1</v>
      </c>
      <c r="J614">
        <v>0.72583299999999995</v>
      </c>
      <c r="K614">
        <v>0.68688800000000005</v>
      </c>
      <c r="L614">
        <v>0.755</v>
      </c>
      <c r="M614">
        <v>0.236321</v>
      </c>
      <c r="N614">
        <v>867</v>
      </c>
      <c r="O614">
        <v>5997</v>
      </c>
      <c r="P614">
        <v>6864</v>
      </c>
    </row>
    <row r="615" spans="1:16" x14ac:dyDescent="0.3">
      <c r="A615">
        <v>614</v>
      </c>
      <c r="B615" s="1">
        <v>41157</v>
      </c>
      <c r="C615">
        <v>3</v>
      </c>
      <c r="D615">
        <v>1</v>
      </c>
      <c r="E615">
        <v>9</v>
      </c>
      <c r="F615">
        <v>0</v>
      </c>
      <c r="G615">
        <v>3</v>
      </c>
      <c r="H615">
        <v>1</v>
      </c>
      <c r="I615">
        <v>1</v>
      </c>
      <c r="J615">
        <v>0.73666699999999996</v>
      </c>
      <c r="K615">
        <v>0.70898300000000003</v>
      </c>
      <c r="L615">
        <v>0.74124999999999996</v>
      </c>
      <c r="M615">
        <v>0.187808</v>
      </c>
      <c r="N615">
        <v>832</v>
      </c>
      <c r="O615">
        <v>6280</v>
      </c>
      <c r="P615">
        <v>7112</v>
      </c>
    </row>
    <row r="616" spans="1:16" x14ac:dyDescent="0.3">
      <c r="A616">
        <v>615</v>
      </c>
      <c r="B616" s="1">
        <v>41158</v>
      </c>
      <c r="C616">
        <v>3</v>
      </c>
      <c r="D616">
        <v>1</v>
      </c>
      <c r="E616">
        <v>9</v>
      </c>
      <c r="F616">
        <v>0</v>
      </c>
      <c r="G616">
        <v>4</v>
      </c>
      <c r="H616">
        <v>1</v>
      </c>
      <c r="I616">
        <v>2</v>
      </c>
      <c r="J616">
        <v>0.69666700000000004</v>
      </c>
      <c r="K616">
        <v>0.65532900000000005</v>
      </c>
      <c r="L616">
        <v>0.81041700000000005</v>
      </c>
      <c r="M616">
        <v>0.14242099999999999</v>
      </c>
      <c r="N616">
        <v>611</v>
      </c>
      <c r="O616">
        <v>5592</v>
      </c>
      <c r="P616">
        <v>6203</v>
      </c>
    </row>
    <row r="617" spans="1:16" x14ac:dyDescent="0.3">
      <c r="A617">
        <v>616</v>
      </c>
      <c r="B617" s="1">
        <v>41159</v>
      </c>
      <c r="C617">
        <v>3</v>
      </c>
      <c r="D617">
        <v>1</v>
      </c>
      <c r="E617">
        <v>9</v>
      </c>
      <c r="F617">
        <v>0</v>
      </c>
      <c r="G617">
        <v>5</v>
      </c>
      <c r="H617">
        <v>1</v>
      </c>
      <c r="I617">
        <v>1</v>
      </c>
      <c r="J617">
        <v>0.70333299999999999</v>
      </c>
      <c r="K617">
        <v>0.65720400000000001</v>
      </c>
      <c r="L617">
        <v>0.73624999999999996</v>
      </c>
      <c r="M617">
        <v>0.17164599999999999</v>
      </c>
      <c r="N617">
        <v>1045</v>
      </c>
      <c r="O617">
        <v>6459</v>
      </c>
      <c r="P617">
        <v>7504</v>
      </c>
    </row>
    <row r="618" spans="1:16" x14ac:dyDescent="0.3">
      <c r="A618">
        <v>617</v>
      </c>
      <c r="B618" s="1">
        <v>41160</v>
      </c>
      <c r="C618">
        <v>3</v>
      </c>
      <c r="D618">
        <v>1</v>
      </c>
      <c r="E618">
        <v>9</v>
      </c>
      <c r="F618">
        <v>0</v>
      </c>
      <c r="G618">
        <v>6</v>
      </c>
      <c r="H618">
        <v>0</v>
      </c>
      <c r="I618">
        <v>2</v>
      </c>
      <c r="J618">
        <v>0.65916699999999995</v>
      </c>
      <c r="K618">
        <v>0.61112100000000003</v>
      </c>
      <c r="L618">
        <v>0.79916699999999996</v>
      </c>
      <c r="M618">
        <v>0.28110400000000002</v>
      </c>
      <c r="N618">
        <v>1557</v>
      </c>
      <c r="O618">
        <v>4419</v>
      </c>
      <c r="P618">
        <v>5976</v>
      </c>
    </row>
    <row r="619" spans="1:16" x14ac:dyDescent="0.3">
      <c r="A619">
        <v>618</v>
      </c>
      <c r="B619" s="1">
        <v>41161</v>
      </c>
      <c r="C619">
        <v>3</v>
      </c>
      <c r="D619">
        <v>1</v>
      </c>
      <c r="E619">
        <v>9</v>
      </c>
      <c r="F619">
        <v>0</v>
      </c>
      <c r="G619">
        <v>0</v>
      </c>
      <c r="H619">
        <v>0</v>
      </c>
      <c r="I619">
        <v>1</v>
      </c>
      <c r="J619">
        <v>0.61</v>
      </c>
      <c r="K619">
        <v>0.57892500000000002</v>
      </c>
      <c r="L619">
        <v>0.54749999999999999</v>
      </c>
      <c r="M619">
        <v>0.224496</v>
      </c>
      <c r="N619">
        <v>2570</v>
      </c>
      <c r="O619">
        <v>5657</v>
      </c>
      <c r="P619">
        <v>8227</v>
      </c>
    </row>
    <row r="620" spans="1:16" x14ac:dyDescent="0.3">
      <c r="A620">
        <v>619</v>
      </c>
      <c r="B620" s="1">
        <v>41162</v>
      </c>
      <c r="C620">
        <v>3</v>
      </c>
      <c r="D620">
        <v>1</v>
      </c>
      <c r="E620">
        <v>9</v>
      </c>
      <c r="F620">
        <v>0</v>
      </c>
      <c r="G620">
        <v>1</v>
      </c>
      <c r="H620">
        <v>1</v>
      </c>
      <c r="I620">
        <v>1</v>
      </c>
      <c r="J620">
        <v>0.58333299999999999</v>
      </c>
      <c r="K620">
        <v>0.56565399999999999</v>
      </c>
      <c r="L620">
        <v>0.50375000000000003</v>
      </c>
      <c r="M620">
        <v>0.25871300000000003</v>
      </c>
      <c r="N620">
        <v>1118</v>
      </c>
      <c r="O620">
        <v>6407</v>
      </c>
      <c r="P620">
        <v>7525</v>
      </c>
    </row>
    <row r="621" spans="1:16" x14ac:dyDescent="0.3">
      <c r="A621">
        <v>620</v>
      </c>
      <c r="B621" s="1">
        <v>41163</v>
      </c>
      <c r="C621">
        <v>3</v>
      </c>
      <c r="D621">
        <v>1</v>
      </c>
      <c r="E621">
        <v>9</v>
      </c>
      <c r="F621">
        <v>0</v>
      </c>
      <c r="G621">
        <v>2</v>
      </c>
      <c r="H621">
        <v>1</v>
      </c>
      <c r="I621">
        <v>1</v>
      </c>
      <c r="J621">
        <v>0.57750000000000001</v>
      </c>
      <c r="K621">
        <v>0.55429200000000001</v>
      </c>
      <c r="L621">
        <v>0.52</v>
      </c>
      <c r="M621">
        <v>9.2054200000000003E-2</v>
      </c>
      <c r="N621">
        <v>1070</v>
      </c>
      <c r="O621">
        <v>6697</v>
      </c>
      <c r="P621">
        <v>7767</v>
      </c>
    </row>
    <row r="622" spans="1:16" x14ac:dyDescent="0.3">
      <c r="A622">
        <v>621</v>
      </c>
      <c r="B622" s="1">
        <v>41164</v>
      </c>
      <c r="C622">
        <v>3</v>
      </c>
      <c r="D622">
        <v>1</v>
      </c>
      <c r="E622">
        <v>9</v>
      </c>
      <c r="F622">
        <v>0</v>
      </c>
      <c r="G622">
        <v>3</v>
      </c>
      <c r="H622">
        <v>1</v>
      </c>
      <c r="I622">
        <v>1</v>
      </c>
      <c r="J622">
        <v>0.59916700000000001</v>
      </c>
      <c r="K622">
        <v>0.570075</v>
      </c>
      <c r="L622">
        <v>0.57708300000000001</v>
      </c>
      <c r="M622">
        <v>0.13184599999999999</v>
      </c>
      <c r="N622">
        <v>1050</v>
      </c>
      <c r="O622">
        <v>6820</v>
      </c>
      <c r="P622">
        <v>7870</v>
      </c>
    </row>
    <row r="623" spans="1:16" x14ac:dyDescent="0.3">
      <c r="A623">
        <v>622</v>
      </c>
      <c r="B623" s="1">
        <v>41165</v>
      </c>
      <c r="C623">
        <v>3</v>
      </c>
      <c r="D623">
        <v>1</v>
      </c>
      <c r="E623">
        <v>9</v>
      </c>
      <c r="F623">
        <v>0</v>
      </c>
      <c r="G623">
        <v>4</v>
      </c>
      <c r="H623">
        <v>1</v>
      </c>
      <c r="I623">
        <v>1</v>
      </c>
      <c r="J623">
        <v>0.61250000000000004</v>
      </c>
      <c r="K623">
        <v>0.57955800000000002</v>
      </c>
      <c r="L623">
        <v>0.63708299999999995</v>
      </c>
      <c r="M623">
        <v>8.2720799999999997E-2</v>
      </c>
      <c r="N623">
        <v>1054</v>
      </c>
      <c r="O623">
        <v>6750</v>
      </c>
      <c r="P623">
        <v>7804</v>
      </c>
    </row>
    <row r="624" spans="1:16" x14ac:dyDescent="0.3">
      <c r="A624">
        <v>623</v>
      </c>
      <c r="B624" s="1">
        <v>41166</v>
      </c>
      <c r="C624">
        <v>3</v>
      </c>
      <c r="D624">
        <v>1</v>
      </c>
      <c r="E624">
        <v>9</v>
      </c>
      <c r="F624">
        <v>0</v>
      </c>
      <c r="G624">
        <v>5</v>
      </c>
      <c r="H624">
        <v>1</v>
      </c>
      <c r="I624">
        <v>1</v>
      </c>
      <c r="J624">
        <v>0.63333300000000003</v>
      </c>
      <c r="K624">
        <v>0.59408300000000003</v>
      </c>
      <c r="L624">
        <v>0.67249999999999999</v>
      </c>
      <c r="M624">
        <v>0.103863</v>
      </c>
      <c r="N624">
        <v>1379</v>
      </c>
      <c r="O624">
        <v>6630</v>
      </c>
      <c r="P624">
        <v>8009</v>
      </c>
    </row>
    <row r="625" spans="1:16" x14ac:dyDescent="0.3">
      <c r="A625">
        <v>624</v>
      </c>
      <c r="B625" s="1">
        <v>41167</v>
      </c>
      <c r="C625">
        <v>3</v>
      </c>
      <c r="D625">
        <v>1</v>
      </c>
      <c r="E625">
        <v>9</v>
      </c>
      <c r="F625">
        <v>0</v>
      </c>
      <c r="G625">
        <v>6</v>
      </c>
      <c r="H625">
        <v>0</v>
      </c>
      <c r="I625">
        <v>1</v>
      </c>
      <c r="J625">
        <v>0.60833300000000001</v>
      </c>
      <c r="K625">
        <v>0.58586700000000003</v>
      </c>
      <c r="L625">
        <v>0.50166699999999997</v>
      </c>
      <c r="M625">
        <v>0.24752099999999999</v>
      </c>
      <c r="N625">
        <v>3160</v>
      </c>
      <c r="O625">
        <v>5554</v>
      </c>
      <c r="P625">
        <v>8714</v>
      </c>
    </row>
    <row r="626" spans="1:16" x14ac:dyDescent="0.3">
      <c r="A626">
        <v>625</v>
      </c>
      <c r="B626" s="1">
        <v>41168</v>
      </c>
      <c r="C626">
        <v>3</v>
      </c>
      <c r="D626">
        <v>1</v>
      </c>
      <c r="E626">
        <v>9</v>
      </c>
      <c r="F626">
        <v>0</v>
      </c>
      <c r="G626">
        <v>0</v>
      </c>
      <c r="H626">
        <v>0</v>
      </c>
      <c r="I626">
        <v>1</v>
      </c>
      <c r="J626">
        <v>0.57999999999999996</v>
      </c>
      <c r="K626">
        <v>0.56312499999999999</v>
      </c>
      <c r="L626">
        <v>0.56999999999999995</v>
      </c>
      <c r="M626">
        <v>9.0183299999999994E-2</v>
      </c>
      <c r="N626">
        <v>2166</v>
      </c>
      <c r="O626">
        <v>5167</v>
      </c>
      <c r="P626">
        <v>7333</v>
      </c>
    </row>
    <row r="627" spans="1:16" x14ac:dyDescent="0.3">
      <c r="A627">
        <v>626</v>
      </c>
      <c r="B627" s="1">
        <v>41169</v>
      </c>
      <c r="C627">
        <v>3</v>
      </c>
      <c r="D627">
        <v>1</v>
      </c>
      <c r="E627">
        <v>9</v>
      </c>
      <c r="F627">
        <v>0</v>
      </c>
      <c r="G627">
        <v>1</v>
      </c>
      <c r="H627">
        <v>1</v>
      </c>
      <c r="I627">
        <v>2</v>
      </c>
      <c r="J627">
        <v>0.58083300000000004</v>
      </c>
      <c r="K627">
        <v>0.55305000000000004</v>
      </c>
      <c r="L627">
        <v>0.73458299999999999</v>
      </c>
      <c r="M627">
        <v>0.15174199999999999</v>
      </c>
      <c r="N627">
        <v>1022</v>
      </c>
      <c r="O627">
        <v>5847</v>
      </c>
      <c r="P627">
        <v>6869</v>
      </c>
    </row>
    <row r="628" spans="1:16" x14ac:dyDescent="0.3">
      <c r="A628">
        <v>627</v>
      </c>
      <c r="B628" s="1">
        <v>41170</v>
      </c>
      <c r="C628">
        <v>3</v>
      </c>
      <c r="D628">
        <v>1</v>
      </c>
      <c r="E628">
        <v>9</v>
      </c>
      <c r="F628">
        <v>0</v>
      </c>
      <c r="G628">
        <v>2</v>
      </c>
      <c r="H628">
        <v>1</v>
      </c>
      <c r="I628">
        <v>2</v>
      </c>
      <c r="J628">
        <v>0.62333300000000003</v>
      </c>
      <c r="K628">
        <v>0.56506699999999999</v>
      </c>
      <c r="L628">
        <v>0.87250000000000005</v>
      </c>
      <c r="M628">
        <v>0.35758699999999999</v>
      </c>
      <c r="N628">
        <v>371</v>
      </c>
      <c r="O628">
        <v>3702</v>
      </c>
      <c r="P628">
        <v>4073</v>
      </c>
    </row>
    <row r="629" spans="1:16" x14ac:dyDescent="0.3">
      <c r="A629">
        <v>628</v>
      </c>
      <c r="B629" s="1">
        <v>41171</v>
      </c>
      <c r="C629">
        <v>3</v>
      </c>
      <c r="D629">
        <v>1</v>
      </c>
      <c r="E629">
        <v>9</v>
      </c>
      <c r="F629">
        <v>0</v>
      </c>
      <c r="G629">
        <v>3</v>
      </c>
      <c r="H629">
        <v>1</v>
      </c>
      <c r="I629">
        <v>1</v>
      </c>
      <c r="J629">
        <v>0.55249999999999999</v>
      </c>
      <c r="K629">
        <v>0.540404</v>
      </c>
      <c r="L629">
        <v>0.53666700000000001</v>
      </c>
      <c r="M629">
        <v>0.21517500000000001</v>
      </c>
      <c r="N629">
        <v>788</v>
      </c>
      <c r="O629">
        <v>6803</v>
      </c>
      <c r="P629">
        <v>7591</v>
      </c>
    </row>
    <row r="630" spans="1:16" x14ac:dyDescent="0.3">
      <c r="A630">
        <v>629</v>
      </c>
      <c r="B630" s="1">
        <v>41172</v>
      </c>
      <c r="C630">
        <v>3</v>
      </c>
      <c r="D630">
        <v>1</v>
      </c>
      <c r="E630">
        <v>9</v>
      </c>
      <c r="F630">
        <v>0</v>
      </c>
      <c r="G630">
        <v>4</v>
      </c>
      <c r="H630">
        <v>1</v>
      </c>
      <c r="I630">
        <v>1</v>
      </c>
      <c r="J630">
        <v>0.54666700000000001</v>
      </c>
      <c r="K630">
        <v>0.532192</v>
      </c>
      <c r="L630">
        <v>0.61833300000000002</v>
      </c>
      <c r="M630">
        <v>0.11816699999999999</v>
      </c>
      <c r="N630">
        <v>939</v>
      </c>
      <c r="O630">
        <v>6781</v>
      </c>
      <c r="P630">
        <v>7720</v>
      </c>
    </row>
    <row r="631" spans="1:16" x14ac:dyDescent="0.3">
      <c r="A631">
        <v>630</v>
      </c>
      <c r="B631" s="1">
        <v>41173</v>
      </c>
      <c r="C631">
        <v>3</v>
      </c>
      <c r="D631">
        <v>1</v>
      </c>
      <c r="E631">
        <v>9</v>
      </c>
      <c r="F631">
        <v>0</v>
      </c>
      <c r="G631">
        <v>5</v>
      </c>
      <c r="H631">
        <v>1</v>
      </c>
      <c r="I631">
        <v>1</v>
      </c>
      <c r="J631">
        <v>0.59916700000000001</v>
      </c>
      <c r="K631">
        <v>0.57197100000000001</v>
      </c>
      <c r="L631">
        <v>0.66874999999999996</v>
      </c>
      <c r="M631">
        <v>0.154229</v>
      </c>
      <c r="N631">
        <v>1250</v>
      </c>
      <c r="O631">
        <v>6917</v>
      </c>
      <c r="P631">
        <v>8167</v>
      </c>
    </row>
    <row r="632" spans="1:16" x14ac:dyDescent="0.3">
      <c r="A632">
        <v>631</v>
      </c>
      <c r="B632" s="1">
        <v>41174</v>
      </c>
      <c r="C632">
        <v>3</v>
      </c>
      <c r="D632">
        <v>1</v>
      </c>
      <c r="E632">
        <v>9</v>
      </c>
      <c r="F632">
        <v>0</v>
      </c>
      <c r="G632">
        <v>6</v>
      </c>
      <c r="H632">
        <v>0</v>
      </c>
      <c r="I632">
        <v>1</v>
      </c>
      <c r="J632">
        <v>0.65</v>
      </c>
      <c r="K632">
        <v>0.61048800000000003</v>
      </c>
      <c r="L632">
        <v>0.64666699999999999</v>
      </c>
      <c r="M632">
        <v>0.28358299999999997</v>
      </c>
      <c r="N632">
        <v>2512</v>
      </c>
      <c r="O632">
        <v>5883</v>
      </c>
      <c r="P632">
        <v>8395</v>
      </c>
    </row>
    <row r="633" spans="1:16" x14ac:dyDescent="0.3">
      <c r="A633">
        <v>632</v>
      </c>
      <c r="B633" s="1">
        <v>41175</v>
      </c>
      <c r="C633">
        <v>4</v>
      </c>
      <c r="D633">
        <v>1</v>
      </c>
      <c r="E633">
        <v>9</v>
      </c>
      <c r="F633">
        <v>0</v>
      </c>
      <c r="G633">
        <v>0</v>
      </c>
      <c r="H633">
        <v>0</v>
      </c>
      <c r="I633">
        <v>1</v>
      </c>
      <c r="J633">
        <v>0.52916700000000005</v>
      </c>
      <c r="K633">
        <v>0.51893299999999998</v>
      </c>
      <c r="L633">
        <v>0.46708300000000003</v>
      </c>
      <c r="M633">
        <v>0.22325800000000001</v>
      </c>
      <c r="N633">
        <v>2454</v>
      </c>
      <c r="O633">
        <v>5453</v>
      </c>
      <c r="P633">
        <v>7907</v>
      </c>
    </row>
    <row r="634" spans="1:16" x14ac:dyDescent="0.3">
      <c r="A634">
        <v>633</v>
      </c>
      <c r="B634" s="1">
        <v>41176</v>
      </c>
      <c r="C634">
        <v>4</v>
      </c>
      <c r="D634">
        <v>1</v>
      </c>
      <c r="E634">
        <v>9</v>
      </c>
      <c r="F634">
        <v>0</v>
      </c>
      <c r="G634">
        <v>1</v>
      </c>
      <c r="H634">
        <v>1</v>
      </c>
      <c r="I634">
        <v>1</v>
      </c>
      <c r="J634">
        <v>0.51416700000000004</v>
      </c>
      <c r="K634">
        <v>0.50251299999999999</v>
      </c>
      <c r="L634">
        <v>0.49291699999999999</v>
      </c>
      <c r="M634">
        <v>0.142404</v>
      </c>
      <c r="N634">
        <v>1001</v>
      </c>
      <c r="O634">
        <v>6435</v>
      </c>
      <c r="P634">
        <v>7436</v>
      </c>
    </row>
    <row r="635" spans="1:16" x14ac:dyDescent="0.3">
      <c r="A635">
        <v>634</v>
      </c>
      <c r="B635" s="1">
        <v>41177</v>
      </c>
      <c r="C635">
        <v>4</v>
      </c>
      <c r="D635">
        <v>1</v>
      </c>
      <c r="E635">
        <v>9</v>
      </c>
      <c r="F635">
        <v>0</v>
      </c>
      <c r="G635">
        <v>2</v>
      </c>
      <c r="H635">
        <v>1</v>
      </c>
      <c r="I635">
        <v>1</v>
      </c>
      <c r="J635">
        <v>0.55000000000000004</v>
      </c>
      <c r="K635">
        <v>0.54417899999999997</v>
      </c>
      <c r="L635">
        <v>0.56999999999999995</v>
      </c>
      <c r="M635">
        <v>0.236321</v>
      </c>
      <c r="N635">
        <v>845</v>
      </c>
      <c r="O635">
        <v>6693</v>
      </c>
      <c r="P635">
        <v>7538</v>
      </c>
    </row>
    <row r="636" spans="1:16" x14ac:dyDescent="0.3">
      <c r="A636">
        <v>635</v>
      </c>
      <c r="B636" s="1">
        <v>41178</v>
      </c>
      <c r="C636">
        <v>4</v>
      </c>
      <c r="D636">
        <v>1</v>
      </c>
      <c r="E636">
        <v>9</v>
      </c>
      <c r="F636">
        <v>0</v>
      </c>
      <c r="G636">
        <v>3</v>
      </c>
      <c r="H636">
        <v>1</v>
      </c>
      <c r="I636">
        <v>1</v>
      </c>
      <c r="J636">
        <v>0.63500000000000001</v>
      </c>
      <c r="K636">
        <v>0.59661299999999995</v>
      </c>
      <c r="L636">
        <v>0.63083299999999998</v>
      </c>
      <c r="M636">
        <v>0.24440000000000001</v>
      </c>
      <c r="N636">
        <v>787</v>
      </c>
      <c r="O636">
        <v>6946</v>
      </c>
      <c r="P636">
        <v>7733</v>
      </c>
    </row>
    <row r="637" spans="1:16" x14ac:dyDescent="0.3">
      <c r="A637">
        <v>636</v>
      </c>
      <c r="B637" s="1">
        <v>41179</v>
      </c>
      <c r="C637">
        <v>4</v>
      </c>
      <c r="D637">
        <v>1</v>
      </c>
      <c r="E637">
        <v>9</v>
      </c>
      <c r="F637">
        <v>0</v>
      </c>
      <c r="G637">
        <v>4</v>
      </c>
      <c r="H637">
        <v>1</v>
      </c>
      <c r="I637">
        <v>2</v>
      </c>
      <c r="J637">
        <v>0.65</v>
      </c>
      <c r="K637">
        <v>0.60797500000000004</v>
      </c>
      <c r="L637">
        <v>0.69083300000000003</v>
      </c>
      <c r="M637">
        <v>0.13434199999999999</v>
      </c>
      <c r="N637">
        <v>751</v>
      </c>
      <c r="O637">
        <v>6642</v>
      </c>
      <c r="P637">
        <v>7393</v>
      </c>
    </row>
    <row r="638" spans="1:16" x14ac:dyDescent="0.3">
      <c r="A638">
        <v>637</v>
      </c>
      <c r="B638" s="1">
        <v>41180</v>
      </c>
      <c r="C638">
        <v>4</v>
      </c>
      <c r="D638">
        <v>1</v>
      </c>
      <c r="E638">
        <v>9</v>
      </c>
      <c r="F638">
        <v>0</v>
      </c>
      <c r="G638">
        <v>5</v>
      </c>
      <c r="H638">
        <v>1</v>
      </c>
      <c r="I638">
        <v>2</v>
      </c>
      <c r="J638">
        <v>0.61916700000000002</v>
      </c>
      <c r="K638">
        <v>0.58586300000000002</v>
      </c>
      <c r="L638">
        <v>0.69</v>
      </c>
      <c r="M638">
        <v>0.16417899999999999</v>
      </c>
      <c r="N638">
        <v>1045</v>
      </c>
      <c r="O638">
        <v>6370</v>
      </c>
      <c r="P638">
        <v>7415</v>
      </c>
    </row>
    <row r="639" spans="1:16" x14ac:dyDescent="0.3">
      <c r="A639">
        <v>638</v>
      </c>
      <c r="B639" s="1">
        <v>41181</v>
      </c>
      <c r="C639">
        <v>4</v>
      </c>
      <c r="D639">
        <v>1</v>
      </c>
      <c r="E639">
        <v>9</v>
      </c>
      <c r="F639">
        <v>0</v>
      </c>
      <c r="G639">
        <v>6</v>
      </c>
      <c r="H639">
        <v>0</v>
      </c>
      <c r="I639">
        <v>1</v>
      </c>
      <c r="J639">
        <v>0.54249999999999998</v>
      </c>
      <c r="K639">
        <v>0.53029599999999999</v>
      </c>
      <c r="L639">
        <v>0.54291699999999998</v>
      </c>
      <c r="M639">
        <v>0.227604</v>
      </c>
      <c r="N639">
        <v>2589</v>
      </c>
      <c r="O639">
        <v>5966</v>
      </c>
      <c r="P639">
        <v>8555</v>
      </c>
    </row>
    <row r="640" spans="1:16" x14ac:dyDescent="0.3">
      <c r="A640">
        <v>639</v>
      </c>
      <c r="B640" s="1">
        <v>41182</v>
      </c>
      <c r="C640">
        <v>4</v>
      </c>
      <c r="D640">
        <v>1</v>
      </c>
      <c r="E640">
        <v>9</v>
      </c>
      <c r="F640">
        <v>0</v>
      </c>
      <c r="G640">
        <v>0</v>
      </c>
      <c r="H640">
        <v>0</v>
      </c>
      <c r="I640">
        <v>1</v>
      </c>
      <c r="J640">
        <v>0.526667</v>
      </c>
      <c r="K640">
        <v>0.51766299999999998</v>
      </c>
      <c r="L640">
        <v>0.58333299999999999</v>
      </c>
      <c r="M640">
        <v>0.13495799999999999</v>
      </c>
      <c r="N640">
        <v>2015</v>
      </c>
      <c r="O640">
        <v>4874</v>
      </c>
      <c r="P640">
        <v>6889</v>
      </c>
    </row>
    <row r="641" spans="1:16" x14ac:dyDescent="0.3">
      <c r="A641">
        <v>640</v>
      </c>
      <c r="B641" s="1">
        <v>41183</v>
      </c>
      <c r="C641">
        <v>4</v>
      </c>
      <c r="D641">
        <v>1</v>
      </c>
      <c r="E641">
        <v>10</v>
      </c>
      <c r="F641">
        <v>0</v>
      </c>
      <c r="G641">
        <v>1</v>
      </c>
      <c r="H641">
        <v>1</v>
      </c>
      <c r="I641">
        <v>2</v>
      </c>
      <c r="J641">
        <v>0.52083299999999999</v>
      </c>
      <c r="K641">
        <v>0.51200000000000001</v>
      </c>
      <c r="L641">
        <v>0.64916700000000005</v>
      </c>
      <c r="M641">
        <v>9.0804200000000002E-2</v>
      </c>
      <c r="N641">
        <v>763</v>
      </c>
      <c r="O641">
        <v>6015</v>
      </c>
      <c r="P641">
        <v>6778</v>
      </c>
    </row>
    <row r="642" spans="1:16" x14ac:dyDescent="0.3">
      <c r="A642">
        <v>641</v>
      </c>
      <c r="B642" s="1">
        <v>41184</v>
      </c>
      <c r="C642">
        <v>4</v>
      </c>
      <c r="D642">
        <v>1</v>
      </c>
      <c r="E642">
        <v>10</v>
      </c>
      <c r="F642">
        <v>0</v>
      </c>
      <c r="G642">
        <v>2</v>
      </c>
      <c r="H642">
        <v>1</v>
      </c>
      <c r="I642">
        <v>3</v>
      </c>
      <c r="J642">
        <v>0.59083300000000005</v>
      </c>
      <c r="K642">
        <v>0.54233299999999995</v>
      </c>
      <c r="L642">
        <v>0.87166699999999997</v>
      </c>
      <c r="M642">
        <v>0.104475</v>
      </c>
      <c r="N642">
        <v>315</v>
      </c>
      <c r="O642">
        <v>4324</v>
      </c>
      <c r="P642">
        <v>4639</v>
      </c>
    </row>
    <row r="643" spans="1:16" x14ac:dyDescent="0.3">
      <c r="A643">
        <v>642</v>
      </c>
      <c r="B643" s="1">
        <v>41185</v>
      </c>
      <c r="C643">
        <v>4</v>
      </c>
      <c r="D643">
        <v>1</v>
      </c>
      <c r="E643">
        <v>10</v>
      </c>
      <c r="F643">
        <v>0</v>
      </c>
      <c r="G643">
        <v>3</v>
      </c>
      <c r="H643">
        <v>1</v>
      </c>
      <c r="I643">
        <v>2</v>
      </c>
      <c r="J643">
        <v>0.65749999999999997</v>
      </c>
      <c r="K643">
        <v>0.59913300000000003</v>
      </c>
      <c r="L643">
        <v>0.79374999999999996</v>
      </c>
      <c r="M643">
        <v>6.6545800000000002E-2</v>
      </c>
      <c r="N643">
        <v>728</v>
      </c>
      <c r="O643">
        <v>6844</v>
      </c>
      <c r="P643">
        <v>7572</v>
      </c>
    </row>
    <row r="644" spans="1:16" x14ac:dyDescent="0.3">
      <c r="A644">
        <v>643</v>
      </c>
      <c r="B644" s="1">
        <v>41186</v>
      </c>
      <c r="C644">
        <v>4</v>
      </c>
      <c r="D644">
        <v>1</v>
      </c>
      <c r="E644">
        <v>10</v>
      </c>
      <c r="F644">
        <v>0</v>
      </c>
      <c r="G644">
        <v>4</v>
      </c>
      <c r="H644">
        <v>1</v>
      </c>
      <c r="I644">
        <v>2</v>
      </c>
      <c r="J644">
        <v>0.65749999999999997</v>
      </c>
      <c r="K644">
        <v>0.60797500000000004</v>
      </c>
      <c r="L644">
        <v>0.72291700000000003</v>
      </c>
      <c r="M644">
        <v>0.117546</v>
      </c>
      <c r="N644">
        <v>891</v>
      </c>
      <c r="O644">
        <v>6437</v>
      </c>
      <c r="P644">
        <v>7328</v>
      </c>
    </row>
    <row r="645" spans="1:16" x14ac:dyDescent="0.3">
      <c r="A645">
        <v>644</v>
      </c>
      <c r="B645" s="1">
        <v>41187</v>
      </c>
      <c r="C645">
        <v>4</v>
      </c>
      <c r="D645">
        <v>1</v>
      </c>
      <c r="E645">
        <v>10</v>
      </c>
      <c r="F645">
        <v>0</v>
      </c>
      <c r="G645">
        <v>5</v>
      </c>
      <c r="H645">
        <v>1</v>
      </c>
      <c r="I645">
        <v>1</v>
      </c>
      <c r="J645">
        <v>0.61499999999999999</v>
      </c>
      <c r="K645">
        <v>0.58018700000000001</v>
      </c>
      <c r="L645">
        <v>0.62749999999999995</v>
      </c>
      <c r="M645">
        <v>0.10635</v>
      </c>
      <c r="N645">
        <v>1516</v>
      </c>
      <c r="O645">
        <v>6640</v>
      </c>
      <c r="P645">
        <v>8156</v>
      </c>
    </row>
    <row r="646" spans="1:16" x14ac:dyDescent="0.3">
      <c r="A646">
        <v>645</v>
      </c>
      <c r="B646" s="1">
        <v>41188</v>
      </c>
      <c r="C646">
        <v>4</v>
      </c>
      <c r="D646">
        <v>1</v>
      </c>
      <c r="E646">
        <v>10</v>
      </c>
      <c r="F646">
        <v>0</v>
      </c>
      <c r="G646">
        <v>6</v>
      </c>
      <c r="H646">
        <v>0</v>
      </c>
      <c r="I646">
        <v>1</v>
      </c>
      <c r="J646">
        <v>0.55416699999999997</v>
      </c>
      <c r="K646">
        <v>0.53852100000000003</v>
      </c>
      <c r="L646">
        <v>0.66416699999999995</v>
      </c>
      <c r="M646">
        <v>0.26802500000000001</v>
      </c>
      <c r="N646">
        <v>3031</v>
      </c>
      <c r="O646">
        <v>4934</v>
      </c>
      <c r="P646">
        <v>7965</v>
      </c>
    </row>
    <row r="647" spans="1:16" x14ac:dyDescent="0.3">
      <c r="A647">
        <v>646</v>
      </c>
      <c r="B647" s="1">
        <v>41189</v>
      </c>
      <c r="C647">
        <v>4</v>
      </c>
      <c r="D647">
        <v>1</v>
      </c>
      <c r="E647">
        <v>10</v>
      </c>
      <c r="F647">
        <v>0</v>
      </c>
      <c r="G647">
        <v>0</v>
      </c>
      <c r="H647">
        <v>0</v>
      </c>
      <c r="I647">
        <v>2</v>
      </c>
      <c r="J647">
        <v>0.41583300000000001</v>
      </c>
      <c r="K647">
        <v>0.41981299999999999</v>
      </c>
      <c r="L647">
        <v>0.70833299999999999</v>
      </c>
      <c r="M647">
        <v>0.14116200000000001</v>
      </c>
      <c r="N647">
        <v>781</v>
      </c>
      <c r="O647">
        <v>2729</v>
      </c>
      <c r="P647">
        <v>3510</v>
      </c>
    </row>
    <row r="648" spans="1:16" x14ac:dyDescent="0.3">
      <c r="A648">
        <v>647</v>
      </c>
      <c r="B648" s="1">
        <v>41190</v>
      </c>
      <c r="C648">
        <v>4</v>
      </c>
      <c r="D648">
        <v>1</v>
      </c>
      <c r="E648">
        <v>10</v>
      </c>
      <c r="F648">
        <v>1</v>
      </c>
      <c r="G648">
        <v>1</v>
      </c>
      <c r="H648">
        <v>0</v>
      </c>
      <c r="I648">
        <v>2</v>
      </c>
      <c r="J648">
        <v>0.38333299999999998</v>
      </c>
      <c r="K648">
        <v>0.38760800000000001</v>
      </c>
      <c r="L648">
        <v>0.70958299999999996</v>
      </c>
      <c r="M648">
        <v>0.18967899999999999</v>
      </c>
      <c r="N648">
        <v>874</v>
      </c>
      <c r="O648">
        <v>4604</v>
      </c>
      <c r="P648">
        <v>5478</v>
      </c>
    </row>
    <row r="649" spans="1:16" x14ac:dyDescent="0.3">
      <c r="A649">
        <v>648</v>
      </c>
      <c r="B649" s="1">
        <v>41191</v>
      </c>
      <c r="C649">
        <v>4</v>
      </c>
      <c r="D649">
        <v>1</v>
      </c>
      <c r="E649">
        <v>10</v>
      </c>
      <c r="F649">
        <v>0</v>
      </c>
      <c r="G649">
        <v>2</v>
      </c>
      <c r="H649">
        <v>1</v>
      </c>
      <c r="I649">
        <v>2</v>
      </c>
      <c r="J649">
        <v>0.44666699999999998</v>
      </c>
      <c r="K649">
        <v>0.438112</v>
      </c>
      <c r="L649">
        <v>0.76166699999999998</v>
      </c>
      <c r="M649">
        <v>0.1903</v>
      </c>
      <c r="N649">
        <v>601</v>
      </c>
      <c r="O649">
        <v>5791</v>
      </c>
      <c r="P649">
        <v>6392</v>
      </c>
    </row>
    <row r="650" spans="1:16" x14ac:dyDescent="0.3">
      <c r="A650">
        <v>649</v>
      </c>
      <c r="B650" s="1">
        <v>41192</v>
      </c>
      <c r="C650">
        <v>4</v>
      </c>
      <c r="D650">
        <v>1</v>
      </c>
      <c r="E650">
        <v>10</v>
      </c>
      <c r="F650">
        <v>0</v>
      </c>
      <c r="G650">
        <v>3</v>
      </c>
      <c r="H650">
        <v>1</v>
      </c>
      <c r="I650">
        <v>1</v>
      </c>
      <c r="J650">
        <v>0.51416700000000004</v>
      </c>
      <c r="K650">
        <v>0.50314199999999998</v>
      </c>
      <c r="L650">
        <v>0.63083299999999998</v>
      </c>
      <c r="M650">
        <v>0.18782099999999999</v>
      </c>
      <c r="N650">
        <v>780</v>
      </c>
      <c r="O650">
        <v>6911</v>
      </c>
      <c r="P650">
        <v>7691</v>
      </c>
    </row>
    <row r="651" spans="1:16" x14ac:dyDescent="0.3">
      <c r="A651">
        <v>650</v>
      </c>
      <c r="B651" s="1">
        <v>41193</v>
      </c>
      <c r="C651">
        <v>4</v>
      </c>
      <c r="D651">
        <v>1</v>
      </c>
      <c r="E651">
        <v>10</v>
      </c>
      <c r="F651">
        <v>0</v>
      </c>
      <c r="G651">
        <v>4</v>
      </c>
      <c r="H651">
        <v>1</v>
      </c>
      <c r="I651">
        <v>1</v>
      </c>
      <c r="J651">
        <v>0.435</v>
      </c>
      <c r="K651">
        <v>0.43116700000000002</v>
      </c>
      <c r="L651">
        <v>0.46333299999999999</v>
      </c>
      <c r="M651">
        <v>0.18159600000000001</v>
      </c>
      <c r="N651">
        <v>834</v>
      </c>
      <c r="O651">
        <v>6736</v>
      </c>
      <c r="P651">
        <v>7570</v>
      </c>
    </row>
    <row r="652" spans="1:16" x14ac:dyDescent="0.3">
      <c r="A652">
        <v>651</v>
      </c>
      <c r="B652" s="1">
        <v>41194</v>
      </c>
      <c r="C652">
        <v>4</v>
      </c>
      <c r="D652">
        <v>1</v>
      </c>
      <c r="E652">
        <v>10</v>
      </c>
      <c r="F652">
        <v>0</v>
      </c>
      <c r="G652">
        <v>5</v>
      </c>
      <c r="H652">
        <v>1</v>
      </c>
      <c r="I652">
        <v>1</v>
      </c>
      <c r="J652">
        <v>0.4375</v>
      </c>
      <c r="K652">
        <v>0.43307099999999998</v>
      </c>
      <c r="L652">
        <v>0.53916699999999995</v>
      </c>
      <c r="M652">
        <v>0.235092</v>
      </c>
      <c r="N652">
        <v>1060</v>
      </c>
      <c r="O652">
        <v>6222</v>
      </c>
      <c r="P652">
        <v>7282</v>
      </c>
    </row>
    <row r="653" spans="1:16" x14ac:dyDescent="0.3">
      <c r="A653">
        <v>652</v>
      </c>
      <c r="B653" s="1">
        <v>41195</v>
      </c>
      <c r="C653">
        <v>4</v>
      </c>
      <c r="D653">
        <v>1</v>
      </c>
      <c r="E653">
        <v>10</v>
      </c>
      <c r="F653">
        <v>0</v>
      </c>
      <c r="G653">
        <v>6</v>
      </c>
      <c r="H653">
        <v>0</v>
      </c>
      <c r="I653">
        <v>1</v>
      </c>
      <c r="J653">
        <v>0.39333299999999999</v>
      </c>
      <c r="K653">
        <v>0.39139600000000002</v>
      </c>
      <c r="L653">
        <v>0.49458299999999999</v>
      </c>
      <c r="M653">
        <v>0.14614199999999999</v>
      </c>
      <c r="N653">
        <v>2252</v>
      </c>
      <c r="O653">
        <v>4857</v>
      </c>
      <c r="P653">
        <v>7109</v>
      </c>
    </row>
    <row r="654" spans="1:16" x14ac:dyDescent="0.3">
      <c r="A654">
        <v>653</v>
      </c>
      <c r="B654" s="1">
        <v>41196</v>
      </c>
      <c r="C654">
        <v>4</v>
      </c>
      <c r="D654">
        <v>1</v>
      </c>
      <c r="E654">
        <v>10</v>
      </c>
      <c r="F654">
        <v>0</v>
      </c>
      <c r="G654">
        <v>0</v>
      </c>
      <c r="H654">
        <v>0</v>
      </c>
      <c r="I654">
        <v>1</v>
      </c>
      <c r="J654">
        <v>0.52166699999999999</v>
      </c>
      <c r="K654">
        <v>0.50820399999999999</v>
      </c>
      <c r="L654">
        <v>0.64041700000000001</v>
      </c>
      <c r="M654">
        <v>0.27861200000000003</v>
      </c>
      <c r="N654">
        <v>2080</v>
      </c>
      <c r="O654">
        <v>4559</v>
      </c>
      <c r="P654">
        <v>6639</v>
      </c>
    </row>
    <row r="655" spans="1:16" x14ac:dyDescent="0.3">
      <c r="A655">
        <v>654</v>
      </c>
      <c r="B655" s="1">
        <v>41197</v>
      </c>
      <c r="C655">
        <v>4</v>
      </c>
      <c r="D655">
        <v>1</v>
      </c>
      <c r="E655">
        <v>10</v>
      </c>
      <c r="F655">
        <v>0</v>
      </c>
      <c r="G655">
        <v>1</v>
      </c>
      <c r="H655">
        <v>1</v>
      </c>
      <c r="I655">
        <v>2</v>
      </c>
      <c r="J655">
        <v>0.56166700000000003</v>
      </c>
      <c r="K655">
        <v>0.53915000000000002</v>
      </c>
      <c r="L655">
        <v>0.70750000000000002</v>
      </c>
      <c r="M655">
        <v>0.29603699999999999</v>
      </c>
      <c r="N655">
        <v>760</v>
      </c>
      <c r="O655">
        <v>5115</v>
      </c>
      <c r="P655">
        <v>5875</v>
      </c>
    </row>
    <row r="656" spans="1:16" x14ac:dyDescent="0.3">
      <c r="A656">
        <v>655</v>
      </c>
      <c r="B656" s="1">
        <v>41198</v>
      </c>
      <c r="C656">
        <v>4</v>
      </c>
      <c r="D656">
        <v>1</v>
      </c>
      <c r="E656">
        <v>10</v>
      </c>
      <c r="F656">
        <v>0</v>
      </c>
      <c r="G656">
        <v>2</v>
      </c>
      <c r="H656">
        <v>1</v>
      </c>
      <c r="I656">
        <v>1</v>
      </c>
      <c r="J656">
        <v>0.468333</v>
      </c>
      <c r="K656">
        <v>0.46084599999999998</v>
      </c>
      <c r="L656">
        <v>0.55833299999999997</v>
      </c>
      <c r="M656">
        <v>0.18222099999999999</v>
      </c>
      <c r="N656">
        <v>922</v>
      </c>
      <c r="O656">
        <v>6612</v>
      </c>
      <c r="P656">
        <v>7534</v>
      </c>
    </row>
    <row r="657" spans="1:16" x14ac:dyDescent="0.3">
      <c r="A657">
        <v>656</v>
      </c>
      <c r="B657" s="1">
        <v>41199</v>
      </c>
      <c r="C657">
        <v>4</v>
      </c>
      <c r="D657">
        <v>1</v>
      </c>
      <c r="E657">
        <v>10</v>
      </c>
      <c r="F657">
        <v>0</v>
      </c>
      <c r="G657">
        <v>3</v>
      </c>
      <c r="H657">
        <v>1</v>
      </c>
      <c r="I657">
        <v>1</v>
      </c>
      <c r="J657">
        <v>0.45583299999999999</v>
      </c>
      <c r="K657">
        <v>0.45010800000000001</v>
      </c>
      <c r="L657">
        <v>0.69291700000000001</v>
      </c>
      <c r="M657">
        <v>0.101371</v>
      </c>
      <c r="N657">
        <v>979</v>
      </c>
      <c r="O657">
        <v>6482</v>
      </c>
      <c r="P657">
        <v>7461</v>
      </c>
    </row>
    <row r="658" spans="1:16" x14ac:dyDescent="0.3">
      <c r="A658">
        <v>657</v>
      </c>
      <c r="B658" s="1">
        <v>41200</v>
      </c>
      <c r="C658">
        <v>4</v>
      </c>
      <c r="D658">
        <v>1</v>
      </c>
      <c r="E658">
        <v>10</v>
      </c>
      <c r="F658">
        <v>0</v>
      </c>
      <c r="G658">
        <v>4</v>
      </c>
      <c r="H658">
        <v>1</v>
      </c>
      <c r="I658">
        <v>2</v>
      </c>
      <c r="J658">
        <v>0.52249999999999996</v>
      </c>
      <c r="K658">
        <v>0.512625</v>
      </c>
      <c r="L658">
        <v>0.72833300000000001</v>
      </c>
      <c r="M658">
        <v>0.23693700000000001</v>
      </c>
      <c r="N658">
        <v>1008</v>
      </c>
      <c r="O658">
        <v>6501</v>
      </c>
      <c r="P658">
        <v>7509</v>
      </c>
    </row>
    <row r="659" spans="1:16" x14ac:dyDescent="0.3">
      <c r="A659">
        <v>658</v>
      </c>
      <c r="B659" s="1">
        <v>41201</v>
      </c>
      <c r="C659">
        <v>4</v>
      </c>
      <c r="D659">
        <v>1</v>
      </c>
      <c r="E659">
        <v>10</v>
      </c>
      <c r="F659">
        <v>0</v>
      </c>
      <c r="G659">
        <v>5</v>
      </c>
      <c r="H659">
        <v>1</v>
      </c>
      <c r="I659">
        <v>2</v>
      </c>
      <c r="J659">
        <v>0.56333299999999997</v>
      </c>
      <c r="K659">
        <v>0.53789600000000004</v>
      </c>
      <c r="L659">
        <v>0.81499999999999995</v>
      </c>
      <c r="M659">
        <v>0.13495399999999999</v>
      </c>
      <c r="N659">
        <v>753</v>
      </c>
      <c r="O659">
        <v>4671</v>
      </c>
      <c r="P659">
        <v>5424</v>
      </c>
    </row>
    <row r="660" spans="1:16" x14ac:dyDescent="0.3">
      <c r="A660">
        <v>659</v>
      </c>
      <c r="B660" s="1">
        <v>41202</v>
      </c>
      <c r="C660">
        <v>4</v>
      </c>
      <c r="D660">
        <v>1</v>
      </c>
      <c r="E660">
        <v>10</v>
      </c>
      <c r="F660">
        <v>0</v>
      </c>
      <c r="G660">
        <v>6</v>
      </c>
      <c r="H660">
        <v>0</v>
      </c>
      <c r="I660">
        <v>1</v>
      </c>
      <c r="J660">
        <v>0.48416700000000001</v>
      </c>
      <c r="K660">
        <v>0.47284199999999998</v>
      </c>
      <c r="L660">
        <v>0.57291700000000001</v>
      </c>
      <c r="M660">
        <v>0.117537</v>
      </c>
      <c r="N660">
        <v>2806</v>
      </c>
      <c r="O660">
        <v>5284</v>
      </c>
      <c r="P660">
        <v>8090</v>
      </c>
    </row>
    <row r="661" spans="1:16" x14ac:dyDescent="0.3">
      <c r="A661">
        <v>660</v>
      </c>
      <c r="B661" s="1">
        <v>41203</v>
      </c>
      <c r="C661">
        <v>4</v>
      </c>
      <c r="D661">
        <v>1</v>
      </c>
      <c r="E661">
        <v>10</v>
      </c>
      <c r="F661">
        <v>0</v>
      </c>
      <c r="G661">
        <v>0</v>
      </c>
      <c r="H661">
        <v>0</v>
      </c>
      <c r="I661">
        <v>1</v>
      </c>
      <c r="J661">
        <v>0.464167</v>
      </c>
      <c r="K661">
        <v>0.45642899999999997</v>
      </c>
      <c r="L661">
        <v>0.51</v>
      </c>
      <c r="M661">
        <v>0.16605400000000001</v>
      </c>
      <c r="N661">
        <v>2132</v>
      </c>
      <c r="O661">
        <v>4692</v>
      </c>
      <c r="P661">
        <v>6824</v>
      </c>
    </row>
    <row r="662" spans="1:16" x14ac:dyDescent="0.3">
      <c r="A662">
        <v>661</v>
      </c>
      <c r="B662" s="1">
        <v>41204</v>
      </c>
      <c r="C662">
        <v>4</v>
      </c>
      <c r="D662">
        <v>1</v>
      </c>
      <c r="E662">
        <v>10</v>
      </c>
      <c r="F662">
        <v>0</v>
      </c>
      <c r="G662">
        <v>1</v>
      </c>
      <c r="H662">
        <v>1</v>
      </c>
      <c r="I662">
        <v>1</v>
      </c>
      <c r="J662">
        <v>0.48749999999999999</v>
      </c>
      <c r="K662">
        <v>0.48294199999999998</v>
      </c>
      <c r="L662">
        <v>0.56833299999999998</v>
      </c>
      <c r="M662">
        <v>8.1483299999999995E-2</v>
      </c>
      <c r="N662">
        <v>830</v>
      </c>
      <c r="O662">
        <v>6228</v>
      </c>
      <c r="P662">
        <v>7058</v>
      </c>
    </row>
    <row r="663" spans="1:16" x14ac:dyDescent="0.3">
      <c r="A663">
        <v>662</v>
      </c>
      <c r="B663" s="1">
        <v>41205</v>
      </c>
      <c r="C663">
        <v>4</v>
      </c>
      <c r="D663">
        <v>1</v>
      </c>
      <c r="E663">
        <v>10</v>
      </c>
      <c r="F663">
        <v>0</v>
      </c>
      <c r="G663">
        <v>2</v>
      </c>
      <c r="H663">
        <v>1</v>
      </c>
      <c r="I663">
        <v>1</v>
      </c>
      <c r="J663">
        <v>0.54416699999999996</v>
      </c>
      <c r="K663">
        <v>0.530304</v>
      </c>
      <c r="L663">
        <v>0.64166699999999999</v>
      </c>
      <c r="M663">
        <v>9.4545799999999999E-2</v>
      </c>
      <c r="N663">
        <v>841</v>
      </c>
      <c r="O663">
        <v>6625</v>
      </c>
      <c r="P663">
        <v>7466</v>
      </c>
    </row>
    <row r="664" spans="1:16" x14ac:dyDescent="0.3">
      <c r="A664">
        <v>663</v>
      </c>
      <c r="B664" s="1">
        <v>41206</v>
      </c>
      <c r="C664">
        <v>4</v>
      </c>
      <c r="D664">
        <v>1</v>
      </c>
      <c r="E664">
        <v>10</v>
      </c>
      <c r="F664">
        <v>0</v>
      </c>
      <c r="G664">
        <v>3</v>
      </c>
      <c r="H664">
        <v>1</v>
      </c>
      <c r="I664">
        <v>1</v>
      </c>
      <c r="J664">
        <v>0.58750000000000002</v>
      </c>
      <c r="K664">
        <v>0.55872100000000002</v>
      </c>
      <c r="L664">
        <v>0.63624999999999998</v>
      </c>
      <c r="M664">
        <v>7.2779200000000002E-2</v>
      </c>
      <c r="N664">
        <v>795</v>
      </c>
      <c r="O664">
        <v>6898</v>
      </c>
      <c r="P664">
        <v>7693</v>
      </c>
    </row>
    <row r="665" spans="1:16" x14ac:dyDescent="0.3">
      <c r="A665">
        <v>664</v>
      </c>
      <c r="B665" s="1">
        <v>41207</v>
      </c>
      <c r="C665">
        <v>4</v>
      </c>
      <c r="D665">
        <v>1</v>
      </c>
      <c r="E665">
        <v>10</v>
      </c>
      <c r="F665">
        <v>0</v>
      </c>
      <c r="G665">
        <v>4</v>
      </c>
      <c r="H665">
        <v>1</v>
      </c>
      <c r="I665">
        <v>2</v>
      </c>
      <c r="J665">
        <v>0.55000000000000004</v>
      </c>
      <c r="K665">
        <v>0.52968800000000005</v>
      </c>
      <c r="L665">
        <v>0.80041700000000005</v>
      </c>
      <c r="M665">
        <v>0.124375</v>
      </c>
      <c r="N665">
        <v>875</v>
      </c>
      <c r="O665">
        <v>6484</v>
      </c>
      <c r="P665">
        <v>7359</v>
      </c>
    </row>
    <row r="666" spans="1:16" x14ac:dyDescent="0.3">
      <c r="A666">
        <v>665</v>
      </c>
      <c r="B666" s="1">
        <v>41208</v>
      </c>
      <c r="C666">
        <v>4</v>
      </c>
      <c r="D666">
        <v>1</v>
      </c>
      <c r="E666">
        <v>10</v>
      </c>
      <c r="F666">
        <v>0</v>
      </c>
      <c r="G666">
        <v>5</v>
      </c>
      <c r="H666">
        <v>1</v>
      </c>
      <c r="I666">
        <v>2</v>
      </c>
      <c r="J666">
        <v>0.54583300000000001</v>
      </c>
      <c r="K666">
        <v>0.52275000000000005</v>
      </c>
      <c r="L666">
        <v>0.80708299999999999</v>
      </c>
      <c r="M666">
        <v>0.132467</v>
      </c>
      <c r="N666">
        <v>1182</v>
      </c>
      <c r="O666">
        <v>6262</v>
      </c>
      <c r="P666">
        <v>7444</v>
      </c>
    </row>
    <row r="667" spans="1:16" x14ac:dyDescent="0.3">
      <c r="A667">
        <v>666</v>
      </c>
      <c r="B667" s="1">
        <v>41209</v>
      </c>
      <c r="C667">
        <v>4</v>
      </c>
      <c r="D667">
        <v>1</v>
      </c>
      <c r="E667">
        <v>10</v>
      </c>
      <c r="F667">
        <v>0</v>
      </c>
      <c r="G667">
        <v>6</v>
      </c>
      <c r="H667">
        <v>0</v>
      </c>
      <c r="I667">
        <v>2</v>
      </c>
      <c r="J667">
        <v>0.53</v>
      </c>
      <c r="K667">
        <v>0.51513299999999995</v>
      </c>
      <c r="L667">
        <v>0.72</v>
      </c>
      <c r="M667">
        <v>0.23569200000000001</v>
      </c>
      <c r="N667">
        <v>2643</v>
      </c>
      <c r="O667">
        <v>5209</v>
      </c>
      <c r="P667">
        <v>7852</v>
      </c>
    </row>
    <row r="668" spans="1:16" x14ac:dyDescent="0.3">
      <c r="A668">
        <v>667</v>
      </c>
      <c r="B668" s="1">
        <v>41210</v>
      </c>
      <c r="C668">
        <v>4</v>
      </c>
      <c r="D668">
        <v>1</v>
      </c>
      <c r="E668">
        <v>10</v>
      </c>
      <c r="F668">
        <v>0</v>
      </c>
      <c r="G668">
        <v>0</v>
      </c>
      <c r="H668">
        <v>0</v>
      </c>
      <c r="I668">
        <v>2</v>
      </c>
      <c r="J668">
        <v>0.47749999999999998</v>
      </c>
      <c r="K668">
        <v>0.46777099999999999</v>
      </c>
      <c r="L668">
        <v>0.69458299999999995</v>
      </c>
      <c r="M668">
        <v>0.39800799999999997</v>
      </c>
      <c r="N668">
        <v>998</v>
      </c>
      <c r="O668">
        <v>3461</v>
      </c>
      <c r="P668">
        <v>4459</v>
      </c>
    </row>
    <row r="669" spans="1:16" x14ac:dyDescent="0.3">
      <c r="A669">
        <v>668</v>
      </c>
      <c r="B669" s="1">
        <v>41211</v>
      </c>
      <c r="C669">
        <v>4</v>
      </c>
      <c r="D669">
        <v>1</v>
      </c>
      <c r="E669">
        <v>10</v>
      </c>
      <c r="F669">
        <v>0</v>
      </c>
      <c r="G669">
        <v>1</v>
      </c>
      <c r="H669">
        <v>1</v>
      </c>
      <c r="I669">
        <v>3</v>
      </c>
      <c r="J669">
        <v>0.44</v>
      </c>
      <c r="K669">
        <v>0.43940000000000001</v>
      </c>
      <c r="L669">
        <v>0.88</v>
      </c>
      <c r="M669">
        <v>0.35820000000000002</v>
      </c>
      <c r="N669">
        <v>2</v>
      </c>
      <c r="O669">
        <v>20</v>
      </c>
      <c r="P669">
        <v>22</v>
      </c>
    </row>
    <row r="670" spans="1:16" x14ac:dyDescent="0.3">
      <c r="A670">
        <v>669</v>
      </c>
      <c r="B670" s="1">
        <v>41212</v>
      </c>
      <c r="C670">
        <v>4</v>
      </c>
      <c r="D670">
        <v>1</v>
      </c>
      <c r="E670">
        <v>10</v>
      </c>
      <c r="F670">
        <v>0</v>
      </c>
      <c r="G670">
        <v>2</v>
      </c>
      <c r="H670">
        <v>1</v>
      </c>
      <c r="I670">
        <v>2</v>
      </c>
      <c r="J670">
        <v>0.31818200000000002</v>
      </c>
      <c r="K670">
        <v>0.30990899999999999</v>
      </c>
      <c r="L670">
        <v>0.82545500000000005</v>
      </c>
      <c r="M670">
        <v>0.213009</v>
      </c>
      <c r="N670">
        <v>87</v>
      </c>
      <c r="O670">
        <v>1009</v>
      </c>
      <c r="P670">
        <v>1096</v>
      </c>
    </row>
    <row r="671" spans="1:16" x14ac:dyDescent="0.3">
      <c r="A671">
        <v>670</v>
      </c>
      <c r="B671" s="1">
        <v>41213</v>
      </c>
      <c r="C671">
        <v>4</v>
      </c>
      <c r="D671">
        <v>1</v>
      </c>
      <c r="E671">
        <v>10</v>
      </c>
      <c r="F671">
        <v>0</v>
      </c>
      <c r="G671">
        <v>3</v>
      </c>
      <c r="H671">
        <v>1</v>
      </c>
      <c r="I671">
        <v>2</v>
      </c>
      <c r="J671">
        <v>0.35749999999999998</v>
      </c>
      <c r="K671">
        <v>0.36109999999999998</v>
      </c>
      <c r="L671">
        <v>0.66666700000000001</v>
      </c>
      <c r="M671">
        <v>0.16666700000000001</v>
      </c>
      <c r="N671">
        <v>419</v>
      </c>
      <c r="O671">
        <v>5147</v>
      </c>
      <c r="P671">
        <v>5566</v>
      </c>
    </row>
    <row r="672" spans="1:16" x14ac:dyDescent="0.3">
      <c r="A672">
        <v>671</v>
      </c>
      <c r="B672" s="1">
        <v>41214</v>
      </c>
      <c r="C672">
        <v>4</v>
      </c>
      <c r="D672">
        <v>1</v>
      </c>
      <c r="E672">
        <v>11</v>
      </c>
      <c r="F672">
        <v>0</v>
      </c>
      <c r="G672">
        <v>4</v>
      </c>
      <c r="H672">
        <v>1</v>
      </c>
      <c r="I672">
        <v>2</v>
      </c>
      <c r="J672">
        <v>0.36583300000000002</v>
      </c>
      <c r="K672">
        <v>0.36994199999999999</v>
      </c>
      <c r="L672">
        <v>0.58166700000000005</v>
      </c>
      <c r="M672">
        <v>0.15734600000000001</v>
      </c>
      <c r="N672">
        <v>466</v>
      </c>
      <c r="O672">
        <v>5520</v>
      </c>
      <c r="P672">
        <v>5986</v>
      </c>
    </row>
    <row r="673" spans="1:16" x14ac:dyDescent="0.3">
      <c r="A673">
        <v>672</v>
      </c>
      <c r="B673" s="1">
        <v>41215</v>
      </c>
      <c r="C673">
        <v>4</v>
      </c>
      <c r="D673">
        <v>1</v>
      </c>
      <c r="E673">
        <v>11</v>
      </c>
      <c r="F673">
        <v>0</v>
      </c>
      <c r="G673">
        <v>5</v>
      </c>
      <c r="H673">
        <v>1</v>
      </c>
      <c r="I673">
        <v>1</v>
      </c>
      <c r="J673">
        <v>0.35499999999999998</v>
      </c>
      <c r="K673">
        <v>0.35604200000000003</v>
      </c>
      <c r="L673">
        <v>0.52208299999999996</v>
      </c>
      <c r="M673">
        <v>0.26617499999999999</v>
      </c>
      <c r="N673">
        <v>618</v>
      </c>
      <c r="O673">
        <v>5229</v>
      </c>
      <c r="P673">
        <v>5847</v>
      </c>
    </row>
    <row r="674" spans="1:16" x14ac:dyDescent="0.3">
      <c r="A674">
        <v>673</v>
      </c>
      <c r="B674" s="1">
        <v>41216</v>
      </c>
      <c r="C674">
        <v>4</v>
      </c>
      <c r="D674">
        <v>1</v>
      </c>
      <c r="E674">
        <v>11</v>
      </c>
      <c r="F674">
        <v>0</v>
      </c>
      <c r="G674">
        <v>6</v>
      </c>
      <c r="H674">
        <v>0</v>
      </c>
      <c r="I674">
        <v>2</v>
      </c>
      <c r="J674">
        <v>0.343333</v>
      </c>
      <c r="K674">
        <v>0.32384600000000002</v>
      </c>
      <c r="L674">
        <v>0.49125000000000002</v>
      </c>
      <c r="M674">
        <v>0.27052900000000002</v>
      </c>
      <c r="N674">
        <v>1029</v>
      </c>
      <c r="O674">
        <v>4109</v>
      </c>
      <c r="P674">
        <v>5138</v>
      </c>
    </row>
    <row r="675" spans="1:16" x14ac:dyDescent="0.3">
      <c r="A675">
        <v>674</v>
      </c>
      <c r="B675" s="1">
        <v>41217</v>
      </c>
      <c r="C675">
        <v>4</v>
      </c>
      <c r="D675">
        <v>1</v>
      </c>
      <c r="E675">
        <v>11</v>
      </c>
      <c r="F675">
        <v>0</v>
      </c>
      <c r="G675">
        <v>0</v>
      </c>
      <c r="H675">
        <v>0</v>
      </c>
      <c r="I675">
        <v>1</v>
      </c>
      <c r="J675">
        <v>0.32583299999999998</v>
      </c>
      <c r="K675">
        <v>0.329538</v>
      </c>
      <c r="L675">
        <v>0.53291699999999997</v>
      </c>
      <c r="M675">
        <v>0.17910799999999999</v>
      </c>
      <c r="N675">
        <v>1201</v>
      </c>
      <c r="O675">
        <v>3906</v>
      </c>
      <c r="P675">
        <v>5107</v>
      </c>
    </row>
    <row r="676" spans="1:16" x14ac:dyDescent="0.3">
      <c r="A676">
        <v>675</v>
      </c>
      <c r="B676" s="1">
        <v>41218</v>
      </c>
      <c r="C676">
        <v>4</v>
      </c>
      <c r="D676">
        <v>1</v>
      </c>
      <c r="E676">
        <v>11</v>
      </c>
      <c r="F676">
        <v>0</v>
      </c>
      <c r="G676">
        <v>1</v>
      </c>
      <c r="H676">
        <v>1</v>
      </c>
      <c r="I676">
        <v>1</v>
      </c>
      <c r="J676">
        <v>0.31916699999999998</v>
      </c>
      <c r="K676">
        <v>0.30807499999999999</v>
      </c>
      <c r="L676">
        <v>0.49416700000000002</v>
      </c>
      <c r="M676">
        <v>0.23632500000000001</v>
      </c>
      <c r="N676">
        <v>378</v>
      </c>
      <c r="O676">
        <v>4881</v>
      </c>
      <c r="P676">
        <v>5259</v>
      </c>
    </row>
    <row r="677" spans="1:16" x14ac:dyDescent="0.3">
      <c r="A677">
        <v>676</v>
      </c>
      <c r="B677" s="1">
        <v>41219</v>
      </c>
      <c r="C677">
        <v>4</v>
      </c>
      <c r="D677">
        <v>1</v>
      </c>
      <c r="E677">
        <v>11</v>
      </c>
      <c r="F677">
        <v>0</v>
      </c>
      <c r="G677">
        <v>2</v>
      </c>
      <c r="H677">
        <v>1</v>
      </c>
      <c r="I677">
        <v>1</v>
      </c>
      <c r="J677">
        <v>0.280833</v>
      </c>
      <c r="K677">
        <v>0.28156700000000001</v>
      </c>
      <c r="L677">
        <v>0.567083</v>
      </c>
      <c r="M677">
        <v>0.173513</v>
      </c>
      <c r="N677">
        <v>466</v>
      </c>
      <c r="O677">
        <v>5220</v>
      </c>
      <c r="P677">
        <v>5686</v>
      </c>
    </row>
    <row r="678" spans="1:16" x14ac:dyDescent="0.3">
      <c r="A678">
        <v>677</v>
      </c>
      <c r="B678" s="1">
        <v>41220</v>
      </c>
      <c r="C678">
        <v>4</v>
      </c>
      <c r="D678">
        <v>1</v>
      </c>
      <c r="E678">
        <v>11</v>
      </c>
      <c r="F678">
        <v>0</v>
      </c>
      <c r="G678">
        <v>3</v>
      </c>
      <c r="H678">
        <v>1</v>
      </c>
      <c r="I678">
        <v>2</v>
      </c>
      <c r="J678">
        <v>0.29583300000000001</v>
      </c>
      <c r="K678">
        <v>0.274621</v>
      </c>
      <c r="L678">
        <v>0.54749999999999999</v>
      </c>
      <c r="M678">
        <v>0.30410799999999999</v>
      </c>
      <c r="N678">
        <v>326</v>
      </c>
      <c r="O678">
        <v>4709</v>
      </c>
      <c r="P678">
        <v>5035</v>
      </c>
    </row>
    <row r="679" spans="1:16" x14ac:dyDescent="0.3">
      <c r="A679">
        <v>678</v>
      </c>
      <c r="B679" s="1">
        <v>41221</v>
      </c>
      <c r="C679">
        <v>4</v>
      </c>
      <c r="D679">
        <v>1</v>
      </c>
      <c r="E679">
        <v>11</v>
      </c>
      <c r="F679">
        <v>0</v>
      </c>
      <c r="G679">
        <v>4</v>
      </c>
      <c r="H679">
        <v>1</v>
      </c>
      <c r="I679">
        <v>1</v>
      </c>
      <c r="J679">
        <v>0.35217399999999999</v>
      </c>
      <c r="K679">
        <v>0.341891</v>
      </c>
      <c r="L679">
        <v>0.333478</v>
      </c>
      <c r="M679">
        <v>0.34783500000000001</v>
      </c>
      <c r="N679">
        <v>340</v>
      </c>
      <c r="O679">
        <v>4975</v>
      </c>
      <c r="P679">
        <v>5315</v>
      </c>
    </row>
    <row r="680" spans="1:16" x14ac:dyDescent="0.3">
      <c r="A680">
        <v>679</v>
      </c>
      <c r="B680" s="1">
        <v>41222</v>
      </c>
      <c r="C680">
        <v>4</v>
      </c>
      <c r="D680">
        <v>1</v>
      </c>
      <c r="E680">
        <v>11</v>
      </c>
      <c r="F680">
        <v>0</v>
      </c>
      <c r="G680">
        <v>5</v>
      </c>
      <c r="H680">
        <v>1</v>
      </c>
      <c r="I680">
        <v>1</v>
      </c>
      <c r="J680">
        <v>0.36166700000000002</v>
      </c>
      <c r="K680">
        <v>0.35541299999999998</v>
      </c>
      <c r="L680">
        <v>0.54083300000000001</v>
      </c>
      <c r="M680">
        <v>0.214558</v>
      </c>
      <c r="N680">
        <v>709</v>
      </c>
      <c r="O680">
        <v>5283</v>
      </c>
      <c r="P680">
        <v>5992</v>
      </c>
    </row>
    <row r="681" spans="1:16" x14ac:dyDescent="0.3">
      <c r="A681">
        <v>680</v>
      </c>
      <c r="B681" s="1">
        <v>41223</v>
      </c>
      <c r="C681">
        <v>4</v>
      </c>
      <c r="D681">
        <v>1</v>
      </c>
      <c r="E681">
        <v>11</v>
      </c>
      <c r="F681">
        <v>0</v>
      </c>
      <c r="G681">
        <v>6</v>
      </c>
      <c r="H681">
        <v>0</v>
      </c>
      <c r="I681">
        <v>1</v>
      </c>
      <c r="J681">
        <v>0.38916699999999999</v>
      </c>
      <c r="K681">
        <v>0.39393699999999998</v>
      </c>
      <c r="L681">
        <v>0.64541700000000002</v>
      </c>
      <c r="M681">
        <v>5.7845800000000003E-2</v>
      </c>
      <c r="N681">
        <v>2090</v>
      </c>
      <c r="O681">
        <v>4446</v>
      </c>
      <c r="P681">
        <v>6536</v>
      </c>
    </row>
    <row r="682" spans="1:16" x14ac:dyDescent="0.3">
      <c r="A682">
        <v>681</v>
      </c>
      <c r="B682" s="1">
        <v>41224</v>
      </c>
      <c r="C682">
        <v>4</v>
      </c>
      <c r="D682">
        <v>1</v>
      </c>
      <c r="E682">
        <v>11</v>
      </c>
      <c r="F682">
        <v>0</v>
      </c>
      <c r="G682">
        <v>0</v>
      </c>
      <c r="H682">
        <v>0</v>
      </c>
      <c r="I682">
        <v>1</v>
      </c>
      <c r="J682">
        <v>0.42083300000000001</v>
      </c>
      <c r="K682">
        <v>0.421713</v>
      </c>
      <c r="L682">
        <v>0.65916699999999995</v>
      </c>
      <c r="M682">
        <v>0.1275</v>
      </c>
      <c r="N682">
        <v>2290</v>
      </c>
      <c r="O682">
        <v>4562</v>
      </c>
      <c r="P682">
        <v>6852</v>
      </c>
    </row>
    <row r="683" spans="1:16" x14ac:dyDescent="0.3">
      <c r="A683">
        <v>682</v>
      </c>
      <c r="B683" s="1">
        <v>41225</v>
      </c>
      <c r="C683">
        <v>4</v>
      </c>
      <c r="D683">
        <v>1</v>
      </c>
      <c r="E683">
        <v>11</v>
      </c>
      <c r="F683">
        <v>1</v>
      </c>
      <c r="G683">
        <v>1</v>
      </c>
      <c r="H683">
        <v>0</v>
      </c>
      <c r="I683">
        <v>1</v>
      </c>
      <c r="J683">
        <v>0.48499999999999999</v>
      </c>
      <c r="K683">
        <v>0.475383</v>
      </c>
      <c r="L683">
        <v>0.74166699999999997</v>
      </c>
      <c r="M683">
        <v>0.173517</v>
      </c>
      <c r="N683">
        <v>1097</v>
      </c>
      <c r="O683">
        <v>5172</v>
      </c>
      <c r="P683">
        <v>6269</v>
      </c>
    </row>
    <row r="684" spans="1:16" x14ac:dyDescent="0.3">
      <c r="A684">
        <v>683</v>
      </c>
      <c r="B684" s="1">
        <v>41226</v>
      </c>
      <c r="C684">
        <v>4</v>
      </c>
      <c r="D684">
        <v>1</v>
      </c>
      <c r="E684">
        <v>11</v>
      </c>
      <c r="F684">
        <v>0</v>
      </c>
      <c r="G684">
        <v>2</v>
      </c>
      <c r="H684">
        <v>1</v>
      </c>
      <c r="I684">
        <v>2</v>
      </c>
      <c r="J684">
        <v>0.343333</v>
      </c>
      <c r="K684">
        <v>0.32322499999999998</v>
      </c>
      <c r="L684">
        <v>0.66291699999999998</v>
      </c>
      <c r="M684">
        <v>0.34204600000000002</v>
      </c>
      <c r="N684">
        <v>327</v>
      </c>
      <c r="O684">
        <v>3767</v>
      </c>
      <c r="P684">
        <v>4094</v>
      </c>
    </row>
    <row r="685" spans="1:16" x14ac:dyDescent="0.3">
      <c r="A685">
        <v>684</v>
      </c>
      <c r="B685" s="1">
        <v>41227</v>
      </c>
      <c r="C685">
        <v>4</v>
      </c>
      <c r="D685">
        <v>1</v>
      </c>
      <c r="E685">
        <v>11</v>
      </c>
      <c r="F685">
        <v>0</v>
      </c>
      <c r="G685">
        <v>3</v>
      </c>
      <c r="H685">
        <v>1</v>
      </c>
      <c r="I685">
        <v>1</v>
      </c>
      <c r="J685">
        <v>0.28916700000000001</v>
      </c>
      <c r="K685">
        <v>0.28156300000000001</v>
      </c>
      <c r="L685">
        <v>0.55208299999999999</v>
      </c>
      <c r="M685">
        <v>0.199625</v>
      </c>
      <c r="N685">
        <v>373</v>
      </c>
      <c r="O685">
        <v>5122</v>
      </c>
      <c r="P685">
        <v>5495</v>
      </c>
    </row>
    <row r="686" spans="1:16" x14ac:dyDescent="0.3">
      <c r="A686">
        <v>685</v>
      </c>
      <c r="B686" s="1">
        <v>41228</v>
      </c>
      <c r="C686">
        <v>4</v>
      </c>
      <c r="D686">
        <v>1</v>
      </c>
      <c r="E686">
        <v>11</v>
      </c>
      <c r="F686">
        <v>0</v>
      </c>
      <c r="G686">
        <v>4</v>
      </c>
      <c r="H686">
        <v>1</v>
      </c>
      <c r="I686">
        <v>2</v>
      </c>
      <c r="J686">
        <v>0.32166699999999998</v>
      </c>
      <c r="K686">
        <v>0.324492</v>
      </c>
      <c r="L686">
        <v>0.620417</v>
      </c>
      <c r="M686">
        <v>0.15298700000000001</v>
      </c>
      <c r="N686">
        <v>320</v>
      </c>
      <c r="O686">
        <v>5125</v>
      </c>
      <c r="P686">
        <v>5445</v>
      </c>
    </row>
    <row r="687" spans="1:16" x14ac:dyDescent="0.3">
      <c r="A687">
        <v>686</v>
      </c>
      <c r="B687" s="1">
        <v>41229</v>
      </c>
      <c r="C687">
        <v>4</v>
      </c>
      <c r="D687">
        <v>1</v>
      </c>
      <c r="E687">
        <v>11</v>
      </c>
      <c r="F687">
        <v>0</v>
      </c>
      <c r="G687">
        <v>5</v>
      </c>
      <c r="H687">
        <v>1</v>
      </c>
      <c r="I687">
        <v>1</v>
      </c>
      <c r="J687">
        <v>0.34499999999999997</v>
      </c>
      <c r="K687">
        <v>0.34720400000000001</v>
      </c>
      <c r="L687">
        <v>0.52458300000000002</v>
      </c>
      <c r="M687">
        <v>0.17102500000000001</v>
      </c>
      <c r="N687">
        <v>484</v>
      </c>
      <c r="O687">
        <v>5214</v>
      </c>
      <c r="P687">
        <v>5698</v>
      </c>
    </row>
    <row r="688" spans="1:16" x14ac:dyDescent="0.3">
      <c r="A688">
        <v>687</v>
      </c>
      <c r="B688" s="1">
        <v>41230</v>
      </c>
      <c r="C688">
        <v>4</v>
      </c>
      <c r="D688">
        <v>1</v>
      </c>
      <c r="E688">
        <v>11</v>
      </c>
      <c r="F688">
        <v>0</v>
      </c>
      <c r="G688">
        <v>6</v>
      </c>
      <c r="H688">
        <v>0</v>
      </c>
      <c r="I688">
        <v>1</v>
      </c>
      <c r="J688">
        <v>0.32500000000000001</v>
      </c>
      <c r="K688">
        <v>0.32638299999999998</v>
      </c>
      <c r="L688">
        <v>0.54541700000000004</v>
      </c>
      <c r="M688">
        <v>0.179729</v>
      </c>
      <c r="N688">
        <v>1313</v>
      </c>
      <c r="O688">
        <v>4316</v>
      </c>
      <c r="P688">
        <v>5629</v>
      </c>
    </row>
    <row r="689" spans="1:16" x14ac:dyDescent="0.3">
      <c r="A689">
        <v>688</v>
      </c>
      <c r="B689" s="1">
        <v>41231</v>
      </c>
      <c r="C689">
        <v>4</v>
      </c>
      <c r="D689">
        <v>1</v>
      </c>
      <c r="E689">
        <v>11</v>
      </c>
      <c r="F689">
        <v>0</v>
      </c>
      <c r="G689">
        <v>0</v>
      </c>
      <c r="H689">
        <v>0</v>
      </c>
      <c r="I689">
        <v>1</v>
      </c>
      <c r="J689">
        <v>0.34250000000000003</v>
      </c>
      <c r="K689">
        <v>0.33774599999999999</v>
      </c>
      <c r="L689">
        <v>0.69291700000000001</v>
      </c>
      <c r="M689">
        <v>0.22761200000000001</v>
      </c>
      <c r="N689">
        <v>922</v>
      </c>
      <c r="O689">
        <v>3747</v>
      </c>
      <c r="P689">
        <v>4669</v>
      </c>
    </row>
    <row r="690" spans="1:16" x14ac:dyDescent="0.3">
      <c r="A690">
        <v>689</v>
      </c>
      <c r="B690" s="1">
        <v>41232</v>
      </c>
      <c r="C690">
        <v>4</v>
      </c>
      <c r="D690">
        <v>1</v>
      </c>
      <c r="E690">
        <v>11</v>
      </c>
      <c r="F690">
        <v>0</v>
      </c>
      <c r="G690">
        <v>1</v>
      </c>
      <c r="H690">
        <v>1</v>
      </c>
      <c r="I690">
        <v>2</v>
      </c>
      <c r="J690">
        <v>0.38083299999999998</v>
      </c>
      <c r="K690">
        <v>0.37562099999999998</v>
      </c>
      <c r="L690">
        <v>0.62333300000000003</v>
      </c>
      <c r="M690">
        <v>0.235067</v>
      </c>
      <c r="N690">
        <v>449</v>
      </c>
      <c r="O690">
        <v>5050</v>
      </c>
      <c r="P690">
        <v>5499</v>
      </c>
    </row>
    <row r="691" spans="1:16" x14ac:dyDescent="0.3">
      <c r="A691">
        <v>690</v>
      </c>
      <c r="B691" s="1">
        <v>41233</v>
      </c>
      <c r="C691">
        <v>4</v>
      </c>
      <c r="D691">
        <v>1</v>
      </c>
      <c r="E691">
        <v>11</v>
      </c>
      <c r="F691">
        <v>0</v>
      </c>
      <c r="G691">
        <v>2</v>
      </c>
      <c r="H691">
        <v>1</v>
      </c>
      <c r="I691">
        <v>2</v>
      </c>
      <c r="J691">
        <v>0.37416700000000003</v>
      </c>
      <c r="K691">
        <v>0.38066699999999998</v>
      </c>
      <c r="L691">
        <v>0.68500000000000005</v>
      </c>
      <c r="M691">
        <v>8.2725000000000007E-2</v>
      </c>
      <c r="N691">
        <v>534</v>
      </c>
      <c r="O691">
        <v>5100</v>
      </c>
      <c r="P691">
        <v>5634</v>
      </c>
    </row>
    <row r="692" spans="1:16" x14ac:dyDescent="0.3">
      <c r="A692">
        <v>691</v>
      </c>
      <c r="B692" s="1">
        <v>41234</v>
      </c>
      <c r="C692">
        <v>4</v>
      </c>
      <c r="D692">
        <v>1</v>
      </c>
      <c r="E692">
        <v>11</v>
      </c>
      <c r="F692">
        <v>0</v>
      </c>
      <c r="G692">
        <v>3</v>
      </c>
      <c r="H692">
        <v>1</v>
      </c>
      <c r="I692">
        <v>1</v>
      </c>
      <c r="J692">
        <v>0.35333300000000001</v>
      </c>
      <c r="K692">
        <v>0.36489199999999999</v>
      </c>
      <c r="L692">
        <v>0.61375000000000002</v>
      </c>
      <c r="M692">
        <v>0.103246</v>
      </c>
      <c r="N692">
        <v>615</v>
      </c>
      <c r="O692">
        <v>4531</v>
      </c>
      <c r="P692">
        <v>5146</v>
      </c>
    </row>
    <row r="693" spans="1:16" x14ac:dyDescent="0.3">
      <c r="A693">
        <v>692</v>
      </c>
      <c r="B693" s="1">
        <v>41235</v>
      </c>
      <c r="C693">
        <v>4</v>
      </c>
      <c r="D693">
        <v>1</v>
      </c>
      <c r="E693">
        <v>11</v>
      </c>
      <c r="F693">
        <v>1</v>
      </c>
      <c r="G693">
        <v>4</v>
      </c>
      <c r="H693">
        <v>0</v>
      </c>
      <c r="I693">
        <v>1</v>
      </c>
      <c r="J693">
        <v>0.34</v>
      </c>
      <c r="K693">
        <v>0.35037099999999999</v>
      </c>
      <c r="L693">
        <v>0.58041699999999996</v>
      </c>
      <c r="M693">
        <v>5.2870800000000003E-2</v>
      </c>
      <c r="N693">
        <v>955</v>
      </c>
      <c r="O693">
        <v>1470</v>
      </c>
      <c r="P693">
        <v>2425</v>
      </c>
    </row>
    <row r="694" spans="1:16" x14ac:dyDescent="0.3">
      <c r="A694">
        <v>693</v>
      </c>
      <c r="B694" s="1">
        <v>41236</v>
      </c>
      <c r="C694">
        <v>4</v>
      </c>
      <c r="D694">
        <v>1</v>
      </c>
      <c r="E694">
        <v>11</v>
      </c>
      <c r="F694">
        <v>0</v>
      </c>
      <c r="G694">
        <v>5</v>
      </c>
      <c r="H694">
        <v>1</v>
      </c>
      <c r="I694">
        <v>1</v>
      </c>
      <c r="J694">
        <v>0.36833300000000002</v>
      </c>
      <c r="K694">
        <v>0.37877899999999998</v>
      </c>
      <c r="L694">
        <v>0.56874999999999998</v>
      </c>
      <c r="M694">
        <v>0.14802100000000001</v>
      </c>
      <c r="N694">
        <v>1603</v>
      </c>
      <c r="O694">
        <v>2307</v>
      </c>
      <c r="P694">
        <v>3910</v>
      </c>
    </row>
    <row r="695" spans="1:16" x14ac:dyDescent="0.3">
      <c r="A695">
        <v>694</v>
      </c>
      <c r="B695" s="1">
        <v>41237</v>
      </c>
      <c r="C695">
        <v>4</v>
      </c>
      <c r="D695">
        <v>1</v>
      </c>
      <c r="E695">
        <v>11</v>
      </c>
      <c r="F695">
        <v>0</v>
      </c>
      <c r="G695">
        <v>6</v>
      </c>
      <c r="H695">
        <v>0</v>
      </c>
      <c r="I695">
        <v>1</v>
      </c>
      <c r="J695">
        <v>0.278333</v>
      </c>
      <c r="K695">
        <v>0.24874199999999999</v>
      </c>
      <c r="L695">
        <v>0.40458300000000003</v>
      </c>
      <c r="M695">
        <v>0.37687100000000001</v>
      </c>
      <c r="N695">
        <v>532</v>
      </c>
      <c r="O695">
        <v>1745</v>
      </c>
      <c r="P695">
        <v>2277</v>
      </c>
    </row>
    <row r="696" spans="1:16" x14ac:dyDescent="0.3">
      <c r="A696">
        <v>695</v>
      </c>
      <c r="B696" s="1">
        <v>41238</v>
      </c>
      <c r="C696">
        <v>4</v>
      </c>
      <c r="D696">
        <v>1</v>
      </c>
      <c r="E696">
        <v>11</v>
      </c>
      <c r="F696">
        <v>0</v>
      </c>
      <c r="G696">
        <v>0</v>
      </c>
      <c r="H696">
        <v>0</v>
      </c>
      <c r="I696">
        <v>1</v>
      </c>
      <c r="J696">
        <v>0.245833</v>
      </c>
      <c r="K696">
        <v>0.25758300000000001</v>
      </c>
      <c r="L696">
        <v>0.468333</v>
      </c>
      <c r="M696">
        <v>0.15049999999999999</v>
      </c>
      <c r="N696">
        <v>309</v>
      </c>
      <c r="O696">
        <v>2115</v>
      </c>
      <c r="P696">
        <v>2424</v>
      </c>
    </row>
    <row r="697" spans="1:16" x14ac:dyDescent="0.3">
      <c r="A697">
        <v>696</v>
      </c>
      <c r="B697" s="1">
        <v>41239</v>
      </c>
      <c r="C697">
        <v>4</v>
      </c>
      <c r="D697">
        <v>1</v>
      </c>
      <c r="E697">
        <v>11</v>
      </c>
      <c r="F697">
        <v>0</v>
      </c>
      <c r="G697">
        <v>1</v>
      </c>
      <c r="H697">
        <v>1</v>
      </c>
      <c r="I697">
        <v>1</v>
      </c>
      <c r="J697">
        <v>0.31333299999999997</v>
      </c>
      <c r="K697">
        <v>0.33900400000000003</v>
      </c>
      <c r="L697">
        <v>0.53541700000000003</v>
      </c>
      <c r="M697">
        <v>4.6649999999999997E-2</v>
      </c>
      <c r="N697">
        <v>337</v>
      </c>
      <c r="O697">
        <v>4750</v>
      </c>
      <c r="P697">
        <v>5087</v>
      </c>
    </row>
    <row r="698" spans="1:16" x14ac:dyDescent="0.3">
      <c r="A698">
        <v>697</v>
      </c>
      <c r="B698" s="1">
        <v>41240</v>
      </c>
      <c r="C698">
        <v>4</v>
      </c>
      <c r="D698">
        <v>1</v>
      </c>
      <c r="E698">
        <v>11</v>
      </c>
      <c r="F698">
        <v>0</v>
      </c>
      <c r="G698">
        <v>2</v>
      </c>
      <c r="H698">
        <v>1</v>
      </c>
      <c r="I698">
        <v>2</v>
      </c>
      <c r="J698">
        <v>0.29166700000000001</v>
      </c>
      <c r="K698">
        <v>0.28155799999999997</v>
      </c>
      <c r="L698">
        <v>0.78666700000000001</v>
      </c>
      <c r="M698">
        <v>0.237562</v>
      </c>
      <c r="N698">
        <v>123</v>
      </c>
      <c r="O698">
        <v>3836</v>
      </c>
      <c r="P698">
        <v>3959</v>
      </c>
    </row>
    <row r="699" spans="1:16" x14ac:dyDescent="0.3">
      <c r="A699">
        <v>698</v>
      </c>
      <c r="B699" s="1">
        <v>41241</v>
      </c>
      <c r="C699">
        <v>4</v>
      </c>
      <c r="D699">
        <v>1</v>
      </c>
      <c r="E699">
        <v>11</v>
      </c>
      <c r="F699">
        <v>0</v>
      </c>
      <c r="G699">
        <v>3</v>
      </c>
      <c r="H699">
        <v>1</v>
      </c>
      <c r="I699">
        <v>1</v>
      </c>
      <c r="J699">
        <v>0.29666700000000001</v>
      </c>
      <c r="K699">
        <v>0.28976200000000002</v>
      </c>
      <c r="L699">
        <v>0.50624999999999998</v>
      </c>
      <c r="M699">
        <v>0.21082100000000001</v>
      </c>
      <c r="N699">
        <v>198</v>
      </c>
      <c r="O699">
        <v>5062</v>
      </c>
      <c r="P699">
        <v>5260</v>
      </c>
    </row>
    <row r="700" spans="1:16" x14ac:dyDescent="0.3">
      <c r="A700">
        <v>699</v>
      </c>
      <c r="B700" s="1">
        <v>41242</v>
      </c>
      <c r="C700">
        <v>4</v>
      </c>
      <c r="D700">
        <v>1</v>
      </c>
      <c r="E700">
        <v>11</v>
      </c>
      <c r="F700">
        <v>0</v>
      </c>
      <c r="G700">
        <v>4</v>
      </c>
      <c r="H700">
        <v>1</v>
      </c>
      <c r="I700">
        <v>1</v>
      </c>
      <c r="J700">
        <v>0.28087000000000001</v>
      </c>
      <c r="K700">
        <v>0.29842200000000002</v>
      </c>
      <c r="L700">
        <v>0.55565200000000003</v>
      </c>
      <c r="M700">
        <v>0.115522</v>
      </c>
      <c r="N700">
        <v>243</v>
      </c>
      <c r="O700">
        <v>5080</v>
      </c>
      <c r="P700">
        <v>5323</v>
      </c>
    </row>
    <row r="701" spans="1:16" x14ac:dyDescent="0.3">
      <c r="A701">
        <v>700</v>
      </c>
      <c r="B701" s="1">
        <v>41243</v>
      </c>
      <c r="C701">
        <v>4</v>
      </c>
      <c r="D701">
        <v>1</v>
      </c>
      <c r="E701">
        <v>11</v>
      </c>
      <c r="F701">
        <v>0</v>
      </c>
      <c r="G701">
        <v>5</v>
      </c>
      <c r="H701">
        <v>1</v>
      </c>
      <c r="I701">
        <v>1</v>
      </c>
      <c r="J701">
        <v>0.29833300000000001</v>
      </c>
      <c r="K701">
        <v>0.32386700000000002</v>
      </c>
      <c r="L701">
        <v>0.64958300000000002</v>
      </c>
      <c r="M701">
        <v>5.8470800000000003E-2</v>
      </c>
      <c r="N701">
        <v>362</v>
      </c>
      <c r="O701">
        <v>5306</v>
      </c>
      <c r="P701">
        <v>5668</v>
      </c>
    </row>
    <row r="702" spans="1:16" x14ac:dyDescent="0.3">
      <c r="A702">
        <v>701</v>
      </c>
      <c r="B702" s="1">
        <v>41244</v>
      </c>
      <c r="C702">
        <v>4</v>
      </c>
      <c r="D702">
        <v>1</v>
      </c>
      <c r="E702">
        <v>12</v>
      </c>
      <c r="F702">
        <v>0</v>
      </c>
      <c r="G702">
        <v>6</v>
      </c>
      <c r="H702">
        <v>0</v>
      </c>
      <c r="I702">
        <v>2</v>
      </c>
      <c r="J702">
        <v>0.29833300000000001</v>
      </c>
      <c r="K702">
        <v>0.31690400000000002</v>
      </c>
      <c r="L702">
        <v>0.80666700000000002</v>
      </c>
      <c r="M702">
        <v>5.9704199999999999E-2</v>
      </c>
      <c r="N702">
        <v>951</v>
      </c>
      <c r="O702">
        <v>4240</v>
      </c>
      <c r="P702">
        <v>5191</v>
      </c>
    </row>
    <row r="703" spans="1:16" x14ac:dyDescent="0.3">
      <c r="A703">
        <v>702</v>
      </c>
      <c r="B703" s="1">
        <v>41245</v>
      </c>
      <c r="C703">
        <v>4</v>
      </c>
      <c r="D703">
        <v>1</v>
      </c>
      <c r="E703">
        <v>12</v>
      </c>
      <c r="F703">
        <v>0</v>
      </c>
      <c r="G703">
        <v>0</v>
      </c>
      <c r="H703">
        <v>0</v>
      </c>
      <c r="I703">
        <v>2</v>
      </c>
      <c r="J703">
        <v>0.34749999999999998</v>
      </c>
      <c r="K703">
        <v>0.35920800000000003</v>
      </c>
      <c r="L703">
        <v>0.82333299999999998</v>
      </c>
      <c r="M703">
        <v>0.124379</v>
      </c>
      <c r="N703">
        <v>892</v>
      </c>
      <c r="O703">
        <v>3757</v>
      </c>
      <c r="P703">
        <v>4649</v>
      </c>
    </row>
    <row r="704" spans="1:16" x14ac:dyDescent="0.3">
      <c r="A704">
        <v>703</v>
      </c>
      <c r="B704" s="1">
        <v>41246</v>
      </c>
      <c r="C704">
        <v>4</v>
      </c>
      <c r="D704">
        <v>1</v>
      </c>
      <c r="E704">
        <v>12</v>
      </c>
      <c r="F704">
        <v>0</v>
      </c>
      <c r="G704">
        <v>1</v>
      </c>
      <c r="H704">
        <v>1</v>
      </c>
      <c r="I704">
        <v>1</v>
      </c>
      <c r="J704">
        <v>0.45250000000000001</v>
      </c>
      <c r="K704">
        <v>0.45579599999999998</v>
      </c>
      <c r="L704">
        <v>0.76749999999999996</v>
      </c>
      <c r="M704">
        <v>8.2720799999999997E-2</v>
      </c>
      <c r="N704">
        <v>555</v>
      </c>
      <c r="O704">
        <v>5679</v>
      </c>
      <c r="P704">
        <v>6234</v>
      </c>
    </row>
    <row r="705" spans="1:16" x14ac:dyDescent="0.3">
      <c r="A705">
        <v>704</v>
      </c>
      <c r="B705" s="1">
        <v>41247</v>
      </c>
      <c r="C705">
        <v>4</v>
      </c>
      <c r="D705">
        <v>1</v>
      </c>
      <c r="E705">
        <v>12</v>
      </c>
      <c r="F705">
        <v>0</v>
      </c>
      <c r="G705">
        <v>2</v>
      </c>
      <c r="H705">
        <v>1</v>
      </c>
      <c r="I705">
        <v>1</v>
      </c>
      <c r="J705">
        <v>0.47583300000000001</v>
      </c>
      <c r="K705">
        <v>0.46905400000000003</v>
      </c>
      <c r="L705">
        <v>0.73375000000000001</v>
      </c>
      <c r="M705">
        <v>0.17412900000000001</v>
      </c>
      <c r="N705">
        <v>551</v>
      </c>
      <c r="O705">
        <v>6055</v>
      </c>
      <c r="P705">
        <v>6606</v>
      </c>
    </row>
    <row r="706" spans="1:16" x14ac:dyDescent="0.3">
      <c r="A706">
        <v>705</v>
      </c>
      <c r="B706" s="1">
        <v>41248</v>
      </c>
      <c r="C706">
        <v>4</v>
      </c>
      <c r="D706">
        <v>1</v>
      </c>
      <c r="E706">
        <v>12</v>
      </c>
      <c r="F706">
        <v>0</v>
      </c>
      <c r="G706">
        <v>3</v>
      </c>
      <c r="H706">
        <v>1</v>
      </c>
      <c r="I706">
        <v>1</v>
      </c>
      <c r="J706">
        <v>0.43833299999999997</v>
      </c>
      <c r="K706">
        <v>0.428012</v>
      </c>
      <c r="L706">
        <v>0.48499999999999999</v>
      </c>
      <c r="M706">
        <v>0.324021</v>
      </c>
      <c r="N706">
        <v>331</v>
      </c>
      <c r="O706">
        <v>5398</v>
      </c>
      <c r="P706">
        <v>5729</v>
      </c>
    </row>
    <row r="707" spans="1:16" x14ac:dyDescent="0.3">
      <c r="A707">
        <v>706</v>
      </c>
      <c r="B707" s="1">
        <v>41249</v>
      </c>
      <c r="C707">
        <v>4</v>
      </c>
      <c r="D707">
        <v>1</v>
      </c>
      <c r="E707">
        <v>12</v>
      </c>
      <c r="F707">
        <v>0</v>
      </c>
      <c r="G707">
        <v>4</v>
      </c>
      <c r="H707">
        <v>1</v>
      </c>
      <c r="I707">
        <v>1</v>
      </c>
      <c r="J707">
        <v>0.25583299999999998</v>
      </c>
      <c r="K707">
        <v>0.25820399999999999</v>
      </c>
      <c r="L707">
        <v>0.50875000000000004</v>
      </c>
      <c r="M707">
        <v>0.17475399999999999</v>
      </c>
      <c r="N707">
        <v>340</v>
      </c>
      <c r="O707">
        <v>5035</v>
      </c>
      <c r="P707">
        <v>5375</v>
      </c>
    </row>
    <row r="708" spans="1:16" x14ac:dyDescent="0.3">
      <c r="A708">
        <v>707</v>
      </c>
      <c r="B708" s="1">
        <v>41250</v>
      </c>
      <c r="C708">
        <v>4</v>
      </c>
      <c r="D708">
        <v>1</v>
      </c>
      <c r="E708">
        <v>12</v>
      </c>
      <c r="F708">
        <v>0</v>
      </c>
      <c r="G708">
        <v>5</v>
      </c>
      <c r="H708">
        <v>1</v>
      </c>
      <c r="I708">
        <v>2</v>
      </c>
      <c r="J708">
        <v>0.32083299999999998</v>
      </c>
      <c r="K708">
        <v>0.32195800000000002</v>
      </c>
      <c r="L708">
        <v>0.76416700000000004</v>
      </c>
      <c r="M708">
        <v>0.13059999999999999</v>
      </c>
      <c r="N708">
        <v>349</v>
      </c>
      <c r="O708">
        <v>4659</v>
      </c>
      <c r="P708">
        <v>5008</v>
      </c>
    </row>
    <row r="709" spans="1:16" x14ac:dyDescent="0.3">
      <c r="A709">
        <v>708</v>
      </c>
      <c r="B709" s="1">
        <v>41251</v>
      </c>
      <c r="C709">
        <v>4</v>
      </c>
      <c r="D709">
        <v>1</v>
      </c>
      <c r="E709">
        <v>12</v>
      </c>
      <c r="F709">
        <v>0</v>
      </c>
      <c r="G709">
        <v>6</v>
      </c>
      <c r="H709">
        <v>0</v>
      </c>
      <c r="I709">
        <v>2</v>
      </c>
      <c r="J709">
        <v>0.38166699999999998</v>
      </c>
      <c r="K709">
        <v>0.38950800000000002</v>
      </c>
      <c r="L709">
        <v>0.91125</v>
      </c>
      <c r="M709">
        <v>0.101379</v>
      </c>
      <c r="N709">
        <v>1153</v>
      </c>
      <c r="O709">
        <v>4429</v>
      </c>
      <c r="P709">
        <v>5582</v>
      </c>
    </row>
    <row r="710" spans="1:16" x14ac:dyDescent="0.3">
      <c r="A710">
        <v>709</v>
      </c>
      <c r="B710" s="1">
        <v>41252</v>
      </c>
      <c r="C710">
        <v>4</v>
      </c>
      <c r="D710">
        <v>1</v>
      </c>
      <c r="E710">
        <v>12</v>
      </c>
      <c r="F710">
        <v>0</v>
      </c>
      <c r="G710">
        <v>0</v>
      </c>
      <c r="H710">
        <v>0</v>
      </c>
      <c r="I710">
        <v>2</v>
      </c>
      <c r="J710">
        <v>0.38416699999999998</v>
      </c>
      <c r="K710">
        <v>0.39014599999999999</v>
      </c>
      <c r="L710">
        <v>0.90541700000000003</v>
      </c>
      <c r="M710">
        <v>0.157975</v>
      </c>
      <c r="N710">
        <v>441</v>
      </c>
      <c r="O710">
        <v>2787</v>
      </c>
      <c r="P710">
        <v>3228</v>
      </c>
    </row>
    <row r="711" spans="1:16" x14ac:dyDescent="0.3">
      <c r="A711">
        <v>710</v>
      </c>
      <c r="B711" s="1">
        <v>41253</v>
      </c>
      <c r="C711">
        <v>4</v>
      </c>
      <c r="D711">
        <v>1</v>
      </c>
      <c r="E711">
        <v>12</v>
      </c>
      <c r="F711">
        <v>0</v>
      </c>
      <c r="G711">
        <v>1</v>
      </c>
      <c r="H711">
        <v>1</v>
      </c>
      <c r="I711">
        <v>2</v>
      </c>
      <c r="J711">
        <v>0.43583300000000003</v>
      </c>
      <c r="K711">
        <v>0.43557499999999999</v>
      </c>
      <c r="L711">
        <v>0.92500000000000004</v>
      </c>
      <c r="M711">
        <v>0.190308</v>
      </c>
      <c r="N711">
        <v>329</v>
      </c>
      <c r="O711">
        <v>4841</v>
      </c>
      <c r="P711">
        <v>5170</v>
      </c>
    </row>
    <row r="712" spans="1:16" x14ac:dyDescent="0.3">
      <c r="A712">
        <v>711</v>
      </c>
      <c r="B712" s="1">
        <v>41254</v>
      </c>
      <c r="C712">
        <v>4</v>
      </c>
      <c r="D712">
        <v>1</v>
      </c>
      <c r="E712">
        <v>12</v>
      </c>
      <c r="F712">
        <v>0</v>
      </c>
      <c r="G712">
        <v>2</v>
      </c>
      <c r="H712">
        <v>1</v>
      </c>
      <c r="I712">
        <v>2</v>
      </c>
      <c r="J712">
        <v>0.35333300000000001</v>
      </c>
      <c r="K712">
        <v>0.33836300000000002</v>
      </c>
      <c r="L712">
        <v>0.59666699999999995</v>
      </c>
      <c r="M712">
        <v>0.29603699999999999</v>
      </c>
      <c r="N712">
        <v>282</v>
      </c>
      <c r="O712">
        <v>5219</v>
      </c>
      <c r="P712">
        <v>5501</v>
      </c>
    </row>
    <row r="713" spans="1:16" x14ac:dyDescent="0.3">
      <c r="A713">
        <v>712</v>
      </c>
      <c r="B713" s="1">
        <v>41255</v>
      </c>
      <c r="C713">
        <v>4</v>
      </c>
      <c r="D713">
        <v>1</v>
      </c>
      <c r="E713">
        <v>12</v>
      </c>
      <c r="F713">
        <v>0</v>
      </c>
      <c r="G713">
        <v>3</v>
      </c>
      <c r="H713">
        <v>1</v>
      </c>
      <c r="I713">
        <v>2</v>
      </c>
      <c r="J713">
        <v>0.29749999999999999</v>
      </c>
      <c r="K713">
        <v>0.29733799999999999</v>
      </c>
      <c r="L713">
        <v>0.53833299999999995</v>
      </c>
      <c r="M713">
        <v>0.162937</v>
      </c>
      <c r="N713">
        <v>310</v>
      </c>
      <c r="O713">
        <v>5009</v>
      </c>
      <c r="P713">
        <v>5319</v>
      </c>
    </row>
    <row r="714" spans="1:16" x14ac:dyDescent="0.3">
      <c r="A714">
        <v>713</v>
      </c>
      <c r="B714" s="1">
        <v>41256</v>
      </c>
      <c r="C714">
        <v>4</v>
      </c>
      <c r="D714">
        <v>1</v>
      </c>
      <c r="E714">
        <v>12</v>
      </c>
      <c r="F714">
        <v>0</v>
      </c>
      <c r="G714">
        <v>4</v>
      </c>
      <c r="H714">
        <v>1</v>
      </c>
      <c r="I714">
        <v>1</v>
      </c>
      <c r="J714">
        <v>0.29583300000000001</v>
      </c>
      <c r="K714">
        <v>0.29418800000000001</v>
      </c>
      <c r="L714">
        <v>0.48583300000000001</v>
      </c>
      <c r="M714">
        <v>0.17412900000000001</v>
      </c>
      <c r="N714">
        <v>425</v>
      </c>
      <c r="O714">
        <v>5107</v>
      </c>
      <c r="P714">
        <v>5532</v>
      </c>
    </row>
    <row r="715" spans="1:16" x14ac:dyDescent="0.3">
      <c r="A715">
        <v>714</v>
      </c>
      <c r="B715" s="1">
        <v>41257</v>
      </c>
      <c r="C715">
        <v>4</v>
      </c>
      <c r="D715">
        <v>1</v>
      </c>
      <c r="E715">
        <v>12</v>
      </c>
      <c r="F715">
        <v>0</v>
      </c>
      <c r="G715">
        <v>5</v>
      </c>
      <c r="H715">
        <v>1</v>
      </c>
      <c r="I715">
        <v>1</v>
      </c>
      <c r="J715">
        <v>0.281667</v>
      </c>
      <c r="K715">
        <v>0.29419200000000001</v>
      </c>
      <c r="L715">
        <v>0.64291699999999996</v>
      </c>
      <c r="M715">
        <v>0.13122900000000001</v>
      </c>
      <c r="N715">
        <v>429</v>
      </c>
      <c r="O715">
        <v>5182</v>
      </c>
      <c r="P715">
        <v>5611</v>
      </c>
    </row>
    <row r="716" spans="1:16" x14ac:dyDescent="0.3">
      <c r="A716">
        <v>715</v>
      </c>
      <c r="B716" s="1">
        <v>41258</v>
      </c>
      <c r="C716">
        <v>4</v>
      </c>
      <c r="D716">
        <v>1</v>
      </c>
      <c r="E716">
        <v>12</v>
      </c>
      <c r="F716">
        <v>0</v>
      </c>
      <c r="G716">
        <v>6</v>
      </c>
      <c r="H716">
        <v>0</v>
      </c>
      <c r="I716">
        <v>1</v>
      </c>
      <c r="J716">
        <v>0.32416699999999998</v>
      </c>
      <c r="K716">
        <v>0.33838299999999999</v>
      </c>
      <c r="L716">
        <v>0.65041700000000002</v>
      </c>
      <c r="M716">
        <v>0.10635</v>
      </c>
      <c r="N716">
        <v>767</v>
      </c>
      <c r="O716">
        <v>4280</v>
      </c>
      <c r="P716">
        <v>5047</v>
      </c>
    </row>
    <row r="717" spans="1:16" x14ac:dyDescent="0.3">
      <c r="A717">
        <v>716</v>
      </c>
      <c r="B717" s="1">
        <v>41259</v>
      </c>
      <c r="C717">
        <v>4</v>
      </c>
      <c r="D717">
        <v>1</v>
      </c>
      <c r="E717">
        <v>12</v>
      </c>
      <c r="F717">
        <v>0</v>
      </c>
      <c r="G717">
        <v>0</v>
      </c>
      <c r="H717">
        <v>0</v>
      </c>
      <c r="I717">
        <v>2</v>
      </c>
      <c r="J717">
        <v>0.36249999999999999</v>
      </c>
      <c r="K717">
        <v>0.36993799999999999</v>
      </c>
      <c r="L717">
        <v>0.83875</v>
      </c>
      <c r="M717">
        <v>0.100742</v>
      </c>
      <c r="N717">
        <v>538</v>
      </c>
      <c r="O717">
        <v>3248</v>
      </c>
      <c r="P717">
        <v>3786</v>
      </c>
    </row>
    <row r="718" spans="1:16" x14ac:dyDescent="0.3">
      <c r="A718">
        <v>717</v>
      </c>
      <c r="B718" s="1">
        <v>41260</v>
      </c>
      <c r="C718">
        <v>4</v>
      </c>
      <c r="D718">
        <v>1</v>
      </c>
      <c r="E718">
        <v>12</v>
      </c>
      <c r="F718">
        <v>0</v>
      </c>
      <c r="G718">
        <v>1</v>
      </c>
      <c r="H718">
        <v>1</v>
      </c>
      <c r="I718">
        <v>2</v>
      </c>
      <c r="J718">
        <v>0.39333299999999999</v>
      </c>
      <c r="K718">
        <v>0.40150000000000002</v>
      </c>
      <c r="L718">
        <v>0.90708299999999997</v>
      </c>
      <c r="M718">
        <v>9.8258300000000007E-2</v>
      </c>
      <c r="N718">
        <v>212</v>
      </c>
      <c r="O718">
        <v>4373</v>
      </c>
      <c r="P718">
        <v>4585</v>
      </c>
    </row>
    <row r="719" spans="1:16" x14ac:dyDescent="0.3">
      <c r="A719">
        <v>718</v>
      </c>
      <c r="B719" s="1">
        <v>41261</v>
      </c>
      <c r="C719">
        <v>4</v>
      </c>
      <c r="D719">
        <v>1</v>
      </c>
      <c r="E719">
        <v>12</v>
      </c>
      <c r="F719">
        <v>0</v>
      </c>
      <c r="G719">
        <v>2</v>
      </c>
      <c r="H719">
        <v>1</v>
      </c>
      <c r="I719">
        <v>1</v>
      </c>
      <c r="J719">
        <v>0.410833</v>
      </c>
      <c r="K719">
        <v>0.40970800000000002</v>
      </c>
      <c r="L719">
        <v>0.66625000000000001</v>
      </c>
      <c r="M719">
        <v>0.22140399999999999</v>
      </c>
      <c r="N719">
        <v>433</v>
      </c>
      <c r="O719">
        <v>5124</v>
      </c>
      <c r="P719">
        <v>5557</v>
      </c>
    </row>
    <row r="720" spans="1:16" x14ac:dyDescent="0.3">
      <c r="A720">
        <v>719</v>
      </c>
      <c r="B720" s="1">
        <v>41262</v>
      </c>
      <c r="C720">
        <v>4</v>
      </c>
      <c r="D720">
        <v>1</v>
      </c>
      <c r="E720">
        <v>12</v>
      </c>
      <c r="F720">
        <v>0</v>
      </c>
      <c r="G720">
        <v>3</v>
      </c>
      <c r="H720">
        <v>1</v>
      </c>
      <c r="I720">
        <v>1</v>
      </c>
      <c r="J720">
        <v>0.33250000000000002</v>
      </c>
      <c r="K720">
        <v>0.34216200000000002</v>
      </c>
      <c r="L720">
        <v>0.625417</v>
      </c>
      <c r="M720">
        <v>0.18409200000000001</v>
      </c>
      <c r="N720">
        <v>333</v>
      </c>
      <c r="O720">
        <v>4934</v>
      </c>
      <c r="P720">
        <v>5267</v>
      </c>
    </row>
    <row r="721" spans="1:16" x14ac:dyDescent="0.3">
      <c r="A721">
        <v>720</v>
      </c>
      <c r="B721" s="1">
        <v>41263</v>
      </c>
      <c r="C721">
        <v>4</v>
      </c>
      <c r="D721">
        <v>1</v>
      </c>
      <c r="E721">
        <v>12</v>
      </c>
      <c r="F721">
        <v>0</v>
      </c>
      <c r="G721">
        <v>4</v>
      </c>
      <c r="H721">
        <v>1</v>
      </c>
      <c r="I721">
        <v>2</v>
      </c>
      <c r="J721">
        <v>0.33</v>
      </c>
      <c r="K721">
        <v>0.33521699999999999</v>
      </c>
      <c r="L721">
        <v>0.66791699999999998</v>
      </c>
      <c r="M721">
        <v>0.132463</v>
      </c>
      <c r="N721">
        <v>314</v>
      </c>
      <c r="O721">
        <v>3814</v>
      </c>
      <c r="P721">
        <v>4128</v>
      </c>
    </row>
    <row r="722" spans="1:16" x14ac:dyDescent="0.3">
      <c r="A722">
        <v>721</v>
      </c>
      <c r="B722" s="1">
        <v>41264</v>
      </c>
      <c r="C722">
        <v>1</v>
      </c>
      <c r="D722">
        <v>1</v>
      </c>
      <c r="E722">
        <v>12</v>
      </c>
      <c r="F722">
        <v>0</v>
      </c>
      <c r="G722">
        <v>5</v>
      </c>
      <c r="H722">
        <v>1</v>
      </c>
      <c r="I722">
        <v>2</v>
      </c>
      <c r="J722">
        <v>0.32666699999999999</v>
      </c>
      <c r="K722">
        <v>0.30176700000000001</v>
      </c>
      <c r="L722">
        <v>0.55666700000000002</v>
      </c>
      <c r="M722">
        <v>0.37438300000000002</v>
      </c>
      <c r="N722">
        <v>221</v>
      </c>
      <c r="O722">
        <v>3402</v>
      </c>
      <c r="P722">
        <v>3623</v>
      </c>
    </row>
    <row r="723" spans="1:16" x14ac:dyDescent="0.3">
      <c r="A723">
        <v>722</v>
      </c>
      <c r="B723" s="1">
        <v>41265</v>
      </c>
      <c r="C723">
        <v>1</v>
      </c>
      <c r="D723">
        <v>1</v>
      </c>
      <c r="E723">
        <v>12</v>
      </c>
      <c r="F723">
        <v>0</v>
      </c>
      <c r="G723">
        <v>6</v>
      </c>
      <c r="H723">
        <v>0</v>
      </c>
      <c r="I723">
        <v>1</v>
      </c>
      <c r="J723">
        <v>0.26583299999999999</v>
      </c>
      <c r="K723">
        <v>0.23611299999999999</v>
      </c>
      <c r="L723">
        <v>0.44124999999999998</v>
      </c>
      <c r="M723">
        <v>0.40734599999999999</v>
      </c>
      <c r="N723">
        <v>205</v>
      </c>
      <c r="O723">
        <v>1544</v>
      </c>
      <c r="P723">
        <v>1749</v>
      </c>
    </row>
    <row r="724" spans="1:16" x14ac:dyDescent="0.3">
      <c r="A724">
        <v>723</v>
      </c>
      <c r="B724" s="1">
        <v>41266</v>
      </c>
      <c r="C724">
        <v>1</v>
      </c>
      <c r="D724">
        <v>1</v>
      </c>
      <c r="E724">
        <v>12</v>
      </c>
      <c r="F724">
        <v>0</v>
      </c>
      <c r="G724">
        <v>0</v>
      </c>
      <c r="H724">
        <v>0</v>
      </c>
      <c r="I724">
        <v>1</v>
      </c>
      <c r="J724">
        <v>0.245833</v>
      </c>
      <c r="K724">
        <v>0.25947100000000001</v>
      </c>
      <c r="L724">
        <v>0.51541700000000001</v>
      </c>
      <c r="M724">
        <v>0.13308300000000001</v>
      </c>
      <c r="N724">
        <v>408</v>
      </c>
      <c r="O724">
        <v>1379</v>
      </c>
      <c r="P724">
        <v>1787</v>
      </c>
    </row>
    <row r="725" spans="1:16" x14ac:dyDescent="0.3">
      <c r="A725">
        <v>724</v>
      </c>
      <c r="B725" s="1">
        <v>41267</v>
      </c>
      <c r="C725">
        <v>1</v>
      </c>
      <c r="D725">
        <v>1</v>
      </c>
      <c r="E725">
        <v>12</v>
      </c>
      <c r="F725">
        <v>0</v>
      </c>
      <c r="G725">
        <v>1</v>
      </c>
      <c r="H725">
        <v>1</v>
      </c>
      <c r="I725">
        <v>2</v>
      </c>
      <c r="J725">
        <v>0.23130400000000001</v>
      </c>
      <c r="K725">
        <v>0.25890000000000002</v>
      </c>
      <c r="L725">
        <v>0.79130400000000001</v>
      </c>
      <c r="M725">
        <v>7.7230400000000005E-2</v>
      </c>
      <c r="N725">
        <v>174</v>
      </c>
      <c r="O725">
        <v>746</v>
      </c>
      <c r="P725">
        <v>920</v>
      </c>
    </row>
    <row r="726" spans="1:16" x14ac:dyDescent="0.3">
      <c r="A726">
        <v>725</v>
      </c>
      <c r="B726" s="1">
        <v>41268</v>
      </c>
      <c r="C726">
        <v>1</v>
      </c>
      <c r="D726">
        <v>1</v>
      </c>
      <c r="E726">
        <v>12</v>
      </c>
      <c r="F726">
        <v>1</v>
      </c>
      <c r="G726">
        <v>2</v>
      </c>
      <c r="H726">
        <v>0</v>
      </c>
      <c r="I726">
        <v>2</v>
      </c>
      <c r="J726">
        <v>0.29130400000000001</v>
      </c>
      <c r="K726">
        <v>0.29446499999999998</v>
      </c>
      <c r="L726">
        <v>0.73478299999999996</v>
      </c>
      <c r="M726">
        <v>0.16872599999999999</v>
      </c>
      <c r="N726">
        <v>440</v>
      </c>
      <c r="O726">
        <v>573</v>
      </c>
      <c r="P726">
        <v>1013</v>
      </c>
    </row>
    <row r="727" spans="1:16" x14ac:dyDescent="0.3">
      <c r="A727">
        <v>726</v>
      </c>
      <c r="B727" s="1">
        <v>41269</v>
      </c>
      <c r="C727">
        <v>1</v>
      </c>
      <c r="D727">
        <v>1</v>
      </c>
      <c r="E727">
        <v>12</v>
      </c>
      <c r="F727">
        <v>0</v>
      </c>
      <c r="G727">
        <v>3</v>
      </c>
      <c r="H727">
        <v>1</v>
      </c>
      <c r="I727">
        <v>3</v>
      </c>
      <c r="J727">
        <v>0.24333299999999999</v>
      </c>
      <c r="K727">
        <v>0.220333</v>
      </c>
      <c r="L727">
        <v>0.82333299999999998</v>
      </c>
      <c r="M727">
        <v>0.31654599999999999</v>
      </c>
      <c r="N727">
        <v>9</v>
      </c>
      <c r="O727">
        <v>432</v>
      </c>
      <c r="P727">
        <v>441</v>
      </c>
    </row>
    <row r="728" spans="1:16" x14ac:dyDescent="0.3">
      <c r="A728">
        <v>727</v>
      </c>
      <c r="B728" s="1">
        <v>41270</v>
      </c>
      <c r="C728">
        <v>1</v>
      </c>
      <c r="D728">
        <v>1</v>
      </c>
      <c r="E728">
        <v>12</v>
      </c>
      <c r="F728">
        <v>0</v>
      </c>
      <c r="G728">
        <v>4</v>
      </c>
      <c r="H728">
        <v>1</v>
      </c>
      <c r="I728">
        <v>2</v>
      </c>
      <c r="J728">
        <v>0.25416699999999998</v>
      </c>
      <c r="K728">
        <v>0.22664200000000001</v>
      </c>
      <c r="L728">
        <v>0.65291699999999997</v>
      </c>
      <c r="M728">
        <v>0.35013300000000003</v>
      </c>
      <c r="N728">
        <v>247</v>
      </c>
      <c r="O728">
        <v>1867</v>
      </c>
      <c r="P728">
        <v>2114</v>
      </c>
    </row>
    <row r="729" spans="1:16" x14ac:dyDescent="0.3">
      <c r="A729">
        <v>728</v>
      </c>
      <c r="B729" s="1">
        <v>41271</v>
      </c>
      <c r="C729">
        <v>1</v>
      </c>
      <c r="D729">
        <v>1</v>
      </c>
      <c r="E729">
        <v>12</v>
      </c>
      <c r="F729">
        <v>0</v>
      </c>
      <c r="G729">
        <v>5</v>
      </c>
      <c r="H729">
        <v>1</v>
      </c>
      <c r="I729">
        <v>2</v>
      </c>
      <c r="J729">
        <v>0.25333299999999997</v>
      </c>
      <c r="K729">
        <v>0.25504599999999999</v>
      </c>
      <c r="L729">
        <v>0.59</v>
      </c>
      <c r="M729">
        <v>0.155471</v>
      </c>
      <c r="N729">
        <v>644</v>
      </c>
      <c r="O729">
        <v>2451</v>
      </c>
      <c r="P729">
        <v>3095</v>
      </c>
    </row>
    <row r="730" spans="1:16" x14ac:dyDescent="0.3">
      <c r="A730">
        <v>729</v>
      </c>
      <c r="B730" s="1">
        <v>41272</v>
      </c>
      <c r="C730">
        <v>1</v>
      </c>
      <c r="D730">
        <v>1</v>
      </c>
      <c r="E730">
        <v>12</v>
      </c>
      <c r="F730">
        <v>0</v>
      </c>
      <c r="G730">
        <v>6</v>
      </c>
      <c r="H730">
        <v>0</v>
      </c>
      <c r="I730">
        <v>2</v>
      </c>
      <c r="J730">
        <v>0.25333299999999997</v>
      </c>
      <c r="K730">
        <v>0.2424</v>
      </c>
      <c r="L730">
        <v>0.75291699999999995</v>
      </c>
      <c r="M730">
        <v>0.12438299999999999</v>
      </c>
      <c r="N730">
        <v>159</v>
      </c>
      <c r="O730">
        <v>1182</v>
      </c>
      <c r="P730">
        <v>1341</v>
      </c>
    </row>
    <row r="731" spans="1:16" x14ac:dyDescent="0.3">
      <c r="A731">
        <v>730</v>
      </c>
      <c r="B731" s="1">
        <v>41273</v>
      </c>
      <c r="C731">
        <v>1</v>
      </c>
      <c r="D731">
        <v>1</v>
      </c>
      <c r="E731">
        <v>12</v>
      </c>
      <c r="F731">
        <v>0</v>
      </c>
      <c r="G731">
        <v>0</v>
      </c>
      <c r="H731">
        <v>0</v>
      </c>
      <c r="I731">
        <v>1</v>
      </c>
      <c r="J731">
        <v>0.25583299999999998</v>
      </c>
      <c r="K731">
        <v>0.23169999999999999</v>
      </c>
      <c r="L731">
        <v>0.48333300000000001</v>
      </c>
      <c r="M731">
        <v>0.35075400000000001</v>
      </c>
      <c r="N731">
        <v>364</v>
      </c>
      <c r="O731">
        <v>1432</v>
      </c>
      <c r="P731">
        <v>1796</v>
      </c>
    </row>
    <row r="732" spans="1:16" x14ac:dyDescent="0.3">
      <c r="A732">
        <v>731</v>
      </c>
      <c r="B732" s="1">
        <v>41274</v>
      </c>
      <c r="C732">
        <v>1</v>
      </c>
      <c r="D732">
        <v>1</v>
      </c>
      <c r="E732">
        <v>12</v>
      </c>
      <c r="F732">
        <v>0</v>
      </c>
      <c r="G732">
        <v>1</v>
      </c>
      <c r="H732">
        <v>1</v>
      </c>
      <c r="I732">
        <v>2</v>
      </c>
      <c r="J732">
        <v>0.215833</v>
      </c>
      <c r="K732">
        <v>0.22348699999999999</v>
      </c>
      <c r="L732">
        <v>0.57750000000000001</v>
      </c>
      <c r="M732">
        <v>0.15484600000000001</v>
      </c>
      <c r="N732">
        <v>439</v>
      </c>
      <c r="O732">
        <v>2290</v>
      </c>
      <c r="P732">
        <v>2729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Dashboard_pivot _tables</vt:lpstr>
      <vt:lpstr>Exploratory_pivot_tables</vt:lpstr>
      <vt:lpstr>Lookup</vt:lpstr>
      <vt:lpstr>Prepared_data</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Thevindu Perera</cp:lastModifiedBy>
  <dcterms:created xsi:type="dcterms:W3CDTF">2026-08-17T12:21:45Z</dcterms:created>
  <dcterms:modified xsi:type="dcterms:W3CDTF">2026-09-21T04:13:38Z</dcterms:modified>
</cp:coreProperties>
</file>